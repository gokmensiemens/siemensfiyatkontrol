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017" documentId="8_{04D112BD-6BD0-48D2-BCD0-B02DB0158664}" xr6:coauthVersionLast="47" xr6:coauthVersionMax="47" xr10:uidLastSave="{9A7BE18D-5669-473B-8AB4-B024FCEA8CF4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2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35" i="1" s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417" i="1" s="1"/>
  <c r="N382" i="1"/>
  <c r="N381" i="1"/>
  <c r="N380" i="1"/>
  <c r="N379" i="1"/>
  <c r="N377" i="1"/>
  <c r="N376" i="1"/>
  <c r="N375" i="1"/>
  <c r="N374" i="1"/>
  <c r="N373" i="1"/>
  <c r="N372" i="1"/>
  <c r="N371" i="1"/>
  <c r="N370" i="1"/>
  <c r="N369" i="1"/>
  <c r="N368" i="1"/>
  <c r="N378" i="1" s="1"/>
  <c r="N366" i="1"/>
  <c r="N367" i="1" s="1"/>
  <c r="N365" i="1"/>
  <c r="N364" i="1"/>
  <c r="N363" i="1"/>
  <c r="N362" i="1"/>
  <c r="N361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60" i="1" s="1"/>
  <c r="N301" i="1"/>
  <c r="N300" i="1"/>
  <c r="N299" i="1"/>
  <c r="N298" i="1"/>
  <c r="N297" i="1"/>
  <c r="N296" i="1"/>
  <c r="N295" i="1"/>
  <c r="N294" i="1"/>
  <c r="N293" i="1"/>
  <c r="N292" i="1"/>
  <c r="N290" i="1"/>
  <c r="N289" i="1"/>
  <c r="N288" i="1"/>
  <c r="N287" i="1"/>
  <c r="N286" i="1"/>
  <c r="N285" i="1"/>
  <c r="N284" i="1"/>
  <c r="N283" i="1"/>
  <c r="N282" i="1"/>
  <c r="N281" i="1"/>
  <c r="N280" i="1"/>
  <c r="N291" i="1" s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79" i="1" s="1"/>
  <c r="N229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28" i="1" s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209" i="1" s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65" i="1" s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43" i="1" s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17" i="1" s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104" i="1" s="1"/>
  <c r="N77" i="1"/>
  <c r="N76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75" i="1" s="1"/>
  <c r="N59" i="1"/>
  <c r="N58" i="1"/>
  <c r="N57" i="1"/>
  <c r="N56" i="1"/>
  <c r="N55" i="1"/>
  <c r="N54" i="1"/>
  <c r="N53" i="1"/>
  <c r="N52" i="1"/>
  <c r="N51" i="1"/>
  <c r="N50" i="1"/>
  <c r="N60" i="1" s="1"/>
  <c r="O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49" i="1" s="1"/>
  <c r="N6" i="1"/>
  <c r="N5" i="1"/>
  <c r="N4" i="1"/>
  <c r="N3" i="1"/>
  <c r="N2" i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4" authorId="0" shapeId="0" xr:uid="{C41A07E7-CC4D-4260-9068-B05097583395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<sst xmlns="http://schemas.openxmlformats.org/spreadsheetml/2006/main" count="3931" uniqueCount="1846">
  <si>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</si>
  <si>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</si>
  <si>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</si>
  <si>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</si>
  <si>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</si>
  <si>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</si>
  <si>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</si>
  <si>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</si>
  <si>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</si>
  <si>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</si>
  <si>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</si>
  <si>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</si>
  <si>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</si>
  <si>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</si>
  <si>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</si>
  <si>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</si>
  <si>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</si>
  <si>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</si>
  <si>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</si>
  <si>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</si>
  <si>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</si>
  <si>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</si>
  <si>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</si>
  <si>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</si>
  <si>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</si>
  <si>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</si>
  <si>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</si>
  <si>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</si>
  <si>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</si>
  <si>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</si>
  <si>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</si>
  <si>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</si>
  <si>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</si>
  <si>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</si>
  <si>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</si>
  <si>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</si>
  <si>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</si>
  <si>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</si>
  <si>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</si>
  <si>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</si>
  <si>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</si>
  <si>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</si>
  <si>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</si>
  <si>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</si>
  <si>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</si>
  <si>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</si>
  <si>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</si>
  <si>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</si>
  <si>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</si>
  <si>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</si>
  <si>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</si>
  <si>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</si>
  <si>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</si>
  <si>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</si>
  <si>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</si>
  <si>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</si>
  <si>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</si>
  <si>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</si>
  <si>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</si>
  <si>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</si>
  <si>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</si>
  <si>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</si>
  <si>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</si>
  <si>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</si>
  <si>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</si>
  <si>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</si>
  <si>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</si>
  <si>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</si>
  <si>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</si>
  <si>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</si>
  <si>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</si>
  <si>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</si>
  <si>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</si>
  <si>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</si>
  <si>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</si>
  <si>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</si>
  <si>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</si>
  <si>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</si>
  <si>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</si>
  <si>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</si>
  <si>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</si>
  <si>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</si>
  <si>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</si>
  <si>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</si>
  <si>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</si>
  <si>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</si>
  <si>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</si>
  <si>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</si>
  <si>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</si>
  <si>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</si>
  <si>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</si>
  <si>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</si>
  <si>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</si>
  <si>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</si>
  <si>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</si>
  <si>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</si>
  <si>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</si>
  <si>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</si>
  <si>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</si>
  <si>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</si>
  <si>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</si>
  <si>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</si>
  <si>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</si>
  <si>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</si>
  <si>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</si>
  <si>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</si>
  <si>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</si>
  <si>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</si>
  <si>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</si>
  <si>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</si>
  <si>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</si>
  <si>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</si>
  <si>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</si>
  <si>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</si>
  <si>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</si>
  <si>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</si>
  <si>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</si>
  <si>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</si>
  <si>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</si>
  <si>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</si>
  <si>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</si>
  <si>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</si>
  <si>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</si>
  <si>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</si>
  <si>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</si>
  <si>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</si>
  <si>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</si>
  <si>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</si>
  <si>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</si>
  <si>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</si>
  <si>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</si>
  <si>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</si>
  <si>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</si>
  <si>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</si>
  <si>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</si>
  <si>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</si>
  <si>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</si>
  <si>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</si>
  <si>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</si>
  <si>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</si>
  <si>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</si>
  <si>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</si>
  <si>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</si>
  <si>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</si>
  <si>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</si>
  <si>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</si>
  <si>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</si>
  <si>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</si>
  <si>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</si>
  <si>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</si>
  <si>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</si>
  <si>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</si>
  <si>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</si>
  <si>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</si>
  <si>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</si>
  <si>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</si>
  <si>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</si>
  <si>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</si>
  <si>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</si>
  <si>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</si>
  <si>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</si>
  <si>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</si>
  <si>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</si>
  <si>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</si>
  <si>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</si>
  <si>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</si>
  <si>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</si>
  <si>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</si>
  <si>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</si>
  <si>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</si>
  <si>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</si>
  <si>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</si>
  <si>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</si>
  <si>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</si>
  <si>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</si>
  <si>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</si>
  <si>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</si>
  <si>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</si>
  <si>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</si>
  <si>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</si>
  <si>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</si>
  <si>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</si>
  <si>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</si>
  <si>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</si>
  <si>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</si>
  <si>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</si>
  <si>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</si>
  <si>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</si>
  <si>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</si>
  <si>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</si>
  <si>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</si>
  <si>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</si>
  <si>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</si>
  <si>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</si>
  <si>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</si>
  <si>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</si>
  <si>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</si>
  <si>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</si>
  <si>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</si>
  <si>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</si>
  <si>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</si>
  <si>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</si>
  <si>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</si>
  <si>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</si>
  <si>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</si>
  <si>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</si>
  <si>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</si>
  <si>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</si>
  <si>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</si>
  <si>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</si>
  <si>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</si>
  <si>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</si>
  <si>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</si>
  <si>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</si>
  <si>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</si>
  <si>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</si>
  <si>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</si>
  <si>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</si>
  <si>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</si>
  <si>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</si>
  <si>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</si>
  <si>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</si>
  <si>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</si>
  <si>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</si>
  <si>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</si>
  <si>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</si>
  <si>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</si>
  <si>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</si>
  <si>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</si>
  <si>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</si>
  <si>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</si>
  <si>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</si>
  <si>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</si>
  <si>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</si>
  <si>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</si>
  <si>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</si>
  <si>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</si>
  <si>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</si>
  <si>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</si>
  <si>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</si>
  <si>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</si>
  <si>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</si>
  <si>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</si>
  <si>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</si>
  <si>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</si>
  <si>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</si>
  <si>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</si>
  <si>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</si>
  <si>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</si>
  <si>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</si>
  <si>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</si>
  <si>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</si>
  <si>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</si>
  <si>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</si>
  <si>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</si>
  <si>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</si>
  <si>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</si>
  <si>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</si>
  <si>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</si>
  <si>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</si>
  <si>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</si>
  <si>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</si>
  <si>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</si>
  <si>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</si>
  <si>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</si>
  <si>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</si>
  <si>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</si>
  <si>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</si>
  <si>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</si>
  <si>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</si>
  <si>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</si>
  <si>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</si>
  <si>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</si>
  <si>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</si>
  <si>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</si>
  <si>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</si>
  <si>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</si>
  <si>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</si>
  <si>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</si>
  <si>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</si>
  <si>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</si>
  <si>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</si>
  <si>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</si>
  <si>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</si>
  <si>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</si>
  <si>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</si>
  <si>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</si>
  <si>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</si>
  <si>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</si>
  <si>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</si>
  <si>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</si>
  <si>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</si>
  <si>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</si>
  <si>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</si>
  <si>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</si>
  <si>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</si>
  <si>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</si>
  <si>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</si>
  <si>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</si>
  <si>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</si>
  <si>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</si>
  <si>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</si>
  <si>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</si>
  <si>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</si>
  <si>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</si>
  <si>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</si>
  <si>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</si>
  <si>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</si>
  <si>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</si>
  <si>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</si>
  <si>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</si>
  <si>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</si>
  <si>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</si>
  <si>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</si>
  <si>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</si>
  <si>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</si>
  <si>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</si>
  <si>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</si>
  <si>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</si>
  <si>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</si>
  <si>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</si>
  <si>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</si>
  <si>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</si>
  <si>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</si>
  <si>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</si>
  <si>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</si>
  <si>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</si>
  <si>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</si>
  <si>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</si>
  <si>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</si>
  <si>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</si>
  <si>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</si>
  <si>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</si>
  <si>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</si>
  <si>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</si>
  <si>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</si>
  <si>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</si>
  <si>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</si>
  <si>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</si>
  <si>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</si>
  <si>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</si>
  <si>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</si>
  <si>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</si>
  <si>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</si>
  <si>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</si>
  <si>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</si>
  <si>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</si>
  <si>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</si>
  <si>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</si>
  <si>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</si>
  <si>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</si>
  <si>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</si>
  <si>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</si>
  <si>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</si>
  <si>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</si>
  <si>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</si>
  <si>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</si>
  <si>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</si>
  <si>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</si>
  <si>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</si>
  <si>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</si>
  <si>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</si>
  <si>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</si>
  <si>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</si>
  <si>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</si>
  <si>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</si>
  <si>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</si>
  <si>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</si>
  <si>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</si>
  <si>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</si>
  <si>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</si>
  <si>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</si>
  <si>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</si>
  <si>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</si>
  <si>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</si>
  <si>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</si>
  <si>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</si>
  <si>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</si>
  <si>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</si>
  <si>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</si>
  <si>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</si>
  <si>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</si>
  <si>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</si>
  <si>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</si>
  <si>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</si>
  <si>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</si>
  <si>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</si>
  <si>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</si>
  <si>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</si>
  <si>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</si>
  <si>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</si>
  <si>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</si>
  <si>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</si>
  <si>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</si>
  <si>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</si>
  <si>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</si>
  <si>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</si>
  <si>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</si>
  <si>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</si>
  <si>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</si>
  <si>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</si>
  <si>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</si>
  <si>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</si>
  <si>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</si>
  <si>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</si>
  <si>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</si>
  <si>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</si>
  <si>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</si>
  <si>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</si>
  <si>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</si>
  <si>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</si>
  <si>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</si>
  <si>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</si>
  <si>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</si>
  <si>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</si>
  <si>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</si>
  <si>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</si>
  <si>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</si>
  <si>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</si>
  <si>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</si>
  <si>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</si>
  <si>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</si>
  <si>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</si>
  <si>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</si>
  <si>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</si>
  <si>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</si>
  <si>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</si>
  <si>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</si>
  <si>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</si>
  <si>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</si>
  <si>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</si>
  <si>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</si>
  <si>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</si>
  <si>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</si>
  <si>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</si>
  <si>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</si>
  <si>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</si>
  <si>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</si>
  <si>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</si>
  <si>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</si>
  <si>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</si>
  <si>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</si>
  <si>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</si>
  <si>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</si>
  <si>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</si>
  <si>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</si>
  <si>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</si>
  <si>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</si>
  <si>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</si>
  <si>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</si>
  <si>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</si>
  <si>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</si>
  <si>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</si>
  <si>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</si>
  <si>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</si>
  <si>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</si>
  <si>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</si>
  <si>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</si>
  <si>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</si>
  <si>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</si>
  <si>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</si>
  <si>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</si>
  <si>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</si>
  <si>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</si>
  <si>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</si>
  <si>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</si>
  <si>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</si>
  <si>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</si>
  <si>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</si>
  <si>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</si>
  <si>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</si>
  <si>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</si>
  <si>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</si>
  <si>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</si>
  <si>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</si>
  <si>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</si>
  <si>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</si>
  <si>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</si>
  <si>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</si>
  <si>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</si>
  <si>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</si>
  <si>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</si>
  <si>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</si>
  <si>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</si>
  <si>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</si>
  <si>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</si>
  <si>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</si>
  <si>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</si>
  <si>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</si>
  <si>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</si>
  <si>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</si>
  <si>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</si>
  <si>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</si>
  <si>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</si>
  <si>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</si>
  <si>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</si>
  <si>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</si>
  <si>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</si>
  <si>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</si>
  <si>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</si>
  <si>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</si>
  <si>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</si>
  <si>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</si>
  <si>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</si>
  <si>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</si>
  <si>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</si>
  <si>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</si>
  <si>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</si>
  <si>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</si>
  <si>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</si>
  <si>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</si>
  <si>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</si>
  <si>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</si>
  <si>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</si>
  <si>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</si>
  <si>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</si>
  <si>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</si>
  <si>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</si>
  <si>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</si>
  <si>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</si>
  <si>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</si>
  <si>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</si>
  <si>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</si>
  <si>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</si>
  <si>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</si>
  <si>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</si>
  <si>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</si>
  <si>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</si>
  <si>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</si>
  <si>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</si>
  <si>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</si>
  <si>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</si>
  <si>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</si>
  <si>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</si>
  <si>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</si>
  <si>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</si>
  <si>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</si>
  <si>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</si>
  <si>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</si>
  <si>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</si>
  <si>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</si>
  <si>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</si>
  <si>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</si>
  <si>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</si>
  <si>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</si>
  <si>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</si>
  <si>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</si>
  <si>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</si>
  <si>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</si>
  <si>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</si>
  <si>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</si>
  <si>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</si>
  <si>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</si>
  <si>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</si>
  <si>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</si>
  <si>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</si>
  <si>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</si>
  <si>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</si>
  <si>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</si>
  <si>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</si>
  <si>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</si>
  <si>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</si>
  <si>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</si>
  <si>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</si>
  <si>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</si>
  <si>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</si>
  <si>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</si>
  <si>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</si>
  <si>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</si>
  <si>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</si>
  <si>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</si>
  <si>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</si>
  <si>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</si>
  <si>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</si>
  <si>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</si>
  <si>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</si>
  <si>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</si>
  <si>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</si>
  <si>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</si>
  <si>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</si>
  <si>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</si>
  <si>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</si>
  <si>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</si>
  <si>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</si>
  <si>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</si>
  <si>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</si>
  <si>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</si>
  <si>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</si>
  <si>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</si>
  <si>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</si>
  <si>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</si>
  <si>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</si>
  <si>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</si>
  <si>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</si>
  <si>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</si>
  <si>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</si>
  <si>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</si>
  <si>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</si>
  <si>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</si>
  <si>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</si>
  <si>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</si>
  <si>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</si>
  <si>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</si>
  <si>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</si>
  <si>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</si>
  <si>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</si>
  <si>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</si>
  <si>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</si>
  <si>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</si>
  <si>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</si>
  <si>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</si>
  <si>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</si>
  <si>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</si>
  <si>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</si>
  <si>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</si>
  <si>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</si>
  <si>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</si>
  <si>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</si>
  <si>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</si>
  <si>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</si>
  <si>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</si>
  <si>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</si>
  <si>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</si>
  <si>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</si>
  <si>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</si>
  <si>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</si>
  <si>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</si>
  <si>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</si>
  <si>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</si>
  <si>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</si>
  <si>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</si>
  <si>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</si>
  <si>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</si>
  <si>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</si>
  <si>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</si>
  <si>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</si>
  <si>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</si>
  <si>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</si>
  <si>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</si>
  <si>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</si>
  <si>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</si>
  <si>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</si>
  <si>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</si>
  <si>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</si>
  <si>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</si>
  <si>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</si>
  <si>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</si>
  <si>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</si>
  <si>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</si>
  <si>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</si>
  <si>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</si>
  <si>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</si>
  <si>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</si>
  <si>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</si>
  <si>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</si>
  <si>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</si>
  <si>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</si>
  <si>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</si>
  <si>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</si>
  <si>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</si>
  <si>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</si>
  <si>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</si>
  <si>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</si>
  <si>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</si>
  <si>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</si>
  <si>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</si>
  <si>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</si>
  <si>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</si>
  <si>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</si>
  <si>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</si>
  <si>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</si>
  <si>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</si>
  <si>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</si>
  <si>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</si>
  <si>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</si>
  <si>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</si>
  <si>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</si>
  <si>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</si>
  <si>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</si>
  <si>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</si>
  <si>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</si>
  <si>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</si>
  <si>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</si>
  <si>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</si>
  <si>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</si>
  <si>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</si>
  <si>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</si>
  <si>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</si>
  <si>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</si>
  <si>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</si>
  <si>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</si>
  <si>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</si>
  <si>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</si>
  <si>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</si>
  <si>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</si>
  <si>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</si>
  <si>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</si>
  <si>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</si>
  <si>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</si>
  <si>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</si>
  <si>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</si>
  <si>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</si>
  <si>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</si>
  <si>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</si>
  <si>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</si>
  <si>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</si>
  <si>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</si>
  <si>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</si>
  <si>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</si>
  <si>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</si>
  <si>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</si>
  <si>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</si>
  <si>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</si>
  <si>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</si>
  <si>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</si>
  <si>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</si>
  <si>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</si>
  <si>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</si>
  <si>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</si>
  <si>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</si>
  <si>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</si>
  <si>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</si>
  <si>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</si>
  <si>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</si>
  <si>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</si>
  <si>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</si>
  <si>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</si>
  <si>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</si>
  <si>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</si>
  <si>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</si>
  <si>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</si>
  <si>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</si>
  <si>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</si>
  <si>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</si>
  <si>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</si>
  <si>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</si>
  <si>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</si>
  <si>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</si>
  <si>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</si>
  <si>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</si>
  <si>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</si>
  <si>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</si>
  <si>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</si>
  <si>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</si>
  <si>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</si>
  <si>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</si>
  <si>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</si>
  <si>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</si>
  <si>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</si>
  <si>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</si>
  <si>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</si>
  <si>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</si>
  <si>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</si>
  <si>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</si>
  <si>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</si>
  <si>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</si>
  <si>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</si>
  <si>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</si>
  <si>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</si>
  <si>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</si>
  <si>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</si>
  <si>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</si>
  <si>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</si>
  <si>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</si>
  <si>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</si>
  <si>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</si>
  <si>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</si>
  <si>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</si>
  <si>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</si>
  <si>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</si>
  <si>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</si>
  <si>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</si>
  <si>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</si>
  <si>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</si>
  <si>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</si>
  <si>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</si>
  <si>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</si>
  <si>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</si>
  <si>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</si>
  <si>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</si>
  <si>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</si>
  <si>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</si>
  <si>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</si>
  <si>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</si>
  <si>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</si>
  <si>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</si>
  <si>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</si>
  <si>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</si>
  <si>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</si>
  <si>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</si>
  <si>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</si>
  <si>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</si>
  <si>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</si>
  <si>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</si>
  <si>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</si>
  <si>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</si>
  <si>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</si>
  <si>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</si>
  <si>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</si>
  <si>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</si>
  <si>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</si>
  <si>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</si>
  <si>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</si>
  <si>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</si>
  <si>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</si>
  <si>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</si>
  <si>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</si>
  <si>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</si>
  <si>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</si>
  <si>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</si>
  <si>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</si>
  <si>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</si>
  <si>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</si>
  <si>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</si>
  <si>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</si>
  <si>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</si>
  <si>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</si>
  <si>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</si>
  <si>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</si>
  <si>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</si>
  <si>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</si>
  <si>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</si>
  <si>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</si>
  <si>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</si>
  <si>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</si>
  <si>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</si>
  <si>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</si>
  <si>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</si>
  <si>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</si>
  <si>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</si>
  <si>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</si>
  <si>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</si>
  <si>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</si>
  <si>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</si>
  <si>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</si>
  <si>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</si>
  <si>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</si>
  <si>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</si>
  <si>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</si>
  <si>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</si>
  <si>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</si>
  <si>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</si>
  <si>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</si>
  <si>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</si>
  <si>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</si>
  <si>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</si>
  <si>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</si>
  <si>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</si>
  <si>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</si>
  <si>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</si>
  <si>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</si>
  <si>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</si>
  <si>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</si>
  <si>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</si>
  <si>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</si>
  <si>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</si>
  <si>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</si>
  <si>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</si>
  <si>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</si>
  <si>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</si>
  <si>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</si>
  <si>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</si>
  <si>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</si>
  <si>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</si>
  <si>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</si>
  <si>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</si>
  <si>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</si>
  <si>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</si>
  <si>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</si>
  <si>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</si>
  <si>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</si>
  <si>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</si>
  <si>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</si>
  <si>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</si>
  <si>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</si>
  <si>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</si>
  <si>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</si>
  <si>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</si>
  <si>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</si>
  <si>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</si>
  <si>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</si>
  <si>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</si>
  <si>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</si>
  <si>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</si>
  <si>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</si>
  <si>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</si>
  <si>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</si>
  <si>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</si>
  <si>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</si>
  <si>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</si>
  <si>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</si>
  <si>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</si>
  <si>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</si>
  <si>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</si>
  <si>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</si>
  <si>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</si>
  <si>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</si>
  <si>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</si>
  <si>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</si>
  <si>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</si>
  <si>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</si>
  <si>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</si>
  <si>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</si>
  <si>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</si>
  <si>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</si>
  <si>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</si>
  <si>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</si>
  <si>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</si>
  <si>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</si>
  <si>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</si>
  <si>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</si>
  <si>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</si>
  <si>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</si>
  <si>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</si>
  <si>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</si>
  <si>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</si>
  <si>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</si>
  <si>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</si>
  <si>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</si>
  <si>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</si>
  <si>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</si>
  <si>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</si>
  <si>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</si>
  <si>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</si>
  <si>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</si>
  <si>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</si>
  <si>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</si>
  <si>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</si>
  <si>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</si>
  <si>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</si>
  <si>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</si>
  <si>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</si>
  <si>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</si>
  <si>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</si>
  <si>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</si>
  <si>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</si>
  <si>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</si>
  <si>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</si>
  <si>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</si>
  <si>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</si>
  <si>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</si>
  <si>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</si>
  <si>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</si>
  <si>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</si>
  <si>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</si>
  <si>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</si>
  <si>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</si>
  <si>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</si>
  <si>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</si>
  <si>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</si>
  <si>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</si>
  <si>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</si>
  <si>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</si>
  <si>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</si>
  <si>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</si>
  <si>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</si>
  <si>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</si>
  <si>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</si>
  <si>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</si>
  <si>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</si>
  <si>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</si>
  <si>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</si>
  <si>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</si>
  <si>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</si>
  <si>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</si>
  <si>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</si>
  <si>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</si>
  <si>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</si>
  <si>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</si>
  <si>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</si>
  <si>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</si>
  <si>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</si>
  <si>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</si>
  <si>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</si>
  <si>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</si>
  <si>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</si>
  <si>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</si>
  <si>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</si>
  <si>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</si>
  <si>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</si>
  <si>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</si>
  <si>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</si>
  <si>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</si>
  <si>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</si>
  <si>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</si>
  <si>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</si>
  <si>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</si>
  <si>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</si>
  <si>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</si>
  <si>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</si>
  <si>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</si>
  <si>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</si>
  <si>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</si>
  <si>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</si>
  <si>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</si>
  <si>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</si>
  <si>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</si>
  <si>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</si>
  <si>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</si>
  <si>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</si>
  <si>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</si>
  <si>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</si>
  <si>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</si>
  <si>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</si>
  <si>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</si>
  <si>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</si>
  <si>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</si>
  <si>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</si>
  <si>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</si>
  <si>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</si>
  <si>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</si>
  <si>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</si>
  <si>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</si>
  <si>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</si>
  <si>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</si>
  <si>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</si>
  <si>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</si>
  <si>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</si>
  <si>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</si>
  <si>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</si>
  <si>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</si>
  <si>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</si>
  <si>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</si>
  <si>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</si>
  <si>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</si>
  <si>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</si>
  <si>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</si>
  <si>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</si>
  <si>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</si>
  <si>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</si>
  <si>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</si>
  <si>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</si>
  <si>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</si>
  <si>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</si>
  <si>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</si>
  <si>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</si>
  <si>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</si>
  <si>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</si>
  <si>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</si>
  <si>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</si>
  <si>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</si>
  <si>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</si>
  <si>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</si>
  <si>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</si>
  <si>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</si>
  <si>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</si>
  <si>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</si>
  <si>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</si>
  <si>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</si>
  <si>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</si>
  <si>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</si>
  <si>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</si>
  <si>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</si>
  <si>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</si>
  <si>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</si>
  <si>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</si>
  <si>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</si>
  <si>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</si>
  <si>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</si>
  <si>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</si>
  <si>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</si>
  <si>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</si>
  <si>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</si>
  <si>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</si>
  <si>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</si>
  <si>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</si>
  <si>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</si>
  <si>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</si>
  <si>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</si>
  <si>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</si>
  <si>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</si>
  <si>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</si>
  <si>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</si>
  <si>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</si>
  <si>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</si>
  <si>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</si>
  <si>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</si>
  <si>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</si>
  <si>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</si>
  <si>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</si>
  <si>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</si>
  <si>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</si>
  <si>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</si>
  <si>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</si>
  <si>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</si>
  <si>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</si>
  <si>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</si>
  <si>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</si>
  <si>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</si>
  <si>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</si>
  <si>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</si>
  <si>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</si>
  <si>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</si>
  <si>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</si>
  <si>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</si>
  <si>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</si>
  <si>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</si>
  <si>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</si>
  <si>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</si>
  <si>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</si>
  <si>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</si>
  <si>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</si>
  <si>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</si>
  <si>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</si>
  <si>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</si>
  <si>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</si>
  <si>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</si>
  <si>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</si>
  <si>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</si>
  <si>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</si>
  <si>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</si>
  <si>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</si>
  <si>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</si>
  <si>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</si>
  <si>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</si>
  <si>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</si>
  <si>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</si>
  <si>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</si>
  <si>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</si>
  <si>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</si>
  <si>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</si>
  <si>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</si>
  <si>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</si>
  <si>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</si>
  <si>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</si>
  <si>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</si>
  <si>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</si>
  <si>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</si>
  <si>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</si>
  <si>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</si>
  <si>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</si>
  <si>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</si>
  <si>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</si>
  <si>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</si>
  <si>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</si>
  <si>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</si>
  <si>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</si>
  <si>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</si>
  <si>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</si>
  <si>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</si>
  <si>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</si>
  <si>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</si>
  <si>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</si>
  <si>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</si>
  <si>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</si>
  <si>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</si>
  <si>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</si>
  <si>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</si>
  <si>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</si>
  <si>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</si>
  <si>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</si>
  <si>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</si>
  <si>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</si>
  <si>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</si>
  <si>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</si>
  <si>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</si>
  <si>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</si>
  <si>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</si>
  <si>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</si>
  <si>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</si>
  <si>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</si>
  <si>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</si>
  <si>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</si>
  <si>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</si>
  <si>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</si>
  <si>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</si>
  <si>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</si>
  <si>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</si>
  <si>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</si>
  <si>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</si>
  <si>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</si>
  <si>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</si>
  <si>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</si>
  <si>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</si>
  <si>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</si>
  <si>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</si>
  <si>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</si>
  <si>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</si>
  <si>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</si>
  <si>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</si>
  <si>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</si>
  <si>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</si>
  <si>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</si>
  <si>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</si>
  <si>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</si>
  <si>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</si>
  <si>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</si>
  <si>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</si>
  <si>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</si>
  <si>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</si>
  <si>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</si>
  <si>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</si>
  <si>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</si>
  <si>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</si>
  <si>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</si>
  <si>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</si>
  <si>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</si>
  <si>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</si>
  <si>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</si>
  <si>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</si>
  <si>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</si>
  <si>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</si>
  <si>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</si>
  <si>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</si>
  <si>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</si>
  <si>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</si>
  <si>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</si>
  <si>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</si>
  <si>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</si>
  <si>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</si>
  <si>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</si>
  <si>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</si>
  <si>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</si>
  <si>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</si>
  <si>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</si>
  <si>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</si>
  <si>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</si>
  <si>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</si>
  <si>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</si>
  <si>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</si>
  <si>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</si>
  <si>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</si>
  <si>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</si>
  <si>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</si>
  <si>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</si>
  <si>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</si>
  <si>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</si>
  <si>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</si>
  <si>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</si>
  <si>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</si>
  <si>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</si>
  <si>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</si>
  <si>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</si>
  <si>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</si>
  <si>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</si>
  <si>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</si>
  <si>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</si>
  <si>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</si>
  <si>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</si>
  <si>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</si>
  <si>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</si>
  <si>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</si>
  <si>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</si>
  <si>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</si>
  <si>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</si>
  <si>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</si>
  <si>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</si>
  <si>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</si>
  <si>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</si>
  <si>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</si>
  <si>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</si>
  <si>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</si>
  <si>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</si>
  <si>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</si>
  <si>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</si>
  <si>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</si>
  <si>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</si>
  <si>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</si>
  <si>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</si>
  <si>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</si>
  <si>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</si>
  <si>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</si>
  <si>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</si>
  <si>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</si>
  <si>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</si>
  <si>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</si>
  <si>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</si>
  <si>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</si>
  <si>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</si>
  <si>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</si>
  <si>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</si>
  <si>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</si>
  <si>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</si>
  <si>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</si>
  <si>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</si>
  <si>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</si>
  <si>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</si>
  <si>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</si>
  <si>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</si>
  <si>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</si>
  <si>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</si>
  <si>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</si>
  <si>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</si>
  <si>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</si>
  <si>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</si>
  <si>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</si>
  <si>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</si>
  <si>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</si>
  <si>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</si>
  <si>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</si>
  <si>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</si>
  <si>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</si>
  <si>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</si>
  <si>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</si>
  <si>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</si>
  <si>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</si>
  <si>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</si>
  <si>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</si>
  <si>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</si>
  <si>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</si>
  <si>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</si>
  <si>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</si>
  <si>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</si>
  <si>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</si>
  <si>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</si>
  <si>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</si>
  <si>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</si>
  <si>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</si>
  <si>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</si>
  <si>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</si>
  <si>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</si>
  <si>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</si>
  <si>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</si>
  <si>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</si>
  <si>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</si>
  <si>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</si>
  <si>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</si>
  <si>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</si>
  <si>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</si>
  <si>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</si>
  <si>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</si>
  <si>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</si>
  <si>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</si>
  <si>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</si>
  <si>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</si>
  <si>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</si>
  <si>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</si>
  <si>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</si>
  <si>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</si>
  <si>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</si>
  <si>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</si>
  <si>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</si>
  <si>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</si>
  <si>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</si>
  <si>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</si>
  <si>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</si>
  <si>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</si>
  <si>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</si>
  <si>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</si>
  <si>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</si>
  <si>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</si>
  <si>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</si>
  <si>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</si>
  <si>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</si>
  <si>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</si>
  <si>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</si>
  <si>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</si>
  <si>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</si>
  <si>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</si>
  <si>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</si>
  <si>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</si>
  <si>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</si>
  <si>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</si>
  <si>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</si>
  <si>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</si>
  <si>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</si>
  <si>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</si>
  <si>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</si>
  <si>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</si>
  <si>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</si>
  <si>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</si>
  <si>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</si>
  <si>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</si>
  <si>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</si>
  <si>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</si>
  <si>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</si>
  <si>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</si>
  <si>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</si>
  <si>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</si>
  <si>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</si>
  <si>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</si>
  <si>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</si>
  <si>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</si>
  <si>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</si>
  <si>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</si>
  <si>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</si>
  <si>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</si>
  <si>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</si>
  <si>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</si>
  <si>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</si>
  <si>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</si>
  <si>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</si>
  <si>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</si>
  <si>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</si>
  <si>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</si>
  <si>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</si>
  <si>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</si>
  <si>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</si>
  <si>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</si>
  <si>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</si>
  <si>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</si>
  <si>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</si>
  <si>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</si>
  <si>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</si>
  <si>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</si>
  <si>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</si>
  <si>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</si>
  <si>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</si>
  <si>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</si>
  <si>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</si>
  <si>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</si>
  <si>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</si>
  <si>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</si>
  <si>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</si>
  <si>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</si>
  <si>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</si>
  <si>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</si>
  <si>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</si>
  <si>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</si>
  <si>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</si>
  <si>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</si>
  <si>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</si>
  <si>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</si>
  <si>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</si>
  <si>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</si>
  <si>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</si>
  <si>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</si>
  <si>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</si>
  <si>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</si>
  <si>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</si>
  <si>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</si>
  <si>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</si>
  <si>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</si>
  <si>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</si>
  <si>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</si>
  <si>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</si>
  <si>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</si>
  <si>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</si>
  <si>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</si>
  <si>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</si>
  <si>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</si>
  <si>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</si>
  <si>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</si>
  <si>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</si>
  <si>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</si>
  <si>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</si>
  <si>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</si>
  <si>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</si>
  <si>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</si>
  <si>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</si>
  <si>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</si>
  <si>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</si>
  <si>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</si>
  <si>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</si>
  <si>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</si>
  <si>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</si>
  <si>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</si>
  <si>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</si>
  <si>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</si>
  <si>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</si>
  <si>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</si>
  <si>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</si>
  <si>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</si>
  <si>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</si>
  <si>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</si>
  <si>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</si>
  <si>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</si>
  <si>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</si>
  <si>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</si>
  <si>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</si>
  <si>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</si>
  <si>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</si>
  <si>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</si>
  <si>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</si>
  <si>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</si>
  <si>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</si>
  <si>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</si>
  <si>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</si>
  <si>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</si>
  <si>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</si>
  <si>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</si>
  <si>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</si>
  <si>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</si>
  <si>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</si>
  <si>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</si>
  <si>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</si>
  <si>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</si>
  <si>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</si>
  <si>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</si>
  <si>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</si>
  <si>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</si>
  <si>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</si>
  <si>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</si>
  <si>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</si>
  <si>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</si>
  <si>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</si>
  <si>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</si>
  <si>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</si>
  <si>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</si>
  <si>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</si>
  <si>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</si>
  <si>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</si>
  <si>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</si>
  <si>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</si>
  <si>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</si>
  <si>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</si>
  <si>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</si>
  <si>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</si>
  <si>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</si>
  <si>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</si>
  <si>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</si>
  <si>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</si>
  <si>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</si>
  <si>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</si>
  <si>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</si>
  <si>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</si>
  <si>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</si>
  <si>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</si>
  <si>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</si>
  <si>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</si>
  <si>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</si>
  <si>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</si>
  <si>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</si>
  <si>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</si>
  <si>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</si>
  <si>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</si>
  <si>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</si>
  <si>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</si>
  <si>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</si>
  <si>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</si>
  <si>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</si>
  <si>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</si>
  <si>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</si>
  <si>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</si>
  <si>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</si>
  <si>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</si>
  <si>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</si>
  <si>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</si>
  <si>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</si>
  <si>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</si>
  <si>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</si>
  <si>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</si>
  <si>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</si>
  <si>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</si>
  <si>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</si>
  <si>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</si>
  <si>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</si>
  <si>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</si>
  <si>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</si>
  <si>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</si>
  <si>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</si>
  <si>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</si>
  <si>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</si>
  <si>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</si>
  <si>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</si>
  <si>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</si>
  <si>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</si>
  <si>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</si>
  <si>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</si>
  <si>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</si>
  <si>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</si>
  <si>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</si>
  <si>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</si>
  <si>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</si>
  <si>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</si>
  <si>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</si>
  <si>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</si>
  <si>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</si>
  <si>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</si>
  <si>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</si>
  <si>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</si>
  <si>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</si>
  <si>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</si>
  <si>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</si>
  <si>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</si>
  <si>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</si>
  <si>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</si>
  <si>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</si>
  <si>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</si>
  <si>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</si>
  <si>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</si>
  <si>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</si>
  <si>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</si>
  <si>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</si>
  <si>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</si>
  <si>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</si>
  <si>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</si>
  <si>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</si>
  <si>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</si>
  <si>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</si>
  <si>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</si>
  <si>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</si>
  <si>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</si>
  <si>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</si>
  <si>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</si>
  <si>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</si>
  <si>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</si>
  <si>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</si>
  <si>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</si>
  <si>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</si>
  <si>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</si>
  <si>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</si>
  <si>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</si>
  <si>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</si>
  <si>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</si>
  <si>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</si>
  <si>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</si>
  <si>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</si>
  <si>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</si>
  <si>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</si>
  <si>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</si>
  <si>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</si>
  <si>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</si>
  <si>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</si>
  <si>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</si>
  <si>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</si>
  <si>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</si>
  <si>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</si>
  <si>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</si>
  <si>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</si>
  <si>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</si>
  <si>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</si>
  <si>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</si>
  <si>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</si>
  <si>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</si>
  <si>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</si>
  <si>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</si>
  <si>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</si>
  <si>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</si>
  <si>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</si>
  <si>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</si>
  <si>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</si>
  <si>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</si>
  <si>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</si>
  <si>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</si>
  <si>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</si>
  <si>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</si>
  <si>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</si>
  <si>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</si>
  <si>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</si>
  <si>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</si>
  <si>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</si>
  <si>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</si>
  <si>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</si>
  <si>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</si>
  <si>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</si>
  <si>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</si>
  <si>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</si>
  <si>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</si>
  <si>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</si>
  <si>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</si>
  <si>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</si>
  <si>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</si>
  <si>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</si>
  <si>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</si>
  <si>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</si>
  <si>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</si>
  <si>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</si>
  <si>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</si>
  <si>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</si>
  <si>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</si>
  <si>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</si>
  <si>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</si>
  <si>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</si>
  <si>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</si>
  <si>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</si>
  <si>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</si>
  <si>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</si>
  <si>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</si>
  <si>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</si>
  <si>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</si>
  <si>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</si>
  <si>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</si>
  <si>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</si>
  <si>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</si>
  <si>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</si>
  <si>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</si>
  <si>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</si>
  <si>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</si>
  <si>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</si>
  <si>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</si>
  <si>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</si>
  <si>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</si>
  <si>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</si>
  <si>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</si>
  <si>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</si>
  <si>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</si>
  <si>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</si>
  <si>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</si>
  <si>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</si>
  <si>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</si>
  <si>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</si>
  <si>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</si>
  <si>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</si>
  <si>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</si>
  <si>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</si>
  <si>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</si>
  <si>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</si>
  <si>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</si>
  <si>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</si>
  <si>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</si>
  <si>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</si>
  <si>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</si>
  <si>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</si>
  <si>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</si>
  <si>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</si>
  <si>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</si>
  <si>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</si>
  <si>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</si>
  <si>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</si>
  <si>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</si>
  <si>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</si>
  <si>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</si>
  <si>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</si>
  <si>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</si>
  <si>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</si>
  <si>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</si>
  <si>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</si>
  <si>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</si>
  <si>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</si>
  <si>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</si>
  <si>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</si>
  <si>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</si>
  <si>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</si>
  <si>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</si>
  <si>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</si>
  <si>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</si>
  <si>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</si>
  <si>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</si>
  <si>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</si>
  <si>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</si>
  <si>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</si>
  <si>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</si>
  <si>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</si>
  <si>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</si>
  <si>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</si>
  <si>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</si>
  <si>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</si>
  <si>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</si>
  <si>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</si>
  <si>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</si>
  <si>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</si>
  <si>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</si>
  <si>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</si>
  <si>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</si>
  <si>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</si>
  <si>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</si>
  <si>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</si>
  <si>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</si>
  <si>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</si>
  <si>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</si>
  <si>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</si>
  <si>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</si>
  <si>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</si>
  <si>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</si>
  <si>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</si>
  <si>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</si>
  <si>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</si>
  <si>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</si>
  <si>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</si>
  <si>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</si>
  <si>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</si>
  <si>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</si>
  <si>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</si>
  <si>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</si>
  <si>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</si>
  <si>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</si>
  <si>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</si>
  <si>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</si>
  <si>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</si>
  <si>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</si>
  <si>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</si>
  <si>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</si>
  <si>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</si>
  <si>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</si>
  <si>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</si>
  <si>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</si>
  <si>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</si>
  <si>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</si>
  <si>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</si>
  <si>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</si>
  <si>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</si>
  <si>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</si>
  <si>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</si>
  <si>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</si>
  <si>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</si>
  <si>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5.000 Puan</t>
  </si>
  <si>
    <t>10.000 Puan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</si>
  <si>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</si>
  <si>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</si>
  <si>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</si>
  <si>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</si>
  <si>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</si>
  <si>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</si>
  <si>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AĞUSTOS  BİP</t>
  </si>
  <si>
    <t>15 Eylül Montaj Zorunlu</t>
  </si>
  <si>
    <t>AĞUSTOS  TOPTAN</t>
  </si>
  <si>
    <t>ONLINE FİYATI</t>
  </si>
  <si>
    <t>devamı yok</t>
  </si>
  <si>
    <t>Seçili Ankastre Set Alımına perakende de  5.000 TL İndirim!</t>
  </si>
  <si>
    <t>2'li LDA alımında perakende de  5.000 TL İndirim!</t>
  </si>
  <si>
    <r>
      <t xml:space="preserve">2’li LDA alımında perakende de  </t>
    </r>
    <r>
      <rPr>
        <b/>
        <u/>
        <sz val="28"/>
        <color theme="1"/>
        <rFont val="Siemens Progress"/>
      </rPr>
      <t>5.000 ₺</t>
    </r>
    <r>
      <rPr>
        <u/>
        <sz val="28"/>
        <color theme="1"/>
        <rFont val="Siemens Progress"/>
      </rPr>
      <t xml:space="preserve"> </t>
    </r>
    <r>
      <rPr>
        <sz val="28"/>
        <color theme="1"/>
        <rFont val="Siemens Progress"/>
      </rPr>
      <t xml:space="preserve">indirim uygulanır.                                                    </t>
    </r>
    <r>
      <rPr>
        <b/>
        <sz val="28"/>
        <color rgb="FFFF0000"/>
        <rFont val="Siemens Progress"/>
        <charset val="162"/>
      </rPr>
      <t xml:space="preserve">“diğer kampanyalar ile birleşemez”     </t>
    </r>
    <r>
      <rPr>
        <b/>
        <sz val="28"/>
        <color theme="1"/>
        <rFont val="Siemens Progress"/>
        <charset val="162"/>
      </rPr>
      <t xml:space="preserve">                                                                                        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4.000 ₺</t>
    </r>
    <r>
      <rPr>
        <sz val="2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28"/>
        <color theme="1"/>
        <rFont val="Siemens Progress"/>
        <charset val="162"/>
      </rPr>
      <t xml:space="preserve"> (Buzdolabı-Çamaşır-Bulaşık-Kurutma-Derin Dondurucu)                                                            </t>
    </r>
    <r>
      <rPr>
        <b/>
        <sz val="28"/>
        <color rgb="FFFF0000"/>
        <rFont val="Siemens Progress"/>
        <charset val="162"/>
      </rPr>
      <t>(XL-XXL Buzdolapları hariç)</t>
    </r>
  </si>
  <si>
    <t xml:space="preserve">HB012FBH1T, HB012FBB1T, HB012FBW1T + (phase out iQ300 ve iQ500 segment modeller) Ankastre fırınlarda geçerlidir. </t>
  </si>
  <si>
    <r>
      <t xml:space="preserve">Uygulama koşulları : Seçili ankastre fırınlar ile set </t>
    </r>
    <r>
      <rPr>
        <sz val="28"/>
        <rFont val="Siemens Progress"/>
      </rPr>
      <t xml:space="preserve">(fırın+ocak+dav.) set alana perakende de 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</t>
    </r>
    <r>
      <rPr>
        <b/>
        <sz val="28"/>
        <color rgb="FFFF0000"/>
        <rFont val="Siemens Progress"/>
        <charset val="162"/>
      </rPr>
      <t xml:space="preserve"> Diğer fırınlarda geçerli değildir.</t>
    </r>
    <r>
      <rPr>
        <sz val="28"/>
        <rFont val="Siemens Progress"/>
      </rPr>
      <t xml:space="preserve">              KDV dahil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3.700 ₺</t>
    </r>
    <r>
      <rPr>
        <sz val="28"/>
        <color rgb="FFFF0000"/>
        <rFont val="Siemens Progress"/>
        <charset val="162"/>
      </rPr>
      <t xml:space="preserve"> </t>
    </r>
    <r>
      <rPr>
        <sz val="28"/>
        <rFont val="Siemens Progress"/>
      </rPr>
      <t>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</si>
  <si>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perakende de LC63KPJ60T Davlumbaz Hediye!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</si>
  <si>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</si>
  <si>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12.400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</t>
    </r>
    <r>
      <rPr>
        <b/>
        <sz val="28"/>
        <color rgb="FFFF0000"/>
        <rFont val="Siemens Progress"/>
        <charset val="162"/>
      </rPr>
      <t>9.400 ₺</t>
    </r>
    <r>
      <rPr>
        <b/>
        <sz val="28"/>
        <color theme="1"/>
        <rFont val="Siemens Progress"/>
      </rPr>
      <t xml:space="preserve"> </t>
    </r>
    <r>
      <rPr>
        <sz val="28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</si>
  <si>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ER6A6PH40</t>
  </si>
  <si>
    <t>ER3A6AI10</t>
  </si>
  <si>
    <t>ER3A6BI40</t>
  </si>
  <si>
    <t>EC9A5RI90</t>
  </si>
  <si>
    <t>EP6A2PI40O</t>
  </si>
  <si>
    <t>EX801LYC1E</t>
  </si>
  <si>
    <t>7 AĞUSTOS  BEKLEYEN</t>
  </si>
  <si>
    <t>30.09.2026 montaj zorunlu PHASE OUT</t>
  </si>
  <si>
    <t>VARSA BİP KOŞULU</t>
  </si>
  <si>
    <t>KB96NADD1</t>
  </si>
  <si>
    <t>ONLINE SATILABİLİR</t>
  </si>
  <si>
    <t>17 AĞUSTOS HOROZ</t>
  </si>
  <si>
    <t>17 AĞUSTOS STUDIOLINE HOROZ</t>
  </si>
  <si>
    <t>17 AĞUSTOS  YILDIZ DEPO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</si>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</sst>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6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8"/>
      <color theme="0"/>
      <name val="Calibri"/>
      <family val="2"/>
      <charset val="162"/>
      <scheme val="minor"/>
    </font>
    <font>
      <b/>
      <u/>
      <sz val="28"/>
      <color theme="1"/>
      <name val="Siemens Progress"/>
    </font>
    <font>
      <u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rgb="FFFF0000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sz val="28"/>
      <color theme="1"/>
      <name val="Siemens Progress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0" fillId="0" borderId="0"/>
    <xf numFmtId="0" fontId="1" fillId="0" borderId="0"/>
    <xf numFmtId="0" fontId="31" fillId="0" borderId="0"/>
    <xf numFmtId="0" fontId="32" fillId="0" borderId="0"/>
    <xf numFmtId="0" fontId="20" fillId="0" borderId="0"/>
    <xf numFmtId="0" fontId="3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8" fillId="0" borderId="0"/>
    <xf numFmtId="0" fontId="34" fillId="0" borderId="0" applyNumberFormat="0" applyFill="0" applyBorder="0" applyAlignment="0" applyProtection="0"/>
  </cellStyleXfs>
  <cellXfs count="21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5" fillId="8" borderId="0" xfId="0" applyFont="1" applyFill="1" applyAlignment="1">
      <alignment horizontal="left" vertical="center" wrapText="1"/>
    </xf>
    <xf numFmtId="0" fontId="23" fillId="8" borderId="0" xfId="0" applyFont="1" applyFill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17" fillId="0" borderId="0" xfId="0" applyFont="1"/>
    <xf numFmtId="164" fontId="30" fillId="0" borderId="1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0" fillId="0" borderId="0" xfId="0" applyNumberFormat="1"/>
    <xf numFmtId="0" fontId="34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8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0" fillId="5" borderId="1" xfId="1" applyNumberFormat="1" applyFont="1" applyFill="1" applyBorder="1" applyAlignment="1" applyProtection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164" fontId="35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27" fillId="0" borderId="1" xfId="1" applyNumberFormat="1" applyFont="1" applyFill="1" applyBorder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34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4" fillId="0" borderId="0" xfId="7" applyNumberFormat="1"/>
    <xf numFmtId="0" fontId="22" fillId="14" borderId="0" xfId="0" applyFont="1" applyFill="1" applyAlignment="1">
      <alignment horizontal="left" vertical="center"/>
    </xf>
    <xf numFmtId="0" fontId="22" fillId="15" borderId="0" xfId="0" applyFont="1" applyFill="1" applyAlignment="1">
      <alignment horizontal="left" vertical="center"/>
    </xf>
    <xf numFmtId="0" fontId="36" fillId="0" borderId="0" xfId="0" applyFont="1" applyAlignment="1">
      <alignment horizontal="left"/>
    </xf>
    <xf numFmtId="164" fontId="17" fillId="0" borderId="1" xfId="1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164" fontId="39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1" fillId="0" borderId="1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" fillId="0" borderId="0" xfId="8" applyAlignment="1">
      <alignment horizontal="left" vertical="center"/>
    </xf>
    <xf numFmtId="0" fontId="24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8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33" fillId="0" borderId="0" xfId="6" applyFont="1" applyAlignment="1">
      <alignment horizontal="center" vertical="center"/>
    </xf>
    <xf numFmtId="0" fontId="1" fillId="0" borderId="0" xfId="6" applyFont="1"/>
    <xf numFmtId="0" fontId="33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0" fontId="44" fillId="0" borderId="0" xfId="6" applyFont="1" applyAlignment="1">
      <alignment horizontal="center" vertical="center" wrapText="1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0" fillId="25" borderId="12" xfId="9" applyFont="1" applyFill="1" applyBorder="1" applyAlignment="1">
      <alignment horizontal="center" vertical="center"/>
    </xf>
    <xf numFmtId="49" fontId="40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48" fillId="0" borderId="0" xfId="11" applyNumberFormat="1"/>
    <xf numFmtId="0" fontId="34" fillId="0" borderId="0" xfId="12"/>
    <xf numFmtId="164" fontId="51" fillId="26" borderId="0" xfId="1" applyNumberFormat="1" applyFont="1" applyFill="1" applyAlignment="1">
      <alignment horizontal="center" vertical="center" wrapText="1"/>
    </xf>
    <xf numFmtId="49" fontId="34" fillId="0" borderId="0" xfId="12" applyNumberFormat="1"/>
    <xf numFmtId="0" fontId="34" fillId="0" borderId="0" xfId="12" applyAlignment="1">
      <alignment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9" fillId="10" borderId="0" xfId="1" applyNumberFormat="1" applyFont="1" applyFill="1" applyAlignment="1">
      <alignment horizontal="center" vertical="center" wrapText="1"/>
    </xf>
    <xf numFmtId="164" fontId="14" fillId="10" borderId="0" xfId="1" applyNumberFormat="1" applyFont="1" applyFill="1" applyAlignment="1">
      <alignment horizontal="center" vertical="center" wrapText="1"/>
    </xf>
    <xf numFmtId="0" fontId="44" fillId="29" borderId="0" xfId="6" applyFont="1" applyFill="1" applyAlignment="1">
      <alignment horizontal="center" vertical="center" wrapText="1"/>
    </xf>
    <xf numFmtId="164" fontId="9" fillId="8" borderId="1" xfId="1" applyNumberFormat="1" applyFont="1" applyFill="1" applyBorder="1" applyAlignment="1">
      <alignment horizontal="left" vertical="center" wrapText="1"/>
    </xf>
    <xf numFmtId="0" fontId="60" fillId="0" borderId="0" xfId="0" applyFont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164" fontId="39" fillId="0" borderId="0" xfId="1" applyNumberFormat="1" applyFont="1" applyFill="1" applyAlignment="1">
      <alignment horizontal="center" vertical="center"/>
    </xf>
    <xf numFmtId="164" fontId="16" fillId="0" borderId="0" xfId="1" applyNumberFormat="1" applyFont="1" applyFill="1" applyAlignment="1">
      <alignment horizontal="left" vertical="center"/>
    </xf>
    <xf numFmtId="164" fontId="14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0" fontId="1" fillId="0" borderId="0" xfId="0" applyFont="1"/>
    <xf numFmtId="164" fontId="16" fillId="0" borderId="0" xfId="1" applyNumberFormat="1" applyFont="1" applyFill="1" applyAlignment="1">
      <alignment horizontal="center" vertical="center"/>
    </xf>
    <xf numFmtId="164" fontId="14" fillId="0" borderId="0" xfId="1" applyNumberFormat="1" applyFont="1" applyFill="1" applyAlignment="1">
      <alignment horizontal="left" vertical="center"/>
    </xf>
    <xf numFmtId="164" fontId="14" fillId="6" borderId="0" xfId="1" applyNumberFormat="1" applyFont="1" applyFill="1" applyAlignment="1">
      <alignment horizontal="center" vertical="center" wrapText="1"/>
    </xf>
    <xf numFmtId="164" fontId="14" fillId="0" borderId="0" xfId="1" applyNumberFormat="1" applyFont="1" applyFill="1"/>
    <xf numFmtId="164" fontId="14" fillId="0" borderId="0" xfId="1" applyNumberFormat="1" applyFont="1" applyFill="1" applyAlignment="1">
      <alignment horizontal="left" vertical="center" wrapText="1"/>
    </xf>
    <xf numFmtId="164" fontId="14" fillId="0" borderId="0" xfId="1" applyNumberFormat="1" applyFont="1" applyFill="1" applyAlignment="1">
      <alignment horizontal="center" vertical="center"/>
    </xf>
    <xf numFmtId="164" fontId="16" fillId="8" borderId="0" xfId="1" applyNumberFormat="1" applyFont="1" applyFill="1" applyAlignment="1">
      <alignment horizontal="center" vertical="center" wrapText="1"/>
    </xf>
    <xf numFmtId="164" fontId="3" fillId="0" borderId="0" xfId="1" applyNumberFormat="1" applyFont="1"/>
    <xf numFmtId="0" fontId="26" fillId="0" borderId="0" xfId="0" applyFont="1"/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  <xf numFmtId="164" fontId="14" fillId="10" borderId="0" xfId="1" applyNumberFormat="1" applyFont="1" applyFill="1" applyAlignment="1">
      <alignment horizontal="center" vertical="center"/>
    </xf>
    <xf numFmtId="164" fontId="14" fillId="20" borderId="0" xfId="1" applyNumberFormat="1" applyFont="1" applyFill="1" applyAlignment="1">
      <alignment horizontal="center" vertical="center" wrapText="1"/>
    </xf>
    <xf numFmtId="164" fontId="14" fillId="8" borderId="0" xfId="1" applyNumberFormat="1" applyFont="1" applyFill="1" applyAlignment="1">
      <alignment horizontal="left" vertical="center"/>
    </xf>
    <xf numFmtId="164" fontId="14" fillId="20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64" fontId="14" fillId="18" borderId="0" xfId="1" applyNumberFormat="1" applyFont="1" applyFill="1" applyAlignment="1">
      <alignment horizontal="center" vertical="center" wrapText="1"/>
    </xf>
    <xf numFmtId="0" fontId="37" fillId="0" borderId="0" xfId="0" applyFont="1"/>
    <xf numFmtId="0" fontId="64" fillId="0" borderId="0" xfId="0" applyFont="1" applyAlignment="1">
      <alignment horizontal="center"/>
    </xf>
    <xf numFmtId="164" fontId="14" fillId="0" borderId="0" xfId="1" applyNumberFormat="1" applyFont="1" applyFill="1" applyAlignment="1">
      <alignment vertical="center"/>
    </xf>
    <xf numFmtId="0" fontId="63" fillId="0" borderId="0" xfId="0" applyFont="1" applyAlignment="1">
      <alignment horizontal="left" vertical="center"/>
    </xf>
    <xf numFmtId="0" fontId="43" fillId="18" borderId="0" xfId="0" applyFont="1" applyFill="1" applyAlignment="1">
      <alignment horizontal="center" vertical="center"/>
    </xf>
    <xf numFmtId="164" fontId="14" fillId="6" borderId="0" xfId="1" applyNumberFormat="1" applyFont="1" applyFill="1" applyAlignment="1">
      <alignment horizontal="left" vertical="center" wrapText="1"/>
    </xf>
    <xf numFmtId="0" fontId="16" fillId="0" borderId="0" xfId="0" applyFont="1" applyAlignment="1">
      <alignment horizontal="left"/>
    </xf>
    <xf numFmtId="164" fontId="14" fillId="20" borderId="0" xfId="1" applyNumberFormat="1" applyFont="1" applyFill="1" applyAlignment="1">
      <alignment vertical="center"/>
    </xf>
    <xf numFmtId="164" fontId="14" fillId="27" borderId="0" xfId="1" applyNumberFormat="1" applyFont="1" applyFill="1" applyAlignment="1">
      <alignment horizontal="center" vertical="center" wrapText="1"/>
    </xf>
    <xf numFmtId="164" fontId="39" fillId="20" borderId="0" xfId="1" applyNumberFormat="1" applyFont="1" applyFill="1" applyAlignment="1">
      <alignment horizontal="center" vertical="center"/>
    </xf>
    <xf numFmtId="0" fontId="43" fillId="6" borderId="0" xfId="0" applyFont="1" applyFill="1" applyAlignment="1">
      <alignment horizontal="center" vertical="center"/>
    </xf>
    <xf numFmtId="164" fontId="14" fillId="8" borderId="0" xfId="1" applyNumberFormat="1" applyFont="1" applyFill="1" applyAlignment="1">
      <alignment horizontal="center" vertical="center"/>
    </xf>
    <xf numFmtId="164" fontId="16" fillId="0" borderId="0" xfId="1" applyNumberFormat="1" applyFont="1" applyFill="1" applyAlignment="1">
      <alignment horizontal="center" vertical="center" wrapText="1"/>
    </xf>
    <xf numFmtId="0" fontId="8" fillId="8" borderId="0" xfId="0" applyFont="1" applyFill="1" applyAlignment="1">
      <alignment horizontal="left" vertical="center" wrapText="1"/>
    </xf>
    <xf numFmtId="164" fontId="5" fillId="10" borderId="0" xfId="1" applyNumberFormat="1" applyFont="1" applyFill="1" applyAlignment="1">
      <alignment horizontal="center" vertical="center" wrapText="1"/>
    </xf>
    <xf numFmtId="0" fontId="65" fillId="0" borderId="0" xfId="0" applyFont="1" applyAlignment="1">
      <alignment horizontal="left" vertical="center"/>
    </xf>
    <xf numFmtId="164" fontId="14" fillId="20" borderId="0" xfId="1" applyNumberFormat="1" applyFont="1" applyFill="1"/>
    <xf numFmtId="164" fontId="30" fillId="0" borderId="0" xfId="1" applyNumberFormat="1" applyFont="1" applyFill="1" applyBorder="1" applyAlignment="1">
      <alignment horizontal="center" vertical="center" wrapText="1"/>
    </xf>
    <xf numFmtId="164" fontId="14" fillId="8" borderId="1" xfId="1" applyNumberFormat="1" applyFont="1" applyFill="1" applyBorder="1" applyAlignment="1">
      <alignment horizontal="center" vertical="center" wrapText="1"/>
    </xf>
    <xf numFmtId="164" fontId="16" fillId="0" borderId="1" xfId="1" applyNumberFormat="1" applyFont="1" applyFill="1" applyBorder="1" applyAlignment="1">
      <alignment horizontal="center" vertical="center"/>
    </xf>
    <xf numFmtId="164" fontId="14" fillId="0" borderId="1" xfId="1" applyNumberFormat="1" applyFont="1" applyFill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 wrapText="1"/>
    </xf>
    <xf numFmtId="164" fontId="14" fillId="10" borderId="0" xfId="1" applyNumberFormat="1" applyFont="1" applyFill="1" applyAlignment="1">
      <alignment horizontal="left" vertical="center"/>
    </xf>
    <xf numFmtId="164" fontId="14" fillId="0" borderId="0" xfId="1" applyNumberFormat="1" applyFont="1"/>
    <xf numFmtId="0" fontId="60" fillId="0" borderId="0" xfId="0" applyFont="1"/>
    <xf numFmtId="0" fontId="61" fillId="0" borderId="0" xfId="0" applyFont="1"/>
    <xf numFmtId="0" fontId="14" fillId="0" borderId="0" xfId="0" applyFont="1" applyAlignment="1">
      <alignment horizontal="left"/>
    </xf>
    <xf numFmtId="0" fontId="3" fillId="12" borderId="0" xfId="0" applyFont="1" applyFill="1" applyAlignment="1">
      <alignment horizontal="left" vertical="center" wrapText="1"/>
    </xf>
    <xf numFmtId="0" fontId="62" fillId="0" borderId="0" xfId="0" applyFont="1" applyAlignment="1">
      <alignment horizontal="left" vertical="center" wrapText="1"/>
    </xf>
    <xf numFmtId="0" fontId="63" fillId="1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63" fillId="24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 wrapText="1"/>
    </xf>
    <xf numFmtId="164" fontId="14" fillId="6" borderId="0" xfId="1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9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44" fillId="28" borderId="4" xfId="6" applyFont="1" applyFill="1" applyBorder="1" applyAlignment="1">
      <alignment horizontal="center" vertical="center" wrapText="1"/>
    </xf>
    <xf numFmtId="0" fontId="44" fillId="28" borderId="6" xfId="6" applyFont="1" applyFill="1" applyBorder="1" applyAlignment="1">
      <alignment horizontal="center" vertical="center" wrapText="1"/>
    </xf>
    <xf numFmtId="0" fontId="44" fillId="28" borderId="11" xfId="6" applyFont="1" applyFill="1" applyBorder="1" applyAlignment="1">
      <alignment horizontal="center" vertical="center" wrapText="1"/>
    </xf>
    <xf numFmtId="0" fontId="33" fillId="0" borderId="3" xfId="6" applyFont="1" applyBorder="1" applyAlignment="1">
      <alignment horizontal="center" vertical="center" wrapText="1"/>
    </xf>
    <xf numFmtId="0" fontId="33" fillId="0" borderId="5" xfId="6" applyFont="1" applyBorder="1" applyAlignment="1">
      <alignment horizontal="center" vertical="center" wrapText="1"/>
    </xf>
    <xf numFmtId="0" fontId="33" fillId="0" borderId="7" xfId="6" applyFont="1" applyBorder="1" applyAlignment="1">
      <alignment horizontal="center" vertical="center" wrapText="1"/>
    </xf>
    <xf numFmtId="0" fontId="33" fillId="0" borderId="8" xfId="6" applyFont="1" applyBorder="1" applyAlignment="1">
      <alignment horizontal="center" vertical="center" wrapText="1"/>
    </xf>
    <xf numFmtId="0" fontId="33" fillId="0" borderId="9" xfId="6" applyFont="1" applyBorder="1" applyAlignment="1">
      <alignment horizontal="center" vertical="center" wrapText="1"/>
    </xf>
    <xf numFmtId="0" fontId="33" fillId="0" borderId="10" xfId="6" applyFont="1" applyBorder="1" applyAlignment="1">
      <alignment horizontal="center" vertical="center" wrapText="1"/>
    </xf>
    <xf numFmtId="0" fontId="55" fillId="0" borderId="3" xfId="6" applyFont="1" applyBorder="1" applyAlignment="1">
      <alignment horizontal="center" vertical="center" wrapText="1"/>
    </xf>
    <xf numFmtId="0" fontId="55" fillId="0" borderId="5" xfId="6" applyFont="1" applyBorder="1" applyAlignment="1">
      <alignment horizontal="center" vertical="center" wrapText="1"/>
    </xf>
    <xf numFmtId="0" fontId="55" fillId="0" borderId="7" xfId="6" applyFont="1" applyBorder="1" applyAlignment="1">
      <alignment horizontal="center" vertical="center" wrapText="1"/>
    </xf>
    <xf numFmtId="0" fontId="55" fillId="0" borderId="8" xfId="6" applyFont="1" applyBorder="1" applyAlignment="1">
      <alignment horizontal="center" vertical="center" wrapText="1"/>
    </xf>
    <xf numFmtId="0" fontId="55" fillId="0" borderId="9" xfId="6" applyFont="1" applyBorder="1" applyAlignment="1">
      <alignment horizontal="center" vertical="center" wrapText="1"/>
    </xf>
    <xf numFmtId="0" fontId="55" fillId="0" borderId="10" xfId="6" applyFont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  <xf numFmtId="0" fontId="38" fillId="8" borderId="3" xfId="6" applyFont="1" applyFill="1" applyBorder="1" applyAlignment="1">
      <alignment horizontal="center" vertical="center" wrapText="1"/>
    </xf>
    <xf numFmtId="0" fontId="38" fillId="8" borderId="5" xfId="6" applyFont="1" applyFill="1" applyBorder="1" applyAlignment="1">
      <alignment horizontal="center" vertical="center" wrapText="1"/>
    </xf>
    <xf numFmtId="0" fontId="38" fillId="8" borderId="9" xfId="6" applyFont="1" applyFill="1" applyBorder="1" applyAlignment="1">
      <alignment horizontal="center" vertical="center" wrapText="1"/>
    </xf>
    <xf numFmtId="0" fontId="38" fillId="8" borderId="10" xfId="6" applyFont="1" applyFill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164" fontId="17" fillId="6" borderId="0" xfId="1" applyNumberFormat="1" applyFont="1" applyFill="1" applyAlignment="1">
      <alignment horizontal="center" vertical="center" wrapText="1"/>
    </xf>
    <xf numFmtId="164" fontId="1" fillId="0" borderId="0" xfId="1" applyNumberFormat="1" applyFont="1" applyFill="1"/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7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7.7109375" style="74" customWidth="1"/>
    <col min="2" max="2" width="65.7109375" style="55" customWidth="1"/>
    <col min="3" max="3" width="7.5703125" style="21" customWidth="1"/>
    <col min="4" max="4" width="7" style="24" customWidth="1"/>
    <col min="5" max="5" width="7" style="25" customWidth="1"/>
    <col min="6" max="6" width="4.5703125" style="25" customWidth="1"/>
    <col min="7" max="7" width="5.5703125" style="25" customWidth="1"/>
    <col min="8" max="8" width="6" style="25" customWidth="1"/>
    <col min="9" max="9" width="10.140625" style="125" customWidth="1"/>
    <col min="10" max="10" width="4.7109375" style="125" bestFit="1" customWidth="1"/>
    <col min="11" max="11" width="8.85546875" style="26" customWidth="1"/>
    <col min="12" max="12" width="6.42578125" style="26" bestFit="1" customWidth="1"/>
    <col min="13" max="13" width="7.140625" style="125" customWidth="1"/>
    <col min="14" max="14" width="6.85546875" style="168" customWidth="1"/>
    <col min="15" max="15" width="7.85546875" style="169" customWidth="1"/>
    <col min="16" max="16" width="5.140625" style="145" customWidth="1"/>
    <col min="17" max="17" width="10.28515625" style="126" customWidth="1"/>
    <col min="18" max="18" width="13.28515625" style="129" customWidth="1"/>
    <col min="19" max="19" width="9.85546875" style="26" bestFit="1" customWidth="1"/>
    <col min="20" max="20" width="9.5703125" style="26" customWidth="1"/>
    <col min="21" max="21" width="10.5703125" style="150" customWidth="1"/>
    <col min="22" max="22" width="8.85546875" style="25" bestFit="1" customWidth="1"/>
    <col min="23" max="23" width="13.140625" style="170" bestFit="1" customWidth="1"/>
    <col min="24" max="24" width="17.85546875" style="124"/>
    <col min="25" max="26" width="17.85546875" style="125"/>
  </cols>
  <sheetData>
    <row r="1" spans="1:27" s="7" customFormat="1" ht="67.5">
      <c r="A1" s="62" t="s">
        <v>0</v>
      </c>
      <c r="B1" s="62" t="s">
        <v>1</v>
      </c>
      <c r="C1" s="2" t="s">
        <v>1808</v>
      </c>
      <c r="D1" s="28" t="s">
        <v>1809</v>
      </c>
      <c r="E1" s="3" t="s">
        <v>1810</v>
      </c>
      <c r="F1" s="6" t="s">
        <v>1339</v>
      </c>
      <c r="G1" s="4" t="s">
        <v>1778</v>
      </c>
      <c r="H1" s="4" t="s">
        <v>2</v>
      </c>
      <c r="I1" s="5" t="s">
        <v>1308</v>
      </c>
      <c r="J1" s="5" t="s">
        <v>3</v>
      </c>
      <c r="K1" s="57" t="s">
        <v>1783</v>
      </c>
      <c r="L1" s="57" t="s">
        <v>4</v>
      </c>
      <c r="M1" s="5" t="s">
        <v>5</v>
      </c>
      <c r="N1" s="6" t="s">
        <v>6</v>
      </c>
      <c r="O1" s="70" t="s">
        <v>1803</v>
      </c>
      <c r="P1" s="66" t="s">
        <v>1544</v>
      </c>
      <c r="Q1" s="100" t="s">
        <v>1786</v>
      </c>
      <c r="R1" s="46" t="s">
        <v>7</v>
      </c>
      <c r="S1" s="27" t="s">
        <v>8</v>
      </c>
      <c r="T1" s="27" t="s">
        <v>1662</v>
      </c>
      <c r="U1" s="118" t="s">
        <v>1784</v>
      </c>
      <c r="V1" s="111" t="s">
        <v>1804</v>
      </c>
      <c r="W1" s="61" t="s">
        <v>465</v>
      </c>
      <c r="X1" s="115" t="s">
        <v>1805</v>
      </c>
      <c r="Y1" s="116" t="s">
        <v>1787</v>
      </c>
    </row>
    <row r="2" spans="1:27">
      <c r="A2" s="15" t="s">
        <v>9</v>
      </c>
      <c r="B2" s="110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9"/>
      <c r="H2" s="9"/>
      <c r="I2" s="10"/>
      <c r="J2" s="10">
        <v>1</v>
      </c>
      <c r="K2" s="9"/>
      <c r="L2" s="9">
        <v>1</v>
      </c>
      <c r="M2" s="10"/>
      <c r="N2" s="119">
        <f t="shared" ref="N2:N48" si="0">M2+K2+L2+J2+I2+H2+G2+F2+E2+D2+C2</f>
        <v>2</v>
      </c>
      <c r="O2" s="120"/>
      <c r="P2" s="68"/>
      <c r="Q2" s="121" t="s">
        <v>1788</v>
      </c>
      <c r="R2" s="114">
        <v>80000</v>
      </c>
      <c r="S2" s="11">
        <v>83200</v>
      </c>
      <c r="T2" s="11">
        <v>86400</v>
      </c>
      <c r="U2" s="122"/>
      <c r="V2" s="114"/>
      <c r="W2" s="123">
        <v>1000</v>
      </c>
    </row>
    <row r="3" spans="1:27">
      <c r="A3" s="71" t="s">
        <v>10</v>
      </c>
      <c r="B3" s="110" t="str">
        <f>IFERROR(HYPERLINK(VLOOKUP(A3,ÜRÜNLER!A:C,3,FALSE),VLOOKUP(A3,ÜRÜNLER!A:B,2,FALSE)),"")</f>
        <v>iQ700 Gardırop Tipi Buzdolabı, Cam Kapı, Alkol Çekmeceli, 90.5cm, Siyah</v>
      </c>
      <c r="C3" s="8">
        <v>7</v>
      </c>
      <c r="D3" s="8"/>
      <c r="E3" s="9"/>
      <c r="F3" s="9">
        <v>1</v>
      </c>
      <c r="G3" s="9"/>
      <c r="H3" s="9"/>
      <c r="I3" s="10">
        <v>1</v>
      </c>
      <c r="J3" s="10">
        <v>1</v>
      </c>
      <c r="K3" s="9"/>
      <c r="L3" s="9"/>
      <c r="M3" s="10">
        <v>1</v>
      </c>
      <c r="N3" s="119">
        <f t="shared" si="0"/>
        <v>11</v>
      </c>
      <c r="O3" s="120">
        <v>1</v>
      </c>
      <c r="P3" s="68"/>
      <c r="Q3" s="126">
        <v>215784.16717519649</v>
      </c>
      <c r="R3" s="116">
        <v>204994.95881643667</v>
      </c>
      <c r="S3" s="11">
        <v>213194.75716909414</v>
      </c>
      <c r="T3" s="11">
        <v>221394.55552175161</v>
      </c>
      <c r="U3" s="122">
        <v>6594.3523603817166</v>
      </c>
      <c r="V3" s="114"/>
      <c r="W3" s="127"/>
    </row>
    <row r="4" spans="1:27">
      <c r="A4" s="71" t="s">
        <v>11</v>
      </c>
      <c r="B4" s="110" t="str">
        <f>IFERROR(HYPERLINK(VLOOKUP(A4,ÜRÜNLER!A:C,3,FALSE),VLOOKUP(A4,ÜRÜNLER!A:B,2,FALSE)),"")</f>
        <v>iQ300 Gardırop Tipi Buzdolabı, 90.5cm, BlackSteel</v>
      </c>
      <c r="C4" s="8"/>
      <c r="D4" s="8"/>
      <c r="E4" s="9"/>
      <c r="F4" s="9"/>
      <c r="G4" s="9"/>
      <c r="H4" s="9"/>
      <c r="I4" s="10">
        <v>1</v>
      </c>
      <c r="J4" s="10">
        <v>1</v>
      </c>
      <c r="K4" s="9">
        <v>1</v>
      </c>
      <c r="L4" s="9">
        <v>2</v>
      </c>
      <c r="M4" s="10">
        <v>1</v>
      </c>
      <c r="N4" s="119">
        <f t="shared" si="0"/>
        <v>6</v>
      </c>
      <c r="O4" s="120">
        <v>11</v>
      </c>
      <c r="P4" s="68"/>
      <c r="Q4" s="126">
        <v>134806.50673133694</v>
      </c>
      <c r="R4" s="116">
        <v>128066.18139477009</v>
      </c>
      <c r="S4" s="11">
        <v>133188.8286505609</v>
      </c>
      <c r="T4" s="11">
        <v>138311.4759063517</v>
      </c>
      <c r="U4" s="122">
        <v>41230.11784244806</v>
      </c>
      <c r="V4" s="114"/>
      <c r="W4" s="127"/>
    </row>
    <row r="5" spans="1:27">
      <c r="A5" s="15" t="s">
        <v>12</v>
      </c>
      <c r="B5" s="110" t="str">
        <f>IFERROR(HYPERLINK(VLOOKUP(A5,ÜRÜNLER!A:C,3,FALSE),VLOOKUP(A5,ÜRÜNLER!A:B,2,FALSE)),"")</f>
        <v>iQ300 Gardırop Tipi Buzdolabı, 90.5cm, Inox</v>
      </c>
      <c r="C5" s="8">
        <v>24</v>
      </c>
      <c r="D5" s="8"/>
      <c r="E5" s="9"/>
      <c r="F5" s="9">
        <v>2</v>
      </c>
      <c r="G5" s="9"/>
      <c r="H5" s="9"/>
      <c r="I5" s="10">
        <v>1</v>
      </c>
      <c r="J5" s="10"/>
      <c r="K5" s="9"/>
      <c r="L5" s="9">
        <v>2</v>
      </c>
      <c r="M5" s="10"/>
      <c r="N5" s="119">
        <f t="shared" si="0"/>
        <v>29</v>
      </c>
      <c r="O5" s="120">
        <v>1</v>
      </c>
      <c r="P5" s="68"/>
      <c r="Q5" s="126">
        <v>118087.26901460295</v>
      </c>
      <c r="R5" s="128">
        <v>102600</v>
      </c>
      <c r="S5" s="214">
        <v>106704</v>
      </c>
      <c r="T5" s="214">
        <v>110808</v>
      </c>
      <c r="U5" s="122">
        <v>26517.501572742476</v>
      </c>
      <c r="V5" s="114"/>
      <c r="W5" s="123">
        <v>250</v>
      </c>
    </row>
    <row r="6" spans="1:27">
      <c r="A6" s="15" t="s">
        <v>13</v>
      </c>
      <c r="B6" s="110" t="str">
        <f>IFERROR(HYPERLINK(VLOOKUP(A6,ÜRÜNLER!A:C,3,FALSE),VLOOKUP(A6,ÜRÜNLER!A:B,2,FALSE)),"")</f>
        <v>iQ100 Üstten Donduruculu Kulpsuz Buzdolabı, 70cm, Beyaz</v>
      </c>
      <c r="C6" s="8">
        <v>1</v>
      </c>
      <c r="D6" s="8"/>
      <c r="E6" s="9"/>
      <c r="F6" s="9"/>
      <c r="G6" s="9"/>
      <c r="H6" s="9"/>
      <c r="I6" s="10"/>
      <c r="J6" s="10"/>
      <c r="K6" s="9"/>
      <c r="L6" s="9"/>
      <c r="M6" s="10"/>
      <c r="N6" s="119">
        <f t="shared" si="0"/>
        <v>1</v>
      </c>
      <c r="O6" s="120"/>
      <c r="P6" s="68" t="s">
        <v>1545</v>
      </c>
      <c r="Q6" s="126">
        <v>32404.703513704266</v>
      </c>
      <c r="R6" s="114">
        <v>32728.750548841308</v>
      </c>
      <c r="S6" s="11">
        <v>34037.900570794962</v>
      </c>
      <c r="T6" s="11">
        <v>35347.050592748616</v>
      </c>
      <c r="U6" s="122"/>
      <c r="V6" s="114"/>
      <c r="W6" s="127"/>
    </row>
    <row r="7" spans="1:27">
      <c r="A7" s="15" t="s">
        <v>14</v>
      </c>
      <c r="B7" s="110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9"/>
      <c r="H7" s="9"/>
      <c r="I7" s="10"/>
      <c r="J7" s="10"/>
      <c r="K7" s="9"/>
      <c r="L7" s="9"/>
      <c r="M7" s="10"/>
      <c r="N7" s="119">
        <f t="shared" si="0"/>
        <v>5</v>
      </c>
      <c r="O7" s="120"/>
      <c r="P7" s="68" t="s">
        <v>1545</v>
      </c>
      <c r="Q7" s="126">
        <v>36619.942316379165</v>
      </c>
      <c r="R7" s="114">
        <v>36986.14173954296</v>
      </c>
      <c r="S7" s="11">
        <v>38465.587409124681</v>
      </c>
      <c r="T7" s="11">
        <v>39945.033078706394</v>
      </c>
      <c r="U7" s="122">
        <v>968.7795256814934</v>
      </c>
      <c r="V7" s="114"/>
      <c r="W7" s="127"/>
    </row>
    <row r="8" spans="1:27">
      <c r="A8" s="15" t="s">
        <v>1331</v>
      </c>
      <c r="B8" s="110" t="str">
        <f>IFERROR(HYPERLINK(VLOOKUP(A8,ÜRÜNLER!A:C,3,FALSE),VLOOKUP(A8,ÜRÜNLER!A:B,2,FALSE)),"")</f>
        <v>iQ300 Üstten Donduruculu Kulpsuz Buzdolabı, 70cm, Inox Görünümlü</v>
      </c>
      <c r="C8" s="8">
        <v>7</v>
      </c>
      <c r="D8" s="8"/>
      <c r="E8" s="9"/>
      <c r="F8" s="9"/>
      <c r="G8" s="9"/>
      <c r="H8" s="9"/>
      <c r="I8" s="10"/>
      <c r="J8" s="10"/>
      <c r="K8" s="9"/>
      <c r="L8" s="9"/>
      <c r="M8" s="10"/>
      <c r="N8" s="119">
        <f t="shared" si="0"/>
        <v>7</v>
      </c>
      <c r="O8" s="120"/>
      <c r="P8" s="68" t="s">
        <v>1545</v>
      </c>
      <c r="Q8" s="126">
        <v>43007.560271025679</v>
      </c>
      <c r="R8" s="114">
        <v>43437.635873735933</v>
      </c>
      <c r="S8" s="11">
        <v>45175.141308685372</v>
      </c>
      <c r="T8" s="11">
        <v>46912.64674363481</v>
      </c>
      <c r="U8" s="122">
        <v>5972.6765500954425</v>
      </c>
      <c r="V8" s="114"/>
      <c r="W8" s="127"/>
    </row>
    <row r="9" spans="1:27">
      <c r="A9" s="15" t="s">
        <v>15</v>
      </c>
      <c r="B9" s="110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9"/>
      <c r="H9" s="9"/>
      <c r="I9" s="10"/>
      <c r="J9" s="10"/>
      <c r="K9" s="9"/>
      <c r="L9" s="9">
        <v>1</v>
      </c>
      <c r="M9" s="10"/>
      <c r="N9" s="119">
        <f t="shared" si="0"/>
        <v>1</v>
      </c>
      <c r="O9" s="120"/>
      <c r="P9" s="68"/>
      <c r="Q9" s="121" t="s">
        <v>1788</v>
      </c>
      <c r="R9" s="129">
        <v>40000</v>
      </c>
      <c r="S9" s="11">
        <v>41600</v>
      </c>
      <c r="T9" s="11">
        <v>43200</v>
      </c>
      <c r="U9" s="122"/>
      <c r="V9" s="114"/>
      <c r="W9" s="123">
        <v>500</v>
      </c>
      <c r="Y9" s="12"/>
      <c r="Z9" s="12"/>
      <c r="AA9" s="12"/>
    </row>
    <row r="10" spans="1:27">
      <c r="A10" s="14" t="s">
        <v>17</v>
      </c>
      <c r="B10" s="110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9"/>
      <c r="H10" s="9"/>
      <c r="I10" s="10"/>
      <c r="J10" s="10"/>
      <c r="K10" s="9"/>
      <c r="L10" s="9"/>
      <c r="M10" s="10"/>
      <c r="N10" s="119">
        <f t="shared" si="0"/>
        <v>12</v>
      </c>
      <c r="O10" s="120"/>
      <c r="P10" s="68"/>
      <c r="Q10" s="126">
        <v>84535.624718473977</v>
      </c>
      <c r="R10" s="128">
        <v>76082.062246626578</v>
      </c>
      <c r="S10" s="214">
        <v>79125.344736491636</v>
      </c>
      <c r="T10" s="214">
        <v>82168.627226356708</v>
      </c>
      <c r="U10" s="122">
        <v>21128.647974287935</v>
      </c>
      <c r="V10" s="114"/>
      <c r="W10" s="127"/>
    </row>
    <row r="11" spans="1:27">
      <c r="A11" s="14" t="s">
        <v>1547</v>
      </c>
      <c r="B11" s="110" t="str">
        <f>IFERROR(HYPERLINK(VLOOKUP(A11,ÜRÜNLER!A:C,3,FALSE),VLOOKUP(A11,ÜRÜNLER!A:B,2,FALSE)),"")</f>
        <v>iQ500 Üstten Donduruculu Kulplu Buzdolabı, 75cm, Beyaz</v>
      </c>
      <c r="C11" s="8">
        <v>7</v>
      </c>
      <c r="D11" s="8"/>
      <c r="E11" s="9"/>
      <c r="F11" s="9"/>
      <c r="G11" s="9"/>
      <c r="H11" s="9"/>
      <c r="I11" s="10"/>
      <c r="J11" s="10"/>
      <c r="K11" s="9"/>
      <c r="L11" s="9"/>
      <c r="M11" s="10"/>
      <c r="N11" s="119">
        <f t="shared" si="0"/>
        <v>7</v>
      </c>
      <c r="O11" s="120"/>
      <c r="P11" s="68"/>
      <c r="Q11" s="126">
        <v>62949.551468023252</v>
      </c>
      <c r="R11" s="116">
        <v>59802.073894622088</v>
      </c>
      <c r="S11" s="11">
        <v>62194.156850406973</v>
      </c>
      <c r="T11" s="11">
        <v>64586.239806191857</v>
      </c>
      <c r="U11" s="122">
        <v>6705.3654215116185</v>
      </c>
      <c r="V11" s="114"/>
      <c r="W11" s="127"/>
    </row>
    <row r="12" spans="1:27">
      <c r="A12" s="82" t="s">
        <v>19</v>
      </c>
      <c r="B12" s="110" t="str">
        <f>IFERROR(HYPERLINK(VLOOKUP(A12,ÜRÜNLER!A:C,3,FALSE),VLOOKUP(A12,ÜRÜNLER!A:B,2,FALSE)),"")</f>
        <v>iQ500 Üstten Donduruculu Kulpsuz Buzdolabı, 75cm, Inox</v>
      </c>
      <c r="C12" s="8">
        <v>11</v>
      </c>
      <c r="D12" s="8"/>
      <c r="E12" s="9"/>
      <c r="F12" s="9"/>
      <c r="G12" s="9"/>
      <c r="H12" s="9"/>
      <c r="I12" s="10"/>
      <c r="J12" s="10"/>
      <c r="K12" s="9"/>
      <c r="L12" s="9"/>
      <c r="M12" s="10"/>
      <c r="N12" s="119">
        <f t="shared" si="0"/>
        <v>11</v>
      </c>
      <c r="O12" s="120"/>
      <c r="P12" s="68"/>
      <c r="Q12" s="126">
        <v>70136.480962004265</v>
      </c>
      <c r="R12" s="116">
        <v>66629.656913904051</v>
      </c>
      <c r="S12" s="11">
        <v>69294.843190460218</v>
      </c>
      <c r="T12" s="11">
        <v>71960.029467016371</v>
      </c>
      <c r="U12" s="122">
        <v>11938.806543399609</v>
      </c>
      <c r="V12" s="114"/>
      <c r="W12" s="130"/>
    </row>
    <row r="13" spans="1:27">
      <c r="A13" s="82" t="s">
        <v>20</v>
      </c>
      <c r="B13" s="110" t="str">
        <f>IFERROR(HYPERLINK(VLOOKUP(A13,ÜRÜNLER!A:C,3,FALSE),VLOOKUP(A13,ÜRÜNLER!A:B,2,FALSE)),"")</f>
        <v>iQ300 Üstten Donduruculu, Kulpsuz Buzdolabı, 75cm, Beyaz</v>
      </c>
      <c r="C13" s="8">
        <v>1</v>
      </c>
      <c r="D13" s="8"/>
      <c r="E13" s="9"/>
      <c r="F13" s="9"/>
      <c r="G13" s="9"/>
      <c r="H13" s="9"/>
      <c r="I13" s="10">
        <v>1</v>
      </c>
      <c r="J13" s="10">
        <v>1</v>
      </c>
      <c r="K13" s="9"/>
      <c r="L13" s="9"/>
      <c r="M13" s="10">
        <v>1</v>
      </c>
      <c r="N13" s="119">
        <f t="shared" si="0"/>
        <v>4</v>
      </c>
      <c r="O13" s="120">
        <v>6</v>
      </c>
      <c r="P13" s="68"/>
      <c r="Q13" s="126">
        <v>64328.533377100357</v>
      </c>
      <c r="R13" s="116">
        <v>61112.106708245337</v>
      </c>
      <c r="S13" s="11">
        <v>63556.590976575149</v>
      </c>
      <c r="T13" s="11">
        <v>66001.075244904961</v>
      </c>
      <c r="U13" s="122">
        <v>16712.254307332914</v>
      </c>
      <c r="V13" s="114"/>
      <c r="W13" s="130"/>
    </row>
    <row r="14" spans="1:27">
      <c r="A14" s="82" t="s">
        <v>1322</v>
      </c>
      <c r="B14" s="110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9"/>
      <c r="H14" s="9"/>
      <c r="I14" s="10"/>
      <c r="J14" s="10"/>
      <c r="K14" s="9"/>
      <c r="L14" s="9">
        <v>1</v>
      </c>
      <c r="M14" s="10"/>
      <c r="N14" s="119">
        <f t="shared" si="0"/>
        <v>1</v>
      </c>
      <c r="O14" s="120"/>
      <c r="P14" s="68"/>
      <c r="Q14" s="121" t="s">
        <v>1788</v>
      </c>
      <c r="R14" s="131">
        <v>55000</v>
      </c>
      <c r="S14" s="11">
        <v>57200</v>
      </c>
      <c r="T14" s="11">
        <v>59400</v>
      </c>
      <c r="U14" s="122"/>
      <c r="V14" s="114"/>
      <c r="W14" s="123">
        <v>500</v>
      </c>
    </row>
    <row r="15" spans="1:27">
      <c r="A15" s="82" t="s">
        <v>1811</v>
      </c>
      <c r="B15" s="110" t="str">
        <f>IFERROR(HYPERLINK(VLOOKUP(A15,ÜRÜNLER!A:C,3,FALSE),VLOOKUP(A15,ÜRÜNLER!A:B,2,FALSE)),"")</f>
        <v>iQ300 Üstten Donduruculu Kulpsuz Buzdolabı, 75cm, Beyaz</v>
      </c>
      <c r="C15" s="8"/>
      <c r="D15" s="8"/>
      <c r="E15" s="9"/>
      <c r="F15" s="9"/>
      <c r="G15" s="9"/>
      <c r="H15" s="9"/>
      <c r="I15" s="10"/>
      <c r="J15" s="10"/>
      <c r="K15" s="9"/>
      <c r="L15" s="9"/>
      <c r="M15" s="10"/>
      <c r="N15" s="119">
        <f t="shared" si="0"/>
        <v>0</v>
      </c>
      <c r="O15" s="120">
        <v>3</v>
      </c>
      <c r="P15" s="68"/>
      <c r="Q15" s="126">
        <v>56792.905181497161</v>
      </c>
      <c r="R15" s="131">
        <v>56793</v>
      </c>
      <c r="S15" s="11">
        <v>59064.72</v>
      </c>
      <c r="T15" s="11">
        <v>61336.44</v>
      </c>
      <c r="U15" s="122"/>
      <c r="V15" s="114"/>
      <c r="W15" s="123"/>
    </row>
    <row r="16" spans="1:27">
      <c r="A16" s="15" t="s">
        <v>21</v>
      </c>
      <c r="B16" s="110" t="str">
        <f>IFERROR(HYPERLINK(VLOOKUP(A16,ÜRÜNLER!A:C,3,FALSE),VLOOKUP(A16,ÜRÜNLER!A:B,2,FALSE)),"")</f>
        <v>iQ500 Üstten Donduruculu Kulplu Buzdolabı, 86cm, Inox</v>
      </c>
      <c r="C16" s="8">
        <v>12</v>
      </c>
      <c r="D16" s="8"/>
      <c r="E16" s="9">
        <v>1</v>
      </c>
      <c r="F16" s="9"/>
      <c r="G16" s="9"/>
      <c r="H16" s="9"/>
      <c r="I16" s="10">
        <v>1</v>
      </c>
      <c r="J16" s="10">
        <v>1</v>
      </c>
      <c r="K16" s="9">
        <v>1</v>
      </c>
      <c r="L16" s="9"/>
      <c r="M16" s="10"/>
      <c r="N16" s="119">
        <f t="shared" si="0"/>
        <v>16</v>
      </c>
      <c r="O16" s="120">
        <v>1</v>
      </c>
      <c r="P16" s="68"/>
      <c r="Q16" s="126">
        <v>98053.757359079536</v>
      </c>
      <c r="R16" s="116">
        <v>93151.069491125556</v>
      </c>
      <c r="S16" s="11">
        <v>96877.11227077058</v>
      </c>
      <c r="T16" s="11">
        <v>100603.1550504156</v>
      </c>
      <c r="U16" s="122">
        <v>27646.780614893491</v>
      </c>
      <c r="V16" s="114"/>
      <c r="W16" s="127"/>
    </row>
    <row r="17" spans="1:27">
      <c r="A17" s="15" t="s">
        <v>24</v>
      </c>
      <c r="B17" s="110" t="str">
        <f>IFERROR(HYPERLINK(VLOOKUP(A17,ÜRÜNLER!A:C,3,FALSE),VLOOKUP(A17,ÜRÜNLER!A:B,2,FALSE)),"")</f>
        <v>iQ500 Üstten Donduruculu Kulplu Buzdolabı, 86cm, Beyaz</v>
      </c>
      <c r="C17" s="8">
        <v>2</v>
      </c>
      <c r="D17" s="8"/>
      <c r="E17" s="9"/>
      <c r="F17" s="9">
        <v>1</v>
      </c>
      <c r="G17" s="9"/>
      <c r="H17" s="9"/>
      <c r="I17" s="10"/>
      <c r="J17" s="10"/>
      <c r="K17" s="9"/>
      <c r="L17" s="9"/>
      <c r="M17" s="10"/>
      <c r="N17" s="119">
        <f t="shared" si="0"/>
        <v>3</v>
      </c>
      <c r="O17" s="120">
        <v>1</v>
      </c>
      <c r="P17" s="68"/>
      <c r="Q17" s="126">
        <v>85320.530544562032</v>
      </c>
      <c r="R17" s="116">
        <v>81054.504017333937</v>
      </c>
      <c r="S17" s="11">
        <v>84296.684178027295</v>
      </c>
      <c r="T17" s="11">
        <v>87538.864338720654</v>
      </c>
      <c r="U17" s="122">
        <v>20122.856125957376</v>
      </c>
      <c r="V17" s="114"/>
      <c r="W17" s="127"/>
    </row>
    <row r="18" spans="1:27" s="12" customFormat="1">
      <c r="A18" s="15" t="s">
        <v>25</v>
      </c>
      <c r="B18" s="110" t="str">
        <f>IFERROR(HYPERLINK(VLOOKUP(A18,ÜRÜNLER!A:C,3,FALSE),VLOOKUP(A18,ÜRÜNLER!A:B,2,FALSE)),"")</f>
        <v>iQ500 Üstten Donduruculu Kulplu Buzdolabı, 86cm, Inox</v>
      </c>
      <c r="C18" s="8"/>
      <c r="D18" s="8"/>
      <c r="E18" s="9"/>
      <c r="F18" s="9"/>
      <c r="G18" s="9"/>
      <c r="H18" s="9"/>
      <c r="I18" s="10"/>
      <c r="J18" s="10"/>
      <c r="K18" s="9"/>
      <c r="L18" s="9">
        <v>1</v>
      </c>
      <c r="M18" s="10"/>
      <c r="N18" s="119">
        <f t="shared" si="0"/>
        <v>1</v>
      </c>
      <c r="O18" s="120"/>
      <c r="P18" s="68"/>
      <c r="Q18" s="121" t="s">
        <v>1788</v>
      </c>
      <c r="R18" s="129">
        <v>55000</v>
      </c>
      <c r="S18" s="11">
        <v>57200</v>
      </c>
      <c r="T18" s="11">
        <v>59400</v>
      </c>
      <c r="U18" s="122"/>
      <c r="V18" s="114"/>
      <c r="W18" s="123">
        <v>500</v>
      </c>
      <c r="X18" s="124"/>
      <c r="Y18" s="125"/>
      <c r="Z18" s="125"/>
      <c r="AA18"/>
    </row>
    <row r="19" spans="1:27">
      <c r="A19" s="82" t="s">
        <v>26</v>
      </c>
      <c r="B19" s="110" t="str">
        <f>IFERROR(HYPERLINK(VLOOKUP(A19,ÜRÜNLER!A:C,3,FALSE),VLOOKUP(A19,ÜRÜNLER!A:B,2,FALSE)),"")</f>
        <v>iQ100 Alttan Donduruculu Kulpsuz Buzdolabı, 60cm, Inox</v>
      </c>
      <c r="C19" s="8"/>
      <c r="D19" s="8"/>
      <c r="E19" s="9"/>
      <c r="F19" s="9">
        <v>1</v>
      </c>
      <c r="G19" s="9"/>
      <c r="H19" s="9"/>
      <c r="I19" s="10"/>
      <c r="J19" s="10"/>
      <c r="K19" s="9"/>
      <c r="L19" s="9"/>
      <c r="M19" s="10"/>
      <c r="N19" s="119">
        <f t="shared" si="0"/>
        <v>1</v>
      </c>
      <c r="O19" s="120"/>
      <c r="P19" s="68"/>
      <c r="Q19" s="121" t="s">
        <v>1788</v>
      </c>
      <c r="R19" s="129">
        <v>40000</v>
      </c>
      <c r="S19" s="11">
        <v>41600</v>
      </c>
      <c r="T19" s="11">
        <v>43200</v>
      </c>
      <c r="U19" s="122"/>
      <c r="V19" s="114"/>
      <c r="W19" s="123">
        <v>500</v>
      </c>
    </row>
    <row r="20" spans="1:27">
      <c r="A20" s="15" t="s">
        <v>27</v>
      </c>
      <c r="B20" s="110" t="str">
        <f>IFERROR(HYPERLINK(VLOOKUP(A20,ÜRÜNLER!A:C,3,FALSE),VLOOKUP(A20,ÜRÜNLER!A:B,2,FALSE)),"")</f>
        <v>iQ300 Alttan Donduruculu Kulpsuz Buzdolabı, 70cm, Inox</v>
      </c>
      <c r="C20" s="8">
        <v>78</v>
      </c>
      <c r="D20" s="8"/>
      <c r="E20" s="9">
        <v>4</v>
      </c>
      <c r="F20" s="9">
        <v>2</v>
      </c>
      <c r="G20" s="9"/>
      <c r="H20" s="9"/>
      <c r="I20" s="10">
        <v>1</v>
      </c>
      <c r="J20" s="10">
        <v>1</v>
      </c>
      <c r="K20" s="9"/>
      <c r="L20" s="9">
        <v>1</v>
      </c>
      <c r="M20" s="10">
        <v>1</v>
      </c>
      <c r="N20" s="119">
        <f t="shared" si="0"/>
        <v>88</v>
      </c>
      <c r="O20" s="120">
        <v>3</v>
      </c>
      <c r="P20" s="68"/>
      <c r="Q20" s="126">
        <v>65373.710842426284</v>
      </c>
      <c r="R20" s="128">
        <v>60797.551083456448</v>
      </c>
      <c r="S20" s="11">
        <v>63229.45312679471</v>
      </c>
      <c r="T20" s="11">
        <v>65661.355170132971</v>
      </c>
      <c r="U20" s="122">
        <v>16210.920144751864</v>
      </c>
      <c r="V20" s="114"/>
      <c r="W20" s="127"/>
      <c r="Y20" s="124">
        <v>54300</v>
      </c>
    </row>
    <row r="21" spans="1:27">
      <c r="A21" s="15" t="s">
        <v>28</v>
      </c>
      <c r="B21" s="110" t="str">
        <f>IFERROR(HYPERLINK(VLOOKUP(A21,ÜRÜNLER!A:C,3,FALSE),VLOOKUP(A21,ÜRÜNLER!A:B,2,FALSE)),"")</f>
        <v>iQ300 Alttan Donduruculu Kulpsuz Buzdolabı, 70cm, Beyaz</v>
      </c>
      <c r="C21" s="8">
        <v>83</v>
      </c>
      <c r="D21" s="8"/>
      <c r="E21" s="9"/>
      <c r="F21" s="9"/>
      <c r="G21" s="9"/>
      <c r="H21" s="9"/>
      <c r="I21" s="10">
        <v>1</v>
      </c>
      <c r="J21" s="10"/>
      <c r="K21" s="9">
        <v>1</v>
      </c>
      <c r="L21" s="9">
        <v>2</v>
      </c>
      <c r="M21" s="10"/>
      <c r="N21" s="119">
        <f t="shared" si="0"/>
        <v>87</v>
      </c>
      <c r="O21" s="120">
        <v>5</v>
      </c>
      <c r="P21" s="68"/>
      <c r="Q21" s="126">
        <v>60461.404943148395</v>
      </c>
      <c r="R21" s="128">
        <v>54415.264448833557</v>
      </c>
      <c r="S21" s="214">
        <v>56591.875026786896</v>
      </c>
      <c r="T21" s="214">
        <v>58768.485604740243</v>
      </c>
      <c r="U21" s="122">
        <v>11705.590989660021</v>
      </c>
      <c r="V21" s="114"/>
      <c r="W21" s="127"/>
      <c r="Y21" s="124">
        <v>53800</v>
      </c>
    </row>
    <row r="22" spans="1:27">
      <c r="A22" s="15" t="s">
        <v>29</v>
      </c>
      <c r="B22" s="110" t="str">
        <f>IFERROR(HYPERLINK(VLOOKUP(A22,ÜRÜNLER!A:C,3,FALSE),VLOOKUP(A22,ÜRÜNLER!A:B,2,FALSE)),"")</f>
        <v>iQ300 Alttan Donduruculu Kulpsuz Buzdolabı, 70cm, Inox</v>
      </c>
      <c r="C22" s="8">
        <v>5</v>
      </c>
      <c r="D22" s="8"/>
      <c r="E22" s="9">
        <v>1</v>
      </c>
      <c r="F22" s="9"/>
      <c r="G22" s="9"/>
      <c r="H22" s="9"/>
      <c r="I22" s="10"/>
      <c r="J22" s="10"/>
      <c r="K22" s="9"/>
      <c r="L22" s="9">
        <v>1</v>
      </c>
      <c r="M22" s="10"/>
      <c r="N22" s="119">
        <f t="shared" si="0"/>
        <v>7</v>
      </c>
      <c r="O22" s="120"/>
      <c r="P22" s="68"/>
      <c r="Q22" s="121" t="s">
        <v>1788</v>
      </c>
      <c r="R22" s="128">
        <v>50000</v>
      </c>
      <c r="S22" s="11">
        <v>52000</v>
      </c>
      <c r="T22" s="11">
        <v>54000</v>
      </c>
      <c r="U22" s="122">
        <v>8118.2662856856987</v>
      </c>
      <c r="V22" s="114"/>
      <c r="W22" s="127"/>
    </row>
    <row r="23" spans="1:27">
      <c r="A23" s="15" t="s">
        <v>30</v>
      </c>
      <c r="B23" s="110" t="str">
        <f>IFERROR(HYPERLINK(VLOOKUP(A23,ÜRÜNLER!A:C,3,FALSE),VLOOKUP(A23,ÜRÜNLER!A:B,2,FALSE)),"")</f>
        <v>iQ300 Alttan Donduruculu Kulpsuz Buzdolabı, 70cm, Beyaz</v>
      </c>
      <c r="C23" s="8"/>
      <c r="D23" s="8"/>
      <c r="E23" s="9">
        <v>1</v>
      </c>
      <c r="F23" s="9"/>
      <c r="G23" s="9"/>
      <c r="H23" s="9"/>
      <c r="I23" s="10">
        <v>1</v>
      </c>
      <c r="J23" s="10"/>
      <c r="K23" s="9"/>
      <c r="L23" s="9">
        <v>1</v>
      </c>
      <c r="M23" s="10"/>
      <c r="N23" s="119">
        <f t="shared" si="0"/>
        <v>3</v>
      </c>
      <c r="O23" s="120"/>
      <c r="P23" s="68"/>
      <c r="Q23" s="121" t="s">
        <v>1788</v>
      </c>
      <c r="R23" s="132">
        <v>44000</v>
      </c>
      <c r="S23" s="11">
        <v>45760</v>
      </c>
      <c r="T23" s="11">
        <v>47520</v>
      </c>
      <c r="U23" s="122">
        <v>6729.5715803717103</v>
      </c>
      <c r="V23" s="114"/>
      <c r="W23" s="123">
        <v>500</v>
      </c>
    </row>
    <row r="24" spans="1:27" s="134" customFormat="1">
      <c r="A24" s="14" t="s">
        <v>1812</v>
      </c>
      <c r="B24" s="110" t="str">
        <f>IFERROR(HYPERLINK(VLOOKUP(A24,ÜRÜNLER!A:C,3,FALSE),VLOOKUP(A24,ÜRÜNLER!A:B,2,FALSE)),"")</f>
        <v>iQ300 Alttan Donduruculu Kulpsuz Buzdolabı, 70cm, Inox (Wi-Fi)</v>
      </c>
      <c r="C24" s="8"/>
      <c r="D24" s="8"/>
      <c r="E24" s="9"/>
      <c r="F24" s="9"/>
      <c r="G24" s="9"/>
      <c r="H24" s="9"/>
      <c r="I24" s="10"/>
      <c r="J24" s="10"/>
      <c r="K24" s="9"/>
      <c r="L24" s="9"/>
      <c r="M24" s="10"/>
      <c r="N24" s="119">
        <f t="shared" si="0"/>
        <v>0</v>
      </c>
      <c r="O24" s="120">
        <v>5</v>
      </c>
      <c r="P24" s="68"/>
      <c r="Q24" s="126">
        <v>60254.001126083655</v>
      </c>
      <c r="R24" s="131">
        <v>60254.001126083655</v>
      </c>
      <c r="S24" s="114">
        <v>62664.161171127002</v>
      </c>
      <c r="T24" s="114">
        <v>65074.321216170349</v>
      </c>
      <c r="U24" s="122"/>
      <c r="V24" s="114"/>
      <c r="W24" s="127"/>
      <c r="X24" s="133"/>
      <c r="Y24" s="12"/>
      <c r="Z24" s="12"/>
    </row>
    <row r="25" spans="1:27" s="134" customFormat="1">
      <c r="A25" s="14" t="s">
        <v>1813</v>
      </c>
      <c r="B25" s="110" t="str">
        <f>IFERROR(HYPERLINK(VLOOKUP(A25,ÜRÜNLER!A:C,3,FALSE),VLOOKUP(A25,ÜRÜNLER!A:B,2,FALSE)),"")</f>
        <v>iQ300 Alttan Donduruculu Kulpsuz Buzdolabı, 70cm, Beyaz (Wi-Fi)</v>
      </c>
      <c r="C25" s="8"/>
      <c r="D25" s="8"/>
      <c r="E25" s="9"/>
      <c r="F25" s="9"/>
      <c r="G25" s="9"/>
      <c r="H25" s="9"/>
      <c r="I25" s="10"/>
      <c r="J25" s="10"/>
      <c r="K25" s="9"/>
      <c r="L25" s="9"/>
      <c r="M25" s="10"/>
      <c r="N25" s="119">
        <f t="shared" si="0"/>
        <v>0</v>
      </c>
      <c r="O25" s="120">
        <v>5</v>
      </c>
      <c r="P25" s="68"/>
      <c r="Q25" s="126">
        <v>55360.410160065025</v>
      </c>
      <c r="R25" s="131">
        <v>55360.410160065025</v>
      </c>
      <c r="S25" s="114">
        <v>57574.826566467629</v>
      </c>
      <c r="T25" s="114">
        <v>59789.242972870226</v>
      </c>
      <c r="U25" s="122"/>
      <c r="V25" s="114"/>
      <c r="W25" s="127"/>
      <c r="X25" s="133"/>
      <c r="Y25" s="12"/>
      <c r="Z25" s="12"/>
    </row>
    <row r="26" spans="1:27" s="134" customFormat="1">
      <c r="A26" s="78" t="s">
        <v>1814</v>
      </c>
      <c r="B26" s="110" t="str">
        <f>IFERROR(HYPERLINK(VLOOKUP(A26,ÜRÜNLER!A:C,3,FALSE),VLOOKUP(A26,ÜRÜNLER!A:B,2,FALSE)),"")</f>
        <v>iQ300 Alttan Donduruculu Kulpsuz Buzdolabı, 70cm, Black Inox (Wi-Fi)</v>
      </c>
      <c r="C26" s="8"/>
      <c r="D26" s="8"/>
      <c r="E26" s="9"/>
      <c r="F26" s="9"/>
      <c r="G26" s="9"/>
      <c r="H26" s="9"/>
      <c r="I26" s="10"/>
      <c r="J26" s="10"/>
      <c r="K26" s="9"/>
      <c r="L26" s="9"/>
      <c r="M26" s="10"/>
      <c r="N26" s="119">
        <f t="shared" si="0"/>
        <v>0</v>
      </c>
      <c r="O26" s="120">
        <v>5</v>
      </c>
      <c r="P26" s="68"/>
      <c r="Q26" s="126">
        <v>63899.365449394172</v>
      </c>
      <c r="R26" s="131">
        <v>63899.365449394172</v>
      </c>
      <c r="S26" s="114">
        <v>66455.340067369936</v>
      </c>
      <c r="T26" s="114">
        <v>69011.3146853457</v>
      </c>
      <c r="U26" s="122"/>
      <c r="V26" s="114"/>
      <c r="W26" s="127"/>
      <c r="X26" s="133"/>
      <c r="Y26" s="12"/>
      <c r="Z26" s="12"/>
    </row>
    <row r="27" spans="1:27" s="134" customFormat="1">
      <c r="A27" s="78" t="s">
        <v>31</v>
      </c>
      <c r="B27" s="110" t="str">
        <f>IFERROR(HYPERLINK(VLOOKUP(A27,ÜRÜNLER!A:C,3,FALSE),VLOOKUP(A27,ÜRÜNLER!A:B,2,FALSE)),"")</f>
        <v>iQ500 Alttan Donduruculu Kulpsuz Buzdolabı, 70cm, Parlak Siyah</v>
      </c>
      <c r="C27" s="8">
        <v>11</v>
      </c>
      <c r="D27" s="8"/>
      <c r="E27" s="9"/>
      <c r="F27" s="9">
        <v>1</v>
      </c>
      <c r="G27" s="9"/>
      <c r="H27" s="9"/>
      <c r="I27" s="10">
        <v>2</v>
      </c>
      <c r="J27" s="10">
        <v>1</v>
      </c>
      <c r="K27" s="9">
        <v>1</v>
      </c>
      <c r="L27" s="9"/>
      <c r="M27" s="10">
        <v>2</v>
      </c>
      <c r="N27" s="119">
        <f t="shared" si="0"/>
        <v>18</v>
      </c>
      <c r="O27" s="120"/>
      <c r="P27" s="68"/>
      <c r="Q27" s="126">
        <v>59227.138431632891</v>
      </c>
      <c r="R27" s="131">
        <v>59227.138431632891</v>
      </c>
      <c r="S27" s="114">
        <v>61596.223968898208</v>
      </c>
      <c r="T27" s="114">
        <v>63965.309506163525</v>
      </c>
      <c r="U27" s="122"/>
      <c r="V27" s="114"/>
      <c r="W27" s="127"/>
      <c r="X27" s="133"/>
      <c r="Y27" s="12"/>
      <c r="Z27" s="12"/>
    </row>
    <row r="28" spans="1:27" s="134" customFormat="1">
      <c r="A28" s="14" t="s">
        <v>1646</v>
      </c>
      <c r="B28" s="110" t="str">
        <f>IFERROR(HYPERLINK(VLOOKUP(A28,ÜRÜNLER!A:C,3,FALSE),VLOOKUP(A28,ÜRÜNLER!A:B,2,FALSE)),"")</f>
        <v>iQ100 Alttan Donduruculu Kulpsuz Buzdolabı, 70cm, Beyaz (Wi-Fi)</v>
      </c>
      <c r="C28" s="8">
        <v>30</v>
      </c>
      <c r="D28" s="8"/>
      <c r="E28" s="9"/>
      <c r="F28" s="9"/>
      <c r="G28" s="9"/>
      <c r="H28" s="9"/>
      <c r="I28" s="10"/>
      <c r="J28" s="10"/>
      <c r="K28" s="9"/>
      <c r="L28" s="9"/>
      <c r="M28" s="10"/>
      <c r="N28" s="119">
        <f t="shared" si="0"/>
        <v>30</v>
      </c>
      <c r="O28" s="120">
        <v>21</v>
      </c>
      <c r="P28" s="68"/>
      <c r="Q28" s="126">
        <v>41395.899999999994</v>
      </c>
      <c r="R28" s="116">
        <v>39326.104999999996</v>
      </c>
      <c r="S28" s="114">
        <v>40899.149199999993</v>
      </c>
      <c r="T28" s="114">
        <v>42472.193399999996</v>
      </c>
      <c r="U28" s="122"/>
      <c r="V28" s="114"/>
      <c r="W28" s="127"/>
      <c r="X28" s="133"/>
      <c r="Y28" s="12"/>
      <c r="Z28" s="12"/>
    </row>
    <row r="29" spans="1:27" s="134" customFormat="1">
      <c r="A29" s="14" t="s">
        <v>32</v>
      </c>
      <c r="B29" s="110" t="str">
        <f>IFERROR(HYPERLINK(VLOOKUP(A29,ÜRÜNLER!A:C,3,FALSE),VLOOKUP(A29,ÜRÜNLER!A:B,2,FALSE)),"")</f>
        <v>iQ500 Alttan Donduruculu Kulpsuz Buzdolabı, 70cm, Seramik Desen</v>
      </c>
      <c r="C29" s="8"/>
      <c r="D29" s="8"/>
      <c r="E29" s="9"/>
      <c r="F29" s="9"/>
      <c r="G29" s="9"/>
      <c r="H29" s="9"/>
      <c r="I29" s="10"/>
      <c r="J29" s="10">
        <v>1</v>
      </c>
      <c r="K29" s="9"/>
      <c r="L29" s="9"/>
      <c r="M29" s="10"/>
      <c r="N29" s="119">
        <f t="shared" si="0"/>
        <v>1</v>
      </c>
      <c r="O29" s="120"/>
      <c r="P29" s="68"/>
      <c r="Q29" s="121" t="s">
        <v>1788</v>
      </c>
      <c r="R29" s="114">
        <v>48000</v>
      </c>
      <c r="S29" s="114">
        <v>49920</v>
      </c>
      <c r="T29" s="114">
        <v>51840</v>
      </c>
      <c r="U29" s="122"/>
      <c r="V29" s="114"/>
      <c r="W29" s="123">
        <v>500</v>
      </c>
      <c r="X29" s="133"/>
      <c r="Y29" s="12"/>
      <c r="Z29" s="12"/>
    </row>
    <row r="30" spans="1:27" s="134" customFormat="1">
      <c r="A30" s="14" t="s">
        <v>33</v>
      </c>
      <c r="B30" s="110" t="str">
        <f>IFERROR(HYPERLINK(VLOOKUP(A30,ÜRÜNLER!A:C,3,FALSE),VLOOKUP(A30,ÜRÜNLER!A:B,2,FALSE)),"")</f>
        <v>iQ500 Alttan Donduruculu Kulpsuz Buzdolabı, 70cm, Mat Siyah</v>
      </c>
      <c r="C30" s="8"/>
      <c r="D30" s="8"/>
      <c r="E30" s="9"/>
      <c r="F30" s="9">
        <v>1</v>
      </c>
      <c r="G30" s="9"/>
      <c r="H30" s="9"/>
      <c r="I30" s="10"/>
      <c r="J30" s="10"/>
      <c r="K30" s="9"/>
      <c r="L30" s="9"/>
      <c r="M30" s="10"/>
      <c r="N30" s="119">
        <f t="shared" si="0"/>
        <v>1</v>
      </c>
      <c r="O30" s="120"/>
      <c r="P30" s="68"/>
      <c r="Q30" s="121" t="s">
        <v>1788</v>
      </c>
      <c r="R30" s="114">
        <v>48000</v>
      </c>
      <c r="S30" s="114">
        <v>49920</v>
      </c>
      <c r="T30" s="114">
        <v>51840</v>
      </c>
      <c r="U30" s="122"/>
      <c r="V30" s="114"/>
      <c r="W30" s="123">
        <v>500</v>
      </c>
      <c r="X30" s="133"/>
      <c r="Y30" s="12"/>
      <c r="Z30" s="12"/>
    </row>
    <row r="31" spans="1:27" s="134" customFormat="1">
      <c r="A31" s="14" t="s">
        <v>34</v>
      </c>
      <c r="B31" s="110" t="str">
        <f>IFERROR(HYPERLINK(VLOOKUP(A31,ÜRÜNLER!A:C,3,FALSE),VLOOKUP(A31,ÜRÜNLER!A:B,2,FALSE)),"")</f>
        <v>iQ500 Alttan Donduruculu Kulpsuz Buzdolabı, 70cm, Seramik Desen</v>
      </c>
      <c r="C31" s="8"/>
      <c r="D31" s="8"/>
      <c r="E31" s="9"/>
      <c r="F31" s="9"/>
      <c r="G31" s="9"/>
      <c r="H31" s="9"/>
      <c r="I31" s="10"/>
      <c r="J31" s="10"/>
      <c r="K31" s="9"/>
      <c r="L31" s="9">
        <v>1</v>
      </c>
      <c r="M31" s="10"/>
      <c r="N31" s="119">
        <f t="shared" si="0"/>
        <v>1</v>
      </c>
      <c r="O31" s="120"/>
      <c r="P31" s="68"/>
      <c r="Q31" s="121" t="s">
        <v>1788</v>
      </c>
      <c r="R31" s="114">
        <v>48000</v>
      </c>
      <c r="S31" s="114">
        <v>49920</v>
      </c>
      <c r="T31" s="114">
        <v>51840</v>
      </c>
      <c r="U31" s="122"/>
      <c r="V31" s="114"/>
      <c r="W31" s="123">
        <v>500</v>
      </c>
      <c r="X31" s="133"/>
      <c r="Y31" s="12"/>
      <c r="Z31" s="12"/>
    </row>
    <row r="32" spans="1:27" s="134" customFormat="1">
      <c r="A32" s="14" t="s">
        <v>1652</v>
      </c>
      <c r="B32" s="110" t="str">
        <f>IFERROR(HYPERLINK(VLOOKUP(A32,ÜRÜNLER!A:C,3,FALSE),VLOOKUP(A32,ÜRÜNLER!A:B,2,FALSE)),"")</f>
        <v>iQ300 Alttan Donduruculu Kulpsuz Buzdolabı, 70cm, Inox (Wi-Fi)</v>
      </c>
      <c r="C32" s="8">
        <v>32</v>
      </c>
      <c r="D32" s="8"/>
      <c r="E32" s="9"/>
      <c r="F32" s="9"/>
      <c r="G32" s="9"/>
      <c r="H32" s="9"/>
      <c r="I32" s="10">
        <v>1</v>
      </c>
      <c r="J32" s="10"/>
      <c r="K32" s="9"/>
      <c r="L32" s="9"/>
      <c r="M32" s="10"/>
      <c r="N32" s="119">
        <f t="shared" si="0"/>
        <v>33</v>
      </c>
      <c r="O32" s="120">
        <v>24</v>
      </c>
      <c r="P32" s="68"/>
      <c r="Q32" s="126">
        <v>49000.062970401705</v>
      </c>
      <c r="R32" s="116">
        <v>46550.059821881616</v>
      </c>
      <c r="S32" s="114">
        <v>48412.062214756879</v>
      </c>
      <c r="T32" s="114">
        <v>50274.064607632143</v>
      </c>
      <c r="U32" s="122">
        <v>325.64436575053696</v>
      </c>
      <c r="V32" s="114"/>
      <c r="W32" s="127"/>
      <c r="X32" s="133"/>
      <c r="Y32" s="12"/>
      <c r="Z32" s="12"/>
    </row>
    <row r="33" spans="1:26" s="134" customFormat="1">
      <c r="A33" s="14" t="s">
        <v>1649</v>
      </c>
      <c r="B33" s="110" t="str">
        <f>IFERROR(HYPERLINK(VLOOKUP(A33,ÜRÜNLER!A:C,3,FALSE),VLOOKUP(A33,ÜRÜNLER!A:B,2,FALSE)),"")</f>
        <v>iQ300 Alttan Donduruculu Kulpsuz Buzdolabı, 70cm, Beyaz (Wi-Fi)</v>
      </c>
      <c r="C33" s="8">
        <v>32</v>
      </c>
      <c r="D33" s="8"/>
      <c r="E33" s="9"/>
      <c r="F33" s="9"/>
      <c r="G33" s="9"/>
      <c r="H33" s="9"/>
      <c r="I33" s="10"/>
      <c r="J33" s="10"/>
      <c r="K33" s="9"/>
      <c r="L33" s="9"/>
      <c r="M33" s="10"/>
      <c r="N33" s="119">
        <f t="shared" si="0"/>
        <v>32</v>
      </c>
      <c r="O33" s="120">
        <v>21</v>
      </c>
      <c r="P33" s="68"/>
      <c r="Q33" s="126">
        <v>45360.936416490491</v>
      </c>
      <c r="R33" s="116">
        <v>43092.889595665969</v>
      </c>
      <c r="S33" s="114">
        <v>44816.60517949261</v>
      </c>
      <c r="T33" s="114">
        <v>46540.320763319243</v>
      </c>
      <c r="U33" s="122"/>
      <c r="V33" s="114"/>
      <c r="W33" s="127"/>
      <c r="X33" s="133"/>
      <c r="Y33" s="12"/>
      <c r="Z33" s="12"/>
    </row>
    <row r="34" spans="1:26">
      <c r="A34" s="15" t="s">
        <v>36</v>
      </c>
      <c r="B34" s="110" t="str">
        <f>IFERROR(HYPERLINK(VLOOKUP(A34,ÜRÜNLER!A:C,3,FALSE),VLOOKUP(A34,ÜRÜNLER!A:B,2,FALSE)),"")</f>
        <v>iQ700 Alttan Donduruculu Kulplu Buzdolabı, 75cm, Inox</v>
      </c>
      <c r="C34" s="8">
        <v>14</v>
      </c>
      <c r="D34" s="8"/>
      <c r="E34" s="9"/>
      <c r="F34" s="9"/>
      <c r="G34" s="9"/>
      <c r="H34" s="9"/>
      <c r="I34" s="10"/>
      <c r="J34" s="10"/>
      <c r="K34" s="9"/>
      <c r="L34" s="9"/>
      <c r="M34" s="10"/>
      <c r="N34" s="119">
        <f t="shared" si="0"/>
        <v>14</v>
      </c>
      <c r="O34" s="120"/>
      <c r="P34" s="68"/>
      <c r="Q34" s="126">
        <v>84646.164438751875</v>
      </c>
      <c r="R34" s="116">
        <v>80413.856216814282</v>
      </c>
      <c r="S34" s="11">
        <v>83630.410465486857</v>
      </c>
      <c r="T34" s="11">
        <v>86846.964714159418</v>
      </c>
      <c r="U34" s="122">
        <v>9762.4435085193254</v>
      </c>
      <c r="V34" s="114"/>
      <c r="W34" s="127"/>
    </row>
    <row r="35" spans="1:26">
      <c r="A35" s="15" t="s">
        <v>37</v>
      </c>
      <c r="B35" s="110" t="str">
        <f>IFERROR(HYPERLINK(VLOOKUP(A35,ÜRÜNLER!A:C,3,FALSE),VLOOKUP(A35,ÜRÜNLER!A:B,2,FALSE)),"")</f>
        <v>iQ500 Alttan Donduruculu Kulplu Buzdolabı, 75cm, Inox</v>
      </c>
      <c r="C35" s="8">
        <v>1</v>
      </c>
      <c r="D35" s="8"/>
      <c r="E35" s="9"/>
      <c r="F35" s="9">
        <v>1</v>
      </c>
      <c r="G35" s="9"/>
      <c r="H35" s="9"/>
      <c r="I35" s="10">
        <v>1</v>
      </c>
      <c r="J35" s="10">
        <v>1</v>
      </c>
      <c r="K35" s="9">
        <v>1</v>
      </c>
      <c r="L35" s="9">
        <v>3</v>
      </c>
      <c r="M35" s="10">
        <v>1</v>
      </c>
      <c r="N35" s="119">
        <f t="shared" si="0"/>
        <v>9</v>
      </c>
      <c r="O35" s="120">
        <v>21</v>
      </c>
      <c r="P35" s="68"/>
      <c r="Q35" s="126">
        <v>89337.569444670866</v>
      </c>
      <c r="R35" s="131">
        <v>89337.569444670866</v>
      </c>
      <c r="S35" s="11">
        <v>92911.072222457704</v>
      </c>
      <c r="T35" s="11">
        <v>96484.575000244542</v>
      </c>
      <c r="U35" s="122">
        <v>26744.546188856912</v>
      </c>
      <c r="V35" s="114"/>
      <c r="W35" s="127"/>
    </row>
    <row r="36" spans="1:26" s="13" customFormat="1">
      <c r="A36" s="15" t="s">
        <v>38</v>
      </c>
      <c r="B36" s="110" t="str">
        <f>IFERROR(HYPERLINK(VLOOKUP(A36,ÜRÜNLER!A:C,3,FALSE),VLOOKUP(A36,ÜRÜNLER!A:B,2,FALSE)),"")</f>
        <v>iQ500 Alttan Donduruculu Kulplu Buzdolabı, 75cm, Beyaz</v>
      </c>
      <c r="C36" s="8">
        <v>40</v>
      </c>
      <c r="D36" s="8"/>
      <c r="E36" s="9"/>
      <c r="F36" s="9"/>
      <c r="G36" s="9"/>
      <c r="H36" s="9"/>
      <c r="I36" s="10">
        <v>1</v>
      </c>
      <c r="J36" s="10"/>
      <c r="K36" s="9"/>
      <c r="L36" s="9">
        <v>1</v>
      </c>
      <c r="M36" s="10"/>
      <c r="N36" s="119">
        <f t="shared" si="0"/>
        <v>42</v>
      </c>
      <c r="O36" s="120">
        <v>1</v>
      </c>
      <c r="P36" s="68"/>
      <c r="Q36" s="126">
        <v>80897.295942227123</v>
      </c>
      <c r="R36" s="135">
        <v>75234.485226271223</v>
      </c>
      <c r="S36" s="11">
        <v>78243.864635322068</v>
      </c>
      <c r="T36" s="11">
        <v>81253.244044372928</v>
      </c>
      <c r="U36" s="122">
        <v>18955.435477110841</v>
      </c>
      <c r="V36" s="114"/>
      <c r="W36" s="127"/>
      <c r="X36" s="124"/>
      <c r="Y36" s="136"/>
      <c r="Z36" s="136"/>
    </row>
    <row r="37" spans="1:26">
      <c r="A37" s="71" t="s">
        <v>39</v>
      </c>
      <c r="B37" s="110" t="str">
        <f>IFERROR(HYPERLINK(VLOOKUP(A37,ÜRÜNLER!A:C,3,FALSE),VLOOKUP(A37,ÜRÜNLER!A:B,2,FALSE)),"")</f>
        <v>iQ500 Alttan Donduruculu Kulpsuz Buzdolabı, 75cm, darkSteel</v>
      </c>
      <c r="C37" s="8">
        <v>63</v>
      </c>
      <c r="D37" s="8"/>
      <c r="E37" s="9"/>
      <c r="F37" s="9">
        <v>1</v>
      </c>
      <c r="G37" s="9"/>
      <c r="H37" s="9"/>
      <c r="I37" s="10">
        <v>1</v>
      </c>
      <c r="J37" s="10">
        <v>1</v>
      </c>
      <c r="K37" s="9"/>
      <c r="L37" s="9"/>
      <c r="M37" s="10">
        <v>1</v>
      </c>
      <c r="N37" s="119">
        <f t="shared" si="0"/>
        <v>67</v>
      </c>
      <c r="O37" s="120">
        <v>119</v>
      </c>
      <c r="P37" s="68"/>
      <c r="Q37" s="126">
        <v>99433.899972588129</v>
      </c>
      <c r="R37" s="116">
        <v>94462.204973958724</v>
      </c>
      <c r="S37" s="11">
        <v>98240.693172917076</v>
      </c>
      <c r="T37" s="11">
        <v>102019.18137187543</v>
      </c>
      <c r="U37" s="122">
        <v>30980.411600495107</v>
      </c>
      <c r="V37" s="114"/>
      <c r="W37" s="127"/>
    </row>
    <row r="38" spans="1:26">
      <c r="A38" s="15" t="s">
        <v>40</v>
      </c>
      <c r="B38" s="110" t="str">
        <f>IFERROR(HYPERLINK(VLOOKUP(A38,ÜRÜNLER!A:C,3,FALSE),VLOOKUP(A38,ÜRÜNLER!A:B,2,FALSE)),"")</f>
        <v>iQ300 Alttan Donduruculu Kulpsuz Buzdolabı, 75cm, Inox</v>
      </c>
      <c r="C38" s="8">
        <v>37</v>
      </c>
      <c r="D38" s="8"/>
      <c r="E38" s="9"/>
      <c r="F38" s="9">
        <v>1</v>
      </c>
      <c r="G38" s="9">
        <v>1</v>
      </c>
      <c r="H38" s="9"/>
      <c r="I38" s="10">
        <v>1</v>
      </c>
      <c r="J38" s="10"/>
      <c r="K38" s="9"/>
      <c r="L38" s="9">
        <v>2</v>
      </c>
      <c r="M38" s="10"/>
      <c r="N38" s="119">
        <f t="shared" si="0"/>
        <v>42</v>
      </c>
      <c r="O38" s="120">
        <v>1</v>
      </c>
      <c r="P38" s="68"/>
      <c r="Q38" s="126">
        <v>80743.425892217376</v>
      </c>
      <c r="R38" s="135">
        <v>75091.38607976216</v>
      </c>
      <c r="S38" s="11">
        <v>78095.041522952641</v>
      </c>
      <c r="T38" s="11">
        <v>81098.696966143136</v>
      </c>
      <c r="U38" s="122">
        <v>19696.914264310399</v>
      </c>
      <c r="V38" s="114"/>
      <c r="W38" s="127"/>
    </row>
    <row r="39" spans="1:26">
      <c r="A39" s="15" t="s">
        <v>41</v>
      </c>
      <c r="B39" s="110" t="str">
        <f>IFERROR(HYPERLINK(VLOOKUP(A39,ÜRÜNLER!A:C,3,FALSE),VLOOKUP(A39,ÜRÜNLER!A:B,2,FALSE)),"")</f>
        <v>iQ300 Alttan Donduruculu Kulpsuz Buzdolabı, 75cm, Beyaz</v>
      </c>
      <c r="C39" s="8">
        <v>31</v>
      </c>
      <c r="D39" s="8"/>
      <c r="E39" s="9"/>
      <c r="F39" s="9">
        <v>2</v>
      </c>
      <c r="G39" s="9"/>
      <c r="H39" s="9"/>
      <c r="I39" s="10">
        <v>1</v>
      </c>
      <c r="J39" s="10">
        <v>1</v>
      </c>
      <c r="K39" s="9"/>
      <c r="L39" s="9"/>
      <c r="M39" s="10">
        <v>1</v>
      </c>
      <c r="N39" s="119">
        <f t="shared" si="0"/>
        <v>36</v>
      </c>
      <c r="O39" s="120">
        <v>1</v>
      </c>
      <c r="P39" s="68"/>
      <c r="Q39" s="126">
        <v>72507.334385134804</v>
      </c>
      <c r="R39" s="128">
        <v>65256.600946621322</v>
      </c>
      <c r="S39" s="214">
        <v>67866.864984486179</v>
      </c>
      <c r="T39" s="214">
        <v>70477.12902235103</v>
      </c>
      <c r="U39" s="122">
        <v>20821.287873506895</v>
      </c>
      <c r="V39" s="114"/>
      <c r="W39" s="127"/>
    </row>
    <row r="40" spans="1:26">
      <c r="A40" s="15" t="s">
        <v>42</v>
      </c>
      <c r="B40" s="110" t="str">
        <f>IFERROR(HYPERLINK(VLOOKUP(A40,ÜRÜNLER!A:C,3,FALSE),VLOOKUP(A40,ÜRÜNLER!A:B,2,FALSE)),"")</f>
        <v>iQ700 Alttan Donduruculu Kulplu Buzdolabı, 75cm, Inox</v>
      </c>
      <c r="C40" s="8">
        <v>43</v>
      </c>
      <c r="D40" s="8"/>
      <c r="E40" s="9">
        <v>2</v>
      </c>
      <c r="F40" s="9">
        <v>2</v>
      </c>
      <c r="G40" s="9"/>
      <c r="H40" s="9"/>
      <c r="I40" s="10">
        <v>1</v>
      </c>
      <c r="J40" s="10">
        <v>1</v>
      </c>
      <c r="K40" s="9"/>
      <c r="L40" s="9"/>
      <c r="M40" s="10">
        <v>1</v>
      </c>
      <c r="N40" s="119">
        <f t="shared" si="0"/>
        <v>50</v>
      </c>
      <c r="O40" s="120">
        <v>1</v>
      </c>
      <c r="P40" s="68"/>
      <c r="Q40" s="126">
        <v>93563.754304094517</v>
      </c>
      <c r="R40" s="128">
        <v>84207.378873685069</v>
      </c>
      <c r="S40" s="214">
        <v>87575.674028632478</v>
      </c>
      <c r="T40" s="214">
        <v>90943.969183579873</v>
      </c>
      <c r="U40" s="122">
        <v>18924.219420373571</v>
      </c>
      <c r="V40" s="114"/>
      <c r="W40" s="127"/>
    </row>
    <row r="41" spans="1:26">
      <c r="A41" s="15" t="s">
        <v>43</v>
      </c>
      <c r="B41" s="110" t="str">
        <f>IFERROR(HYPERLINK(VLOOKUP(A41,ÜRÜNLER!A:C,3,FALSE),VLOOKUP(A41,ÜRÜNLER!A:B,2,FALSE)),"")</f>
        <v>iQ700 Alttan Donduruculu Kulplu Buzdolabı, 75cm, Beyaz</v>
      </c>
      <c r="C41" s="8">
        <v>32</v>
      </c>
      <c r="D41" s="8"/>
      <c r="E41" s="9">
        <v>1</v>
      </c>
      <c r="F41" s="9"/>
      <c r="G41" s="9"/>
      <c r="H41" s="9"/>
      <c r="I41" s="10">
        <v>1</v>
      </c>
      <c r="J41" s="10"/>
      <c r="K41" s="9">
        <v>1</v>
      </c>
      <c r="L41" s="9">
        <v>3</v>
      </c>
      <c r="M41" s="10"/>
      <c r="N41" s="119">
        <f t="shared" si="0"/>
        <v>38</v>
      </c>
      <c r="O41" s="120">
        <v>1</v>
      </c>
      <c r="P41" s="137"/>
      <c r="Q41" s="126">
        <v>85858.484053583932</v>
      </c>
      <c r="R41" s="128">
        <v>77272.635648225536</v>
      </c>
      <c r="S41" s="214">
        <v>80363.541074154564</v>
      </c>
      <c r="T41" s="214">
        <v>83454.446500083577</v>
      </c>
      <c r="U41" s="122">
        <v>16428.25149544439</v>
      </c>
      <c r="V41" s="114"/>
      <c r="W41" s="127"/>
    </row>
    <row r="42" spans="1:26" s="13" customFormat="1">
      <c r="A42" s="14" t="s">
        <v>44</v>
      </c>
      <c r="B42" s="110" t="str">
        <f>IFERROR(HYPERLINK(VLOOKUP(A42,ÜRÜNLER!A:C,3,FALSE),VLOOKUP(A42,ÜRÜNLER!A:B,2,FALSE)),"")</f>
        <v>iQ500 Alttan Donduruculu Kulplu Buzdolabı, 86cm, Inox</v>
      </c>
      <c r="C42" s="8">
        <v>111</v>
      </c>
      <c r="D42" s="8"/>
      <c r="E42" s="9">
        <v>1</v>
      </c>
      <c r="F42" s="9">
        <v>4</v>
      </c>
      <c r="G42" s="9"/>
      <c r="H42" s="9"/>
      <c r="I42" s="10">
        <v>1</v>
      </c>
      <c r="J42" s="10">
        <v>1</v>
      </c>
      <c r="K42" s="9">
        <v>1</v>
      </c>
      <c r="L42" s="9">
        <v>1</v>
      </c>
      <c r="M42" s="10">
        <v>1</v>
      </c>
      <c r="N42" s="119">
        <f t="shared" si="0"/>
        <v>121</v>
      </c>
      <c r="O42" s="120">
        <v>1</v>
      </c>
      <c r="P42" s="68"/>
      <c r="Q42" s="126">
        <v>104311.67380670749</v>
      </c>
      <c r="R42" s="128">
        <v>93880.506426036736</v>
      </c>
      <c r="S42" s="214">
        <v>97635.726683078203</v>
      </c>
      <c r="T42" s="214">
        <v>101390.94694011967</v>
      </c>
      <c r="U42" s="122">
        <v>37486.092411358652</v>
      </c>
      <c r="V42" s="114"/>
      <c r="W42" s="127"/>
      <c r="X42" s="124"/>
      <c r="Y42" s="136"/>
      <c r="Z42" s="136"/>
    </row>
    <row r="43" spans="1:26" s="13" customFormat="1">
      <c r="A43" s="14" t="s">
        <v>45</v>
      </c>
      <c r="B43" s="110" t="str">
        <f>IFERROR(HYPERLINK(VLOOKUP(A43,ÜRÜNLER!A:C,3,FALSE),VLOOKUP(A43,ÜRÜNLER!A:B,2,FALSE)),"")</f>
        <v>iQ500 Alttan Donduruculu Kulplu Buzdolabı, 86cm, Beyaz</v>
      </c>
      <c r="C43" s="8">
        <v>12</v>
      </c>
      <c r="D43" s="8"/>
      <c r="E43" s="9"/>
      <c r="F43" s="9">
        <v>2</v>
      </c>
      <c r="G43" s="9"/>
      <c r="H43" s="9"/>
      <c r="I43" s="10">
        <v>1</v>
      </c>
      <c r="J43" s="10"/>
      <c r="K43" s="9">
        <v>1</v>
      </c>
      <c r="L43" s="9"/>
      <c r="M43" s="10"/>
      <c r="N43" s="119">
        <f t="shared" si="0"/>
        <v>16</v>
      </c>
      <c r="O43" s="120">
        <v>1</v>
      </c>
      <c r="P43" s="137"/>
      <c r="Q43" s="126">
        <v>89598.547283956679</v>
      </c>
      <c r="R43" s="128">
        <v>80638.692555561007</v>
      </c>
      <c r="S43" s="214">
        <v>83864.240257783444</v>
      </c>
      <c r="T43" s="214">
        <v>87089.787960005895</v>
      </c>
      <c r="U43" s="122">
        <v>26272.96588860784</v>
      </c>
      <c r="V43" s="114"/>
      <c r="W43" s="127"/>
      <c r="X43" s="124"/>
      <c r="Y43" s="136"/>
      <c r="Z43" s="136"/>
    </row>
    <row r="44" spans="1:26" s="13" customFormat="1">
      <c r="A44" s="14" t="s">
        <v>46</v>
      </c>
      <c r="B44" s="110" t="str">
        <f>IFERROR(HYPERLINK(VLOOKUP(A44,ÜRÜNLER!A:C,3,FALSE),VLOOKUP(A44,ÜRÜNLER!A:B,2,FALSE)),"")</f>
        <v>iQ500 Alttan Donduruculu Kulpsuz Buzdolabı, 86cm, Beyaz</v>
      </c>
      <c r="C44" s="8">
        <v>43</v>
      </c>
      <c r="D44" s="8"/>
      <c r="E44" s="9"/>
      <c r="F44" s="9">
        <v>1</v>
      </c>
      <c r="G44" s="9"/>
      <c r="H44" s="9"/>
      <c r="I44" s="10"/>
      <c r="J44" s="10">
        <v>1</v>
      </c>
      <c r="K44" s="9"/>
      <c r="L44" s="9"/>
      <c r="M44" s="10"/>
      <c r="N44" s="119">
        <f t="shared" si="0"/>
        <v>45</v>
      </c>
      <c r="O44" s="120">
        <v>1</v>
      </c>
      <c r="P44" s="68"/>
      <c r="Q44" s="126">
        <v>79438.432781814583</v>
      </c>
      <c r="R44" s="128">
        <v>71494.58950363312</v>
      </c>
      <c r="S44" s="214">
        <v>74354.373083778439</v>
      </c>
      <c r="T44" s="214">
        <v>77214.156663923772</v>
      </c>
      <c r="U44" s="122">
        <v>18147.73510739598</v>
      </c>
      <c r="V44" s="114"/>
      <c r="W44" s="127"/>
      <c r="X44" s="124"/>
      <c r="Y44" s="136"/>
      <c r="Z44" s="136"/>
    </row>
    <row r="45" spans="1:26" s="13" customFormat="1">
      <c r="A45" s="14" t="s">
        <v>48</v>
      </c>
      <c r="B45" s="110" t="str">
        <f>IFERROR(HYPERLINK(VLOOKUP(A45,ÜRÜNLER!A:C,3,FALSE),VLOOKUP(A45,ÜRÜNLER!A:B,2,FALSE)),"")</f>
        <v>iQ700 Alttan Donduruculu Kulplu Buzdolabı, 86cm, Inox</v>
      </c>
      <c r="C45" s="8">
        <v>2</v>
      </c>
      <c r="D45" s="8"/>
      <c r="E45" s="9"/>
      <c r="F45" s="9"/>
      <c r="G45" s="9"/>
      <c r="H45" s="9"/>
      <c r="I45" s="10"/>
      <c r="J45" s="10"/>
      <c r="K45" s="9"/>
      <c r="L45" s="9"/>
      <c r="M45" s="10"/>
      <c r="N45" s="119">
        <f t="shared" si="0"/>
        <v>2</v>
      </c>
      <c r="O45" s="120"/>
      <c r="P45" s="68"/>
      <c r="Q45" s="121" t="s">
        <v>1788</v>
      </c>
      <c r="R45" s="114">
        <v>80000</v>
      </c>
      <c r="S45" s="11">
        <v>83200</v>
      </c>
      <c r="T45" s="11">
        <v>86400</v>
      </c>
      <c r="U45" s="122"/>
      <c r="V45" s="114"/>
      <c r="W45" s="127"/>
      <c r="X45" s="124"/>
      <c r="Y45" s="136"/>
      <c r="Z45" s="136"/>
    </row>
    <row r="46" spans="1:26" s="13" customFormat="1">
      <c r="A46" s="78" t="s">
        <v>47</v>
      </c>
      <c r="B46" s="110" t="str">
        <f>IFERROR(HYPERLINK(VLOOKUP(A46,ÜRÜNLER!A:C,3,FALSE),VLOOKUP(A46,ÜRÜNLER!A:B,2,FALSE)),"")</f>
        <v>iQ700 Alttan Donduruculu Kulpsuz Buzdolabı, 86cm, darkSteel</v>
      </c>
      <c r="C46" s="8">
        <v>34</v>
      </c>
      <c r="D46" s="8"/>
      <c r="E46" s="9"/>
      <c r="F46" s="9"/>
      <c r="G46" s="9"/>
      <c r="H46" s="9"/>
      <c r="I46" s="10">
        <v>1</v>
      </c>
      <c r="J46" s="10"/>
      <c r="K46" s="9"/>
      <c r="L46" s="9"/>
      <c r="M46" s="10">
        <v>1</v>
      </c>
      <c r="N46" s="119">
        <f t="shared" si="0"/>
        <v>36</v>
      </c>
      <c r="O46" s="120">
        <v>21</v>
      </c>
      <c r="P46" s="68"/>
      <c r="Q46" s="126">
        <v>119402.30490978497</v>
      </c>
      <c r="R46" s="128">
        <v>107462.07441880647</v>
      </c>
      <c r="S46" s="214">
        <v>111760.55739555873</v>
      </c>
      <c r="T46" s="214">
        <v>116059.04037231099</v>
      </c>
      <c r="U46" s="122">
        <v>36053.467700482637</v>
      </c>
      <c r="V46" s="114"/>
      <c r="W46" s="127"/>
      <c r="X46" s="124"/>
      <c r="Y46" s="136"/>
      <c r="Z46" s="136"/>
    </row>
    <row r="47" spans="1:26" s="13" customFormat="1">
      <c r="A47" s="14" t="s">
        <v>49</v>
      </c>
      <c r="B47" s="110" t="str">
        <f>IFERROR(HYPERLINK(VLOOKUP(A47,ÜRÜNLER!A:C,3,FALSE),VLOOKUP(A47,ÜRÜNLER!A:B,2,FALSE)),"")</f>
        <v>iQ700 Alttan Donduruculu Kulplu Buzdolabı, 86cm, Inox</v>
      </c>
      <c r="C47" s="8">
        <v>139</v>
      </c>
      <c r="D47" s="8"/>
      <c r="E47" s="9"/>
      <c r="F47" s="9">
        <v>5</v>
      </c>
      <c r="G47" s="9"/>
      <c r="H47" s="9"/>
      <c r="I47" s="10">
        <v>1</v>
      </c>
      <c r="J47" s="10"/>
      <c r="K47" s="9">
        <v>1</v>
      </c>
      <c r="L47" s="9">
        <v>1</v>
      </c>
      <c r="M47" s="10">
        <v>1</v>
      </c>
      <c r="N47" s="119">
        <f t="shared" si="0"/>
        <v>148</v>
      </c>
      <c r="O47" s="120">
        <v>1</v>
      </c>
      <c r="P47" s="137"/>
      <c r="Q47" s="126">
        <v>113812.0276797781</v>
      </c>
      <c r="R47" s="128">
        <v>102430.82491180029</v>
      </c>
      <c r="S47" s="214">
        <v>106528.0579082723</v>
      </c>
      <c r="T47" s="214">
        <v>110625.29090474431</v>
      </c>
      <c r="U47" s="122">
        <v>36323.65558675483</v>
      </c>
      <c r="V47" s="114"/>
      <c r="W47" s="127"/>
      <c r="X47" s="124"/>
      <c r="Y47" s="136"/>
      <c r="Z47" s="136"/>
    </row>
    <row r="48" spans="1:26">
      <c r="A48" s="14" t="s">
        <v>50</v>
      </c>
      <c r="B48" s="110" t="str">
        <f>IFERROR(HYPERLINK(VLOOKUP(A48,ÜRÜNLER!A:C,3,FALSE),VLOOKUP(A48,ÜRÜNLER!A:B,2,FALSE)),"")</f>
        <v>iQ700 Alttan Donduruculu Kulplu Buzdolabı, 86cm, Beyaz</v>
      </c>
      <c r="C48" s="8">
        <v>59</v>
      </c>
      <c r="D48" s="8"/>
      <c r="E48" s="9"/>
      <c r="F48" s="9">
        <v>1</v>
      </c>
      <c r="G48" s="9"/>
      <c r="H48" s="9"/>
      <c r="I48" s="10">
        <v>1</v>
      </c>
      <c r="J48" s="10">
        <v>1</v>
      </c>
      <c r="K48" s="9"/>
      <c r="L48" s="9"/>
      <c r="M48" s="10"/>
      <c r="N48" s="119">
        <f t="shared" si="0"/>
        <v>62</v>
      </c>
      <c r="O48" s="120">
        <v>1</v>
      </c>
      <c r="P48" s="68"/>
      <c r="Q48" s="126">
        <v>102827.95689172141</v>
      </c>
      <c r="R48" s="128">
        <v>92545.161202549265</v>
      </c>
      <c r="S48" s="214">
        <v>96246.967650651233</v>
      </c>
      <c r="T48" s="214">
        <v>99948.774098753202</v>
      </c>
      <c r="U48" s="122">
        <v>31688.42200800046</v>
      </c>
      <c r="V48" s="114"/>
      <c r="W48" s="127"/>
    </row>
    <row r="49" spans="1:25" ht="37.5" customHeight="1">
      <c r="A49" s="171" t="s">
        <v>1496</v>
      </c>
      <c r="B49" s="110" t="str">
        <f>IFERROR(HYPERLINK(VLOOKUP(A49,ÜRÜNLER!A:C,3,FALSE),VLOOKUP(A49,ÜRÜNLER!A:B,2,FALSE)),"")</f>
        <v/>
      </c>
      <c r="C49" s="8"/>
      <c r="D49" s="8"/>
      <c r="E49" s="9"/>
      <c r="F49" s="9"/>
      <c r="G49" s="9"/>
      <c r="H49" s="9"/>
      <c r="I49" s="10"/>
      <c r="J49" s="10"/>
      <c r="K49" s="9"/>
      <c r="L49" s="9"/>
      <c r="M49" s="10"/>
      <c r="N49" s="119">
        <f>SUM(N2:N48)</f>
        <v>1147</v>
      </c>
      <c r="O49" s="120">
        <f>SUM(O2:O48)</f>
        <v>284</v>
      </c>
      <c r="P49" s="9"/>
      <c r="Q49" s="121"/>
      <c r="R49" s="127"/>
      <c r="S49" s="11"/>
      <c r="T49" s="11"/>
      <c r="U49" s="122"/>
      <c r="V49" s="114"/>
      <c r="W49" s="127"/>
    </row>
    <row r="50" spans="1:25">
      <c r="A50" s="15" t="s">
        <v>51</v>
      </c>
      <c r="B50" s="110" t="str">
        <f>IFERROR(HYPERLINK(VLOOKUP(A50,ÜRÜNLER!A:C,3,FALSE),VLOOKUP(A50,ÜRÜNLER!A:B,2,FALSE)),"")</f>
        <v>iQ300 Derin Dondurucu, 146x60cm, Statik, Beyaz</v>
      </c>
      <c r="C50" s="8">
        <v>96</v>
      </c>
      <c r="D50" s="8"/>
      <c r="E50" s="9"/>
      <c r="F50" s="9">
        <v>1</v>
      </c>
      <c r="G50" s="9"/>
      <c r="H50" s="9"/>
      <c r="I50" s="10"/>
      <c r="J50" s="10"/>
      <c r="K50" s="9"/>
      <c r="L50" s="9"/>
      <c r="M50" s="10"/>
      <c r="N50" s="119">
        <f t="shared" ref="N50:N59" si="1">M50+K50+L50+J50+I50+H50+G50+F50+E50+D50+C50</f>
        <v>97</v>
      </c>
      <c r="O50" s="120"/>
      <c r="P50" s="68" t="s">
        <v>1545</v>
      </c>
      <c r="Q50" s="126">
        <v>24592.564804472826</v>
      </c>
      <c r="R50" s="116">
        <v>23000</v>
      </c>
      <c r="S50" s="11">
        <v>23920</v>
      </c>
      <c r="T50" s="11">
        <v>24840</v>
      </c>
      <c r="U50" s="122"/>
      <c r="V50" s="114"/>
      <c r="W50" s="127"/>
    </row>
    <row r="51" spans="1:25">
      <c r="A51" s="15" t="s">
        <v>52</v>
      </c>
      <c r="B51" s="110" t="str">
        <f>IFERROR(HYPERLINK(VLOOKUP(A51,ÜRÜNLER!A:C,3,FALSE),VLOOKUP(A51,ÜRÜNLER!A:B,2,FALSE)),"")</f>
        <v>iQ300 Derin Dondurucu, 146x60cm, Statik, Beyaz</v>
      </c>
      <c r="C51" s="8"/>
      <c r="D51" s="8"/>
      <c r="E51" s="9">
        <v>1</v>
      </c>
      <c r="F51" s="9"/>
      <c r="G51" s="9"/>
      <c r="H51" s="9"/>
      <c r="I51" s="10"/>
      <c r="J51" s="10"/>
      <c r="K51" s="9"/>
      <c r="L51" s="9">
        <v>1</v>
      </c>
      <c r="M51" s="10"/>
      <c r="N51" s="119">
        <f t="shared" si="1"/>
        <v>2</v>
      </c>
      <c r="O51" s="120"/>
      <c r="P51" s="68" t="s">
        <v>1545</v>
      </c>
      <c r="Q51" s="121" t="s">
        <v>1788</v>
      </c>
      <c r="R51" s="114">
        <v>20000</v>
      </c>
      <c r="S51" s="11">
        <v>20800</v>
      </c>
      <c r="T51" s="11">
        <v>21600</v>
      </c>
      <c r="U51" s="122"/>
      <c r="V51" s="114"/>
      <c r="W51" s="123">
        <v>500</v>
      </c>
    </row>
    <row r="52" spans="1:25">
      <c r="A52" s="72" t="s">
        <v>53</v>
      </c>
      <c r="B52" s="110" t="str">
        <f>IFERROR(HYPERLINK(VLOOKUP(A52,ÜRÜNLER!A:C,3,FALSE),VLOOKUP(A52,ÜRÜNLER!A:B,2,FALSE)),"")</f>
        <v>iQ300 Derin Dondurucu, 161x60cm, No-Frost, Beyaz</v>
      </c>
      <c r="C52" s="8">
        <v>14</v>
      </c>
      <c r="D52" s="8"/>
      <c r="E52" s="9"/>
      <c r="F52" s="9"/>
      <c r="G52" s="9"/>
      <c r="H52" s="9"/>
      <c r="I52" s="10"/>
      <c r="J52" s="10"/>
      <c r="K52" s="9"/>
      <c r="L52" s="9"/>
      <c r="M52" s="10"/>
      <c r="N52" s="119">
        <f t="shared" si="1"/>
        <v>14</v>
      </c>
      <c r="O52" s="120"/>
      <c r="P52" s="68" t="s">
        <v>1545</v>
      </c>
      <c r="Q52" s="126">
        <v>37824.325084093936</v>
      </c>
      <c r="R52" s="138">
        <v>39715.54133829863</v>
      </c>
      <c r="S52" s="11">
        <v>41304.162991830577</v>
      </c>
      <c r="T52" s="11">
        <v>42892.784645362517</v>
      </c>
      <c r="U52" s="122"/>
      <c r="V52" s="114"/>
      <c r="W52" s="127"/>
      <c r="Y52" s="124">
        <v>41200</v>
      </c>
    </row>
    <row r="53" spans="1:25">
      <c r="A53" s="72" t="s">
        <v>54</v>
      </c>
      <c r="B53" s="110" t="str">
        <f>IFERROR(HYPERLINK(VLOOKUP(A53,ÜRÜNLER!A:C,3,FALSE),VLOOKUP(A53,ÜRÜNLER!A:B,2,FALSE)),"")</f>
        <v>iQ300 Derin Dondurucu, 161x60cm, Statik, Beyaz</v>
      </c>
      <c r="C53" s="8">
        <v>105</v>
      </c>
      <c r="D53" s="8"/>
      <c r="E53" s="9"/>
      <c r="F53" s="9">
        <v>2</v>
      </c>
      <c r="G53" s="9"/>
      <c r="H53" s="9"/>
      <c r="I53" s="10">
        <v>1</v>
      </c>
      <c r="J53" s="10"/>
      <c r="K53" s="9">
        <v>1</v>
      </c>
      <c r="L53" s="9"/>
      <c r="M53" s="10"/>
      <c r="N53" s="119">
        <f t="shared" si="1"/>
        <v>109</v>
      </c>
      <c r="O53" s="120"/>
      <c r="P53" s="68" t="s">
        <v>1545</v>
      </c>
      <c r="Q53" s="126">
        <v>25437.803391758665</v>
      </c>
      <c r="R53" s="138">
        <v>26709.693561346598</v>
      </c>
      <c r="S53" s="11">
        <v>27778.08130380046</v>
      </c>
      <c r="T53" s="11">
        <v>28846.469046254326</v>
      </c>
      <c r="U53" s="122"/>
      <c r="V53" s="114"/>
      <c r="W53" s="127"/>
      <c r="Y53" s="124">
        <v>28200</v>
      </c>
    </row>
    <row r="54" spans="1:25">
      <c r="A54" s="72" t="s">
        <v>55</v>
      </c>
      <c r="B54" s="110" t="str">
        <f>IFERROR(HYPERLINK(VLOOKUP(A54,ÜRÜNLER!A:C,3,FALSE),VLOOKUP(A54,ÜRÜNLER!A:B,2,FALSE)),"")</f>
        <v>iQ300 Derin Dondurucu, 176x60cm, Statik, Inox</v>
      </c>
      <c r="C54" s="8">
        <v>96</v>
      </c>
      <c r="D54" s="8"/>
      <c r="E54" s="9">
        <v>2</v>
      </c>
      <c r="F54" s="9">
        <v>5</v>
      </c>
      <c r="G54" s="9"/>
      <c r="H54" s="9"/>
      <c r="I54" s="10">
        <v>1</v>
      </c>
      <c r="J54" s="10"/>
      <c r="K54" s="9"/>
      <c r="L54" s="9">
        <v>1</v>
      </c>
      <c r="M54" s="10">
        <v>1</v>
      </c>
      <c r="N54" s="119">
        <f t="shared" si="1"/>
        <v>106</v>
      </c>
      <c r="O54" s="120"/>
      <c r="P54" s="68" t="s">
        <v>1545</v>
      </c>
      <c r="Q54" s="126">
        <v>31580.842639611688</v>
      </c>
      <c r="R54" s="138">
        <v>33159.884771592275</v>
      </c>
      <c r="S54" s="11">
        <v>34486.280162455965</v>
      </c>
      <c r="T54" s="11">
        <v>35812.675553319656</v>
      </c>
      <c r="U54" s="122"/>
      <c r="V54" s="114"/>
      <c r="W54" s="127"/>
      <c r="Y54" s="124">
        <v>35100</v>
      </c>
    </row>
    <row r="55" spans="1:25">
      <c r="A55" s="72" t="s">
        <v>56</v>
      </c>
      <c r="B55" s="110" t="str">
        <f>IFERROR(HYPERLINK(VLOOKUP(A55,ÜRÜNLER!A:C,3,FALSE),VLOOKUP(A55,ÜRÜNLER!A:B,2,FALSE)),"")</f>
        <v>iQ300 Derin Dondurucu, 176x60cm, Statik, Beyaz</v>
      </c>
      <c r="C55" s="8">
        <v>115</v>
      </c>
      <c r="D55" s="8"/>
      <c r="E55" s="9">
        <v>5</v>
      </c>
      <c r="F55" s="9">
        <v>1</v>
      </c>
      <c r="G55" s="9"/>
      <c r="H55" s="9"/>
      <c r="I55" s="10">
        <v>1</v>
      </c>
      <c r="J55" s="10">
        <v>1</v>
      </c>
      <c r="K55" s="9"/>
      <c r="L55" s="9"/>
      <c r="M55" s="10"/>
      <c r="N55" s="119">
        <f t="shared" si="1"/>
        <v>123</v>
      </c>
      <c r="O55" s="120"/>
      <c r="P55" s="68" t="s">
        <v>1545</v>
      </c>
      <c r="Q55" s="126">
        <v>28432.702244249125</v>
      </c>
      <c r="R55" s="138">
        <v>29854.337356461583</v>
      </c>
      <c r="S55" s="11">
        <v>31048.510850720046</v>
      </c>
      <c r="T55" s="11">
        <v>32242.684344978508</v>
      </c>
      <c r="U55" s="122"/>
      <c r="V55" s="114"/>
      <c r="W55" s="127"/>
      <c r="Y55" s="124">
        <v>31600</v>
      </c>
    </row>
    <row r="56" spans="1:25">
      <c r="A56" s="172" t="s">
        <v>57</v>
      </c>
      <c r="B56" s="110" t="str">
        <f>IFERROR(HYPERLINK(VLOOKUP(A56,ÜRÜNLER!A:C,3,FALSE),VLOOKUP(A56,ÜRÜNLER!A:B,2,FALSE)),"")</f>
        <v>iQ300 Derin Dondurucu, 186x60cm, No-Frost Inox</v>
      </c>
      <c r="C56" s="8"/>
      <c r="D56" s="8"/>
      <c r="E56" s="9"/>
      <c r="F56" s="9">
        <v>1</v>
      </c>
      <c r="G56" s="9"/>
      <c r="H56" s="9"/>
      <c r="I56" s="10"/>
      <c r="J56" s="10"/>
      <c r="K56" s="9"/>
      <c r="L56" s="9"/>
      <c r="M56" s="10"/>
      <c r="N56" s="119">
        <f t="shared" si="1"/>
        <v>1</v>
      </c>
      <c r="O56" s="120"/>
      <c r="P56" s="68" t="s">
        <v>1545</v>
      </c>
      <c r="Q56" s="121" t="s">
        <v>1788</v>
      </c>
      <c r="R56" s="114">
        <v>36000</v>
      </c>
      <c r="S56" s="11">
        <v>37440</v>
      </c>
      <c r="T56" s="11">
        <v>38880</v>
      </c>
      <c r="U56" s="122"/>
      <c r="V56" s="114"/>
      <c r="W56" s="123">
        <v>500</v>
      </c>
      <c r="Y56" s="124"/>
    </row>
    <row r="57" spans="1:25">
      <c r="A57" s="82" t="s">
        <v>1332</v>
      </c>
      <c r="B57" s="110" t="str">
        <f>IFERROR(HYPERLINK(VLOOKUP(A57,ÜRÜNLER!A:C,3,FALSE),VLOOKUP(A57,ÜRÜNLER!A:B,2,FALSE)),"")</f>
        <v>iQ300 Derin Dondurucu, 186x60cm, No-Frost, Inox</v>
      </c>
      <c r="C57" s="8">
        <v>2</v>
      </c>
      <c r="D57" s="8"/>
      <c r="E57" s="9"/>
      <c r="F57" s="9"/>
      <c r="G57" s="9"/>
      <c r="H57" s="9"/>
      <c r="I57" s="10"/>
      <c r="J57" s="10"/>
      <c r="K57" s="9"/>
      <c r="L57" s="9"/>
      <c r="M57" s="10"/>
      <c r="N57" s="119">
        <f t="shared" si="1"/>
        <v>2</v>
      </c>
      <c r="O57" s="120"/>
      <c r="P57" s="68" t="s">
        <v>1545</v>
      </c>
      <c r="Q57" s="126">
        <v>34578.68292151163</v>
      </c>
      <c r="R57" s="138">
        <v>36307.617067587213</v>
      </c>
      <c r="S57" s="11">
        <v>37759.921750290698</v>
      </c>
      <c r="T57" s="11">
        <v>39212.22643299419</v>
      </c>
      <c r="U57" s="122"/>
      <c r="V57" s="114"/>
      <c r="W57" s="127"/>
      <c r="Y57" s="124">
        <v>38800</v>
      </c>
    </row>
    <row r="58" spans="1:25">
      <c r="A58" s="82" t="s">
        <v>58</v>
      </c>
      <c r="B58" s="110" t="str">
        <f>IFERROR(HYPERLINK(VLOOKUP(A58,ÜRÜNLER!A:C,3,FALSE),VLOOKUP(A58,ÜRÜNLER!A:B,2,FALSE)),"")</f>
        <v>iQ300 Derin Dondurucu, 186x60cm, No-Frost, Beyaz</v>
      </c>
      <c r="C58" s="8"/>
      <c r="D58" s="8"/>
      <c r="E58" s="9"/>
      <c r="F58" s="9"/>
      <c r="G58" s="9"/>
      <c r="H58" s="9"/>
      <c r="I58" s="10"/>
      <c r="J58" s="10"/>
      <c r="K58" s="9"/>
      <c r="L58" s="9">
        <v>1</v>
      </c>
      <c r="M58" s="10"/>
      <c r="N58" s="119">
        <f t="shared" si="1"/>
        <v>1</v>
      </c>
      <c r="O58" s="120"/>
      <c r="P58" s="68" t="s">
        <v>1545</v>
      </c>
      <c r="Q58" s="121" t="s">
        <v>1788</v>
      </c>
      <c r="R58" s="114">
        <v>30000</v>
      </c>
      <c r="S58" s="11">
        <v>31200</v>
      </c>
      <c r="T58" s="11">
        <v>32400</v>
      </c>
      <c r="U58" s="122"/>
      <c r="V58" s="114"/>
      <c r="W58" s="123">
        <v>500</v>
      </c>
      <c r="Y58" s="124"/>
    </row>
    <row r="59" spans="1:25">
      <c r="A59" s="172" t="s">
        <v>59</v>
      </c>
      <c r="B59" s="110" t="str">
        <f>IFERROR(HYPERLINK(VLOOKUP(A59,ÜRÜNLER!A:C,3,FALSE),VLOOKUP(A59,ÜRÜNLER!A:B,2,FALSE)),"")</f>
        <v>iQ300 Derin Dondurucu, 176x70cm, No-Frost, Beyaz</v>
      </c>
      <c r="C59" s="8">
        <v>70</v>
      </c>
      <c r="D59" s="8"/>
      <c r="E59" s="9">
        <v>3</v>
      </c>
      <c r="F59" s="9">
        <v>4</v>
      </c>
      <c r="G59" s="9"/>
      <c r="H59" s="9"/>
      <c r="I59" s="10"/>
      <c r="J59" s="10"/>
      <c r="K59" s="9"/>
      <c r="L59" s="9"/>
      <c r="M59" s="10"/>
      <c r="N59" s="119">
        <f t="shared" si="1"/>
        <v>77</v>
      </c>
      <c r="O59" s="120"/>
      <c r="P59" s="68" t="s">
        <v>1545</v>
      </c>
      <c r="Q59" s="126">
        <v>41328.219470344258</v>
      </c>
      <c r="R59" s="138">
        <v>43394.630443861468</v>
      </c>
      <c r="S59" s="11">
        <v>45130.415661615923</v>
      </c>
      <c r="T59" s="11">
        <v>46866.200879370386</v>
      </c>
      <c r="U59" s="122"/>
      <c r="V59" s="114"/>
      <c r="W59" s="127"/>
      <c r="Y59" s="124">
        <v>45100</v>
      </c>
    </row>
    <row r="60" spans="1:25" ht="36" customHeight="1">
      <c r="A60" s="171" t="s">
        <v>1497</v>
      </c>
      <c r="B60" s="110" t="str">
        <f>IFERROR(HYPERLINK(VLOOKUP(A60,ÜRÜNLER!A:C,3,FALSE),VLOOKUP(A60,ÜRÜNLER!A:B,2,FALSE)),"")</f>
        <v/>
      </c>
      <c r="C60" s="8"/>
      <c r="D60" s="8"/>
      <c r="E60" s="9"/>
      <c r="F60" s="9"/>
      <c r="G60" s="9"/>
      <c r="H60" s="9"/>
      <c r="I60" s="10"/>
      <c r="J60" s="10"/>
      <c r="K60" s="9"/>
      <c r="L60" s="9"/>
      <c r="M60" s="10"/>
      <c r="N60" s="119">
        <f>SUM(N50:N59)</f>
        <v>532</v>
      </c>
      <c r="O60" s="120"/>
      <c r="P60" s="9"/>
      <c r="Q60" s="121"/>
      <c r="R60" s="127"/>
      <c r="S60" s="11"/>
      <c r="T60" s="11"/>
      <c r="U60" s="122"/>
      <c r="V60" s="114"/>
      <c r="W60" s="127"/>
      <c r="Y60" s="124"/>
    </row>
    <row r="61" spans="1:25">
      <c r="A61" s="15" t="s">
        <v>60</v>
      </c>
      <c r="B61" s="110" t="str">
        <f>IFERROR(HYPERLINK(VLOOKUP(A61,ÜRÜNLER!A:C,3,FALSE),VLOOKUP(A61,ÜRÜNLER!A:B,2,FALSE)),"")</f>
        <v>iQ700 studioLine Ankastre Şarap Soğutucu, 212.5x60.3cm</v>
      </c>
      <c r="C61" s="8"/>
      <c r="D61" s="8">
        <v>4</v>
      </c>
      <c r="E61" s="9"/>
      <c r="F61" s="9"/>
      <c r="G61" s="9"/>
      <c r="H61" s="9">
        <v>1</v>
      </c>
      <c r="I61" s="10"/>
      <c r="J61" s="10"/>
      <c r="K61" s="9"/>
      <c r="L61" s="9"/>
      <c r="M61" s="10"/>
      <c r="N61" s="119">
        <f t="shared" ref="N61:N74" si="2">M61+K61+L61+J61+I61+H61+G61+F61+E61+D61+C61</f>
        <v>5</v>
      </c>
      <c r="O61" s="120"/>
      <c r="P61" s="68"/>
      <c r="Q61" s="139">
        <v>320728.45808950713</v>
      </c>
      <c r="R61" s="139">
        <v>288655.61228055641</v>
      </c>
      <c r="S61" s="11">
        <v>300201.83677177865</v>
      </c>
      <c r="T61" s="11">
        <v>311748.06126300094</v>
      </c>
      <c r="U61" s="122"/>
      <c r="V61" s="114"/>
      <c r="W61" s="127">
        <v>250</v>
      </c>
    </row>
    <row r="62" spans="1:25">
      <c r="A62" s="15" t="s">
        <v>61</v>
      </c>
      <c r="B62" s="110" t="str">
        <f>IFERROR(HYPERLINK(VLOOKUP(A62,ÜRÜNLER!A:C,3,FALSE),VLOOKUP(A62,ÜRÜNLER!A:B,2,FALSE)),"")</f>
        <v>iQ700 studioLine Alttan Donduruculu Ankastre Buzdolabı, 212.5x75.6cm, Düz Menteşe</v>
      </c>
      <c r="C62" s="8"/>
      <c r="D62" s="8">
        <v>2</v>
      </c>
      <c r="E62" s="9"/>
      <c r="F62" s="9"/>
      <c r="G62" s="9"/>
      <c r="H62" s="9">
        <v>1</v>
      </c>
      <c r="I62" s="10"/>
      <c r="J62" s="10"/>
      <c r="K62" s="9"/>
      <c r="L62" s="9"/>
      <c r="M62" s="10"/>
      <c r="N62" s="119">
        <f t="shared" si="2"/>
        <v>3</v>
      </c>
      <c r="O62" s="120"/>
      <c r="P62" s="68"/>
      <c r="Q62" s="121" t="s">
        <v>1788</v>
      </c>
      <c r="R62" s="139">
        <v>350000</v>
      </c>
      <c r="S62" s="11">
        <v>364000</v>
      </c>
      <c r="T62" s="11">
        <v>378000</v>
      </c>
      <c r="U62" s="122"/>
      <c r="V62" s="114"/>
      <c r="W62" s="127">
        <v>250</v>
      </c>
    </row>
    <row r="63" spans="1:25">
      <c r="A63" s="74" t="s">
        <v>62</v>
      </c>
      <c r="B63" s="110" t="str">
        <f>IFERROR(HYPERLINK(VLOOKUP(A63,ÜRÜNLER!A:C,3,FALSE),VLOOKUP(A63,ÜRÜNLER!A:B,2,FALSE)),"")</f>
        <v>iQ700 studioLine Ankastre Buzdolabı, 212.5x75.6cm, Düz Menteşe</v>
      </c>
      <c r="C63" s="8"/>
      <c r="D63" s="8">
        <v>5</v>
      </c>
      <c r="E63" s="9"/>
      <c r="F63" s="9"/>
      <c r="G63" s="9">
        <v>1</v>
      </c>
      <c r="H63" s="9"/>
      <c r="I63" s="10"/>
      <c r="J63" s="10">
        <v>1</v>
      </c>
      <c r="K63" s="9"/>
      <c r="L63" s="9"/>
      <c r="M63" s="10"/>
      <c r="N63" s="119">
        <f t="shared" si="2"/>
        <v>7</v>
      </c>
      <c r="O63" s="120"/>
      <c r="P63" s="68"/>
      <c r="Q63" s="121" t="s">
        <v>1788</v>
      </c>
      <c r="R63" s="139">
        <v>375000</v>
      </c>
      <c r="S63" s="11">
        <v>390000</v>
      </c>
      <c r="T63" s="11">
        <v>405000</v>
      </c>
      <c r="U63" s="122"/>
      <c r="V63" s="114"/>
      <c r="W63" s="127">
        <v>250</v>
      </c>
    </row>
    <row r="64" spans="1:25">
      <c r="A64" s="15" t="s">
        <v>63</v>
      </c>
      <c r="B64" s="110" t="str">
        <f>IFERROR(HYPERLINK(VLOOKUP(A64,ÜRÜNLER!A:C,3,FALSE),VLOOKUP(A64,ÜRÜNLER!A:B,2,FALSE)),"")</f>
        <v>iQ700 Alttan Donduruculu Ankastre Buzdolabı, 212.5x90.8cm, Düz Menteşe</v>
      </c>
      <c r="C64" s="8"/>
      <c r="D64" s="8"/>
      <c r="E64" s="9">
        <v>1</v>
      </c>
      <c r="F64" s="9"/>
      <c r="G64" s="9"/>
      <c r="H64" s="9">
        <v>1</v>
      </c>
      <c r="I64" s="10"/>
      <c r="J64" s="10"/>
      <c r="K64" s="9"/>
      <c r="L64" s="9">
        <v>1</v>
      </c>
      <c r="M64" s="10"/>
      <c r="N64" s="119">
        <f t="shared" si="2"/>
        <v>3</v>
      </c>
      <c r="O64" s="120"/>
      <c r="P64" s="68"/>
      <c r="Q64" s="121" t="s">
        <v>1788</v>
      </c>
      <c r="R64" s="139">
        <v>300000</v>
      </c>
      <c r="S64" s="11">
        <v>312000</v>
      </c>
      <c r="T64" s="11">
        <v>324000</v>
      </c>
      <c r="U64" s="122"/>
      <c r="V64" s="114"/>
      <c r="W64" s="123">
        <v>1000</v>
      </c>
    </row>
    <row r="65" spans="1:26">
      <c r="A65" s="74" t="s">
        <v>64</v>
      </c>
      <c r="B65" s="110" t="str">
        <f>IFERROR(HYPERLINK(VLOOKUP(A65,ÜRÜNLER!A:C,3,FALSE),VLOOKUP(A65,ÜRÜNLER!A:B,2,FALSE)),"")</f>
        <v>iQ700 Ankastre Derin Dondurucu, 212.5x60.3cm, Düz Menteşe</v>
      </c>
      <c r="C65" s="8"/>
      <c r="D65" s="8"/>
      <c r="E65" s="9"/>
      <c r="F65" s="9">
        <v>1</v>
      </c>
      <c r="G65" s="9"/>
      <c r="H65" s="9"/>
      <c r="I65" s="10"/>
      <c r="J65" s="10">
        <v>1</v>
      </c>
      <c r="K65" s="9"/>
      <c r="L65" s="9">
        <v>1</v>
      </c>
      <c r="M65" s="10"/>
      <c r="N65" s="119">
        <f t="shared" si="2"/>
        <v>3</v>
      </c>
      <c r="O65" s="120"/>
      <c r="P65" s="68"/>
      <c r="Q65" s="121" t="s">
        <v>1788</v>
      </c>
      <c r="R65" s="139">
        <v>250000</v>
      </c>
      <c r="S65" s="11">
        <v>260000</v>
      </c>
      <c r="T65" s="11">
        <v>270000</v>
      </c>
      <c r="U65" s="122"/>
      <c r="V65" s="114"/>
      <c r="W65" s="123">
        <v>1000</v>
      </c>
    </row>
    <row r="66" spans="1:26">
      <c r="A66" s="74" t="s">
        <v>65</v>
      </c>
      <c r="B66" s="110" t="str">
        <f>IFERROR(HYPERLINK(VLOOKUP(A66,ÜRÜNLER!A:C,3,FALSE),VLOOKUP(A66,ÜRÜNLER!A:B,2,FALSE)),"")</f>
        <v>iQ700 Ankastre Derin Dondurucu, 212.5x60.3cm, Düz Menteşe</v>
      </c>
      <c r="C66" s="8">
        <v>1</v>
      </c>
      <c r="D66" s="8"/>
      <c r="E66" s="9"/>
      <c r="F66" s="9"/>
      <c r="G66" s="9"/>
      <c r="H66" s="9"/>
      <c r="I66" s="10"/>
      <c r="J66" s="10"/>
      <c r="K66" s="9"/>
      <c r="L66" s="9"/>
      <c r="M66" s="10"/>
      <c r="N66" s="119">
        <f t="shared" si="2"/>
        <v>1</v>
      </c>
      <c r="O66" s="120"/>
      <c r="P66" s="68"/>
      <c r="Q66" s="126">
        <v>323156.50178004295</v>
      </c>
      <c r="R66" s="131">
        <v>323156.50178004295</v>
      </c>
      <c r="S66" s="11">
        <v>336082.76185124466</v>
      </c>
      <c r="T66" s="11">
        <v>349009.02192244638</v>
      </c>
      <c r="U66" s="122"/>
      <c r="V66" s="114"/>
      <c r="W66" s="127"/>
    </row>
    <row r="67" spans="1:26">
      <c r="A67" s="74" t="s">
        <v>66</v>
      </c>
      <c r="B67" s="110" t="str">
        <f>IFERROR(HYPERLINK(VLOOKUP(A67,ÜRÜNLER!A:C,3,FALSE),VLOOKUP(A67,ÜRÜNLER!A:B,2,FALSE)),"")</f>
        <v>iQ500 Tezgah Altı Ankastre Buzdolabı, 82x59.8cm, softClosing Düz Menteşe</v>
      </c>
      <c r="C67" s="8"/>
      <c r="D67" s="8"/>
      <c r="E67" s="9"/>
      <c r="F67" s="9"/>
      <c r="G67" s="9"/>
      <c r="H67" s="9"/>
      <c r="I67" s="10"/>
      <c r="J67" s="10"/>
      <c r="K67" s="9"/>
      <c r="L67" s="9"/>
      <c r="M67" s="10"/>
      <c r="N67" s="119">
        <f t="shared" si="2"/>
        <v>0</v>
      </c>
      <c r="O67" s="120">
        <v>3</v>
      </c>
      <c r="P67" s="68"/>
      <c r="Q67" s="126">
        <v>66893.157793042163</v>
      </c>
      <c r="R67" s="131">
        <v>66893.157793042163</v>
      </c>
      <c r="S67" s="11">
        <v>69568.884104763856</v>
      </c>
      <c r="T67" s="11">
        <v>72244.610416485535</v>
      </c>
      <c r="U67" s="122"/>
      <c r="V67" s="114"/>
      <c r="W67" s="127"/>
    </row>
    <row r="68" spans="1:26">
      <c r="A68" s="74" t="s">
        <v>67</v>
      </c>
      <c r="B68" s="110" t="str">
        <f>IFERROR(HYPERLINK(VLOOKUP(A68,ÜRÜNLER!A:C,3,FALSE),VLOOKUP(A68,ÜRÜNLER!A:B,2,FALSE)),"")</f>
        <v>iQ500 Ankastre Şarap Soğutucu, 81.8x59.8cm</v>
      </c>
      <c r="C68" s="8"/>
      <c r="D68" s="8"/>
      <c r="E68" s="9"/>
      <c r="F68" s="9"/>
      <c r="G68" s="9"/>
      <c r="H68" s="9"/>
      <c r="I68" s="10"/>
      <c r="J68" s="10">
        <v>1</v>
      </c>
      <c r="K68" s="9"/>
      <c r="L68" s="9"/>
      <c r="M68" s="10">
        <v>1</v>
      </c>
      <c r="N68" s="119">
        <f t="shared" si="2"/>
        <v>2</v>
      </c>
      <c r="O68" s="120">
        <v>3</v>
      </c>
      <c r="P68" s="68"/>
      <c r="Q68" s="126">
        <v>98571.074159275013</v>
      </c>
      <c r="R68" s="131">
        <v>98571.074159275013</v>
      </c>
      <c r="S68" s="11">
        <v>102513.91712564601</v>
      </c>
      <c r="T68" s="11">
        <v>106456.76009201701</v>
      </c>
      <c r="U68" s="122"/>
      <c r="V68" s="114"/>
      <c r="W68" s="127"/>
    </row>
    <row r="69" spans="1:26">
      <c r="A69" s="75" t="s">
        <v>68</v>
      </c>
      <c r="B69" s="110" t="str">
        <f>IFERROR(HYPERLINK(VLOOKUP(A69,ÜRÜNLER!A:C,3,FALSE),VLOOKUP(A69,ÜRÜNLER!A:B,2,FALSE)),"")</f>
        <v>iQ500 Derin Donduruculu Ankastre Buzdolabı, 177.2x55.8cm, softClosing Düz Menteşe</v>
      </c>
      <c r="C69" s="8">
        <v>11</v>
      </c>
      <c r="D69" s="8"/>
      <c r="E69" s="9"/>
      <c r="F69" s="9">
        <v>1</v>
      </c>
      <c r="G69" s="9"/>
      <c r="H69" s="9"/>
      <c r="I69" s="10"/>
      <c r="J69" s="10"/>
      <c r="K69" s="9"/>
      <c r="L69" s="9"/>
      <c r="M69" s="10"/>
      <c r="N69" s="119">
        <f t="shared" si="2"/>
        <v>12</v>
      </c>
      <c r="O69" s="120"/>
      <c r="P69" s="68"/>
      <c r="Q69" s="126">
        <v>95992.543845008942</v>
      </c>
      <c r="R69" s="116">
        <v>91192.916652758489</v>
      </c>
      <c r="S69" s="11">
        <v>94840.63331886883</v>
      </c>
      <c r="T69" s="11">
        <v>98488.34998497917</v>
      </c>
      <c r="U69" s="122"/>
      <c r="V69" s="114"/>
      <c r="W69" s="127"/>
    </row>
    <row r="70" spans="1:26">
      <c r="A70" s="74" t="s">
        <v>69</v>
      </c>
      <c r="B70" s="110" t="str">
        <f>IFERROR(HYPERLINK(VLOOKUP(A70,ÜRÜNLER!A:C,3,FALSE),VLOOKUP(A70,ÜRÜNLER!A:B,2,FALSE)),"")</f>
        <v>iQ500 Alttan Donduruculu Ankastre Buzdolabı, 177.2x55.8cm, softClosing Düz Menteşe</v>
      </c>
      <c r="C70" s="8"/>
      <c r="D70" s="8"/>
      <c r="E70" s="9"/>
      <c r="F70" s="9"/>
      <c r="G70" s="9">
        <v>1</v>
      </c>
      <c r="H70" s="9"/>
      <c r="I70" s="10"/>
      <c r="J70" s="10"/>
      <c r="K70" s="9"/>
      <c r="L70" s="9"/>
      <c r="M70" s="10"/>
      <c r="N70" s="119">
        <f t="shared" si="2"/>
        <v>1</v>
      </c>
      <c r="O70" s="120"/>
      <c r="P70" s="68"/>
      <c r="Q70" s="121" t="s">
        <v>1788</v>
      </c>
      <c r="R70" s="114">
        <v>75000</v>
      </c>
      <c r="S70" s="11">
        <v>78000</v>
      </c>
      <c r="T70" s="11">
        <v>81000</v>
      </c>
      <c r="U70" s="122"/>
      <c r="V70" s="114"/>
      <c r="W70" s="140">
        <v>1000</v>
      </c>
    </row>
    <row r="71" spans="1:26">
      <c r="A71" s="15" t="s">
        <v>70</v>
      </c>
      <c r="B71" s="110" t="str">
        <f>IFERROR(HYPERLINK(VLOOKUP(A71,ÜRÜNLER!A:C,3,FALSE),VLOOKUP(A71,ÜRÜNLER!A:B,2,FALSE)),"")</f>
        <v>iQ500 Alttan Donduruculu Ankastre Buzdolabı, 177.2x55.8cm, Düz Menteşe</v>
      </c>
      <c r="C71" s="8">
        <v>2</v>
      </c>
      <c r="D71" s="8"/>
      <c r="E71" s="9">
        <v>2</v>
      </c>
      <c r="F71" s="9"/>
      <c r="G71" s="9"/>
      <c r="H71" s="9"/>
      <c r="I71" s="10"/>
      <c r="J71" s="10">
        <v>1</v>
      </c>
      <c r="K71" s="9"/>
      <c r="L71" s="9">
        <v>1</v>
      </c>
      <c r="M71" s="10"/>
      <c r="N71" s="119">
        <f t="shared" si="2"/>
        <v>6</v>
      </c>
      <c r="O71" s="120"/>
      <c r="P71" s="68"/>
      <c r="Q71" s="126">
        <v>97354.167416930461</v>
      </c>
      <c r="R71" s="131">
        <v>97354.167416930461</v>
      </c>
      <c r="S71" s="11">
        <v>101248.33411360768</v>
      </c>
      <c r="T71" s="11">
        <v>105142.5008102849</v>
      </c>
      <c r="U71" s="122"/>
      <c r="V71" s="114"/>
      <c r="W71" s="127"/>
    </row>
    <row r="72" spans="1:26">
      <c r="A72" s="15" t="s">
        <v>1806</v>
      </c>
      <c r="B72" s="110" t="str">
        <f>IFERROR(HYPERLINK(VLOOKUP(A72,ÜRÜNLER!A:C,3,FALSE),VLOOKUP(A72,ÜRÜNLER!A:B,2,FALSE)),"")</f>
        <v>iQ500 Alttan Donduruculu Ankastre Buzdolabı, 193.5x70.8cm, softClosing Düz Menteşe</v>
      </c>
      <c r="C72" s="8"/>
      <c r="D72" s="8"/>
      <c r="E72" s="9"/>
      <c r="F72" s="9"/>
      <c r="G72" s="9"/>
      <c r="H72" s="9"/>
      <c r="I72" s="10"/>
      <c r="J72" s="10"/>
      <c r="K72" s="9"/>
      <c r="L72" s="9"/>
      <c r="M72" s="10"/>
      <c r="N72" s="119">
        <f t="shared" si="2"/>
        <v>0</v>
      </c>
      <c r="O72" s="120">
        <v>4</v>
      </c>
      <c r="P72" s="68"/>
      <c r="Q72" s="126">
        <v>115104</v>
      </c>
      <c r="R72" s="131">
        <v>115104</v>
      </c>
      <c r="S72" s="11">
        <v>119708.16</v>
      </c>
      <c r="T72" s="11">
        <v>124312.32000000001</v>
      </c>
      <c r="U72" s="122"/>
      <c r="V72" s="114"/>
      <c r="W72" s="127"/>
    </row>
    <row r="73" spans="1:26">
      <c r="A73" s="74" t="s">
        <v>71</v>
      </c>
      <c r="B73" s="110" t="str">
        <f>IFERROR(HYPERLINK(VLOOKUP(A73,ÜRÜNLER!A:C,3,FALSE),VLOOKUP(A73,ÜRÜNLER!A:B,2,FALSE)),"")</f>
        <v>iQ500 Alttan Donduruculu Ankastre Buzdolabı, 193.5x70.8cm, softClosing Düz Menteşe</v>
      </c>
      <c r="C73" s="8">
        <v>1</v>
      </c>
      <c r="D73" s="8"/>
      <c r="E73" s="9"/>
      <c r="F73" s="9"/>
      <c r="G73" s="9"/>
      <c r="H73" s="9"/>
      <c r="I73" s="10"/>
      <c r="J73" s="10"/>
      <c r="K73" s="9"/>
      <c r="L73" s="9"/>
      <c r="M73" s="10"/>
      <c r="N73" s="119">
        <f t="shared" si="2"/>
        <v>1</v>
      </c>
      <c r="O73" s="120">
        <v>1</v>
      </c>
      <c r="P73" s="68"/>
      <c r="Q73" s="126">
        <v>115104.07039541117</v>
      </c>
      <c r="R73" s="131">
        <v>115104.07039541117</v>
      </c>
      <c r="S73" s="11">
        <v>119708.23321122762</v>
      </c>
      <c r="T73" s="11">
        <v>124312.39602704406</v>
      </c>
      <c r="U73" s="122"/>
      <c r="V73" s="114"/>
      <c r="W73" s="127"/>
    </row>
    <row r="74" spans="1:26">
      <c r="A74" s="74" t="s">
        <v>1486</v>
      </c>
      <c r="B74" s="110" t="str">
        <f>IFERROR(HYPERLINK(VLOOKUP(A74,ÜRÜNLER!A:C,3,FALSE),VLOOKUP(A74,ÜRÜNLER!A:B,2,FALSE)),"")</f>
        <v>iQ500 studioLine Alttan Donduruculu Ankastre Buzdolabı, 193.5x70.8cm, Düz Menteşe</v>
      </c>
      <c r="C74" s="8"/>
      <c r="D74" s="8">
        <v>12</v>
      </c>
      <c r="E74" s="9"/>
      <c r="F74" s="9"/>
      <c r="G74" s="9"/>
      <c r="H74" s="9"/>
      <c r="I74" s="10"/>
      <c r="J74" s="10"/>
      <c r="K74" s="9"/>
      <c r="L74" s="9"/>
      <c r="M74" s="10"/>
      <c r="N74" s="119">
        <f t="shared" si="2"/>
        <v>12</v>
      </c>
      <c r="O74" s="120"/>
      <c r="P74" s="68"/>
      <c r="Q74" s="141">
        <v>140478.01774099542</v>
      </c>
      <c r="R74" s="177">
        <v>120000</v>
      </c>
      <c r="S74" s="11">
        <v>124800</v>
      </c>
      <c r="T74" s="11">
        <v>129600</v>
      </c>
      <c r="U74" s="122"/>
      <c r="V74" s="114"/>
      <c r="W74" s="123">
        <v>500</v>
      </c>
    </row>
    <row r="75" spans="1:26" s="16" customFormat="1" ht="30">
      <c r="A75" s="171" t="s">
        <v>72</v>
      </c>
      <c r="B75" s="110" t="str">
        <f>IFERROR(HYPERLINK(VLOOKUP(A75,ÜRÜNLER!A:C,3,FALSE),VLOOKUP(A75,ÜRÜNLER!A:B,2,FALSE)),"")</f>
        <v/>
      </c>
      <c r="C75" s="8"/>
      <c r="D75" s="8"/>
      <c r="E75" s="9"/>
      <c r="F75" s="9"/>
      <c r="G75" s="9"/>
      <c r="H75" s="9"/>
      <c r="I75" s="10"/>
      <c r="J75" s="10"/>
      <c r="K75" s="9"/>
      <c r="L75" s="9"/>
      <c r="M75" s="10"/>
      <c r="N75" s="119">
        <f>SUM(N61:N74)</f>
        <v>56</v>
      </c>
      <c r="O75" s="120"/>
      <c r="P75" s="9"/>
      <c r="Q75" s="121"/>
      <c r="R75" s="121"/>
      <c r="S75" s="121"/>
      <c r="T75" s="11"/>
      <c r="U75" s="122"/>
      <c r="V75" s="114"/>
      <c r="W75" s="131"/>
      <c r="X75" s="124"/>
      <c r="Y75" s="142"/>
      <c r="Z75" s="142"/>
    </row>
    <row r="76" spans="1:26">
      <c r="A76" s="14" t="s">
        <v>75</v>
      </c>
      <c r="B76" s="110" t="str">
        <f>IFERROR(HYPERLINK(VLOOKUP(A76,ÜRÜNLER!A:C,3,FALSE),VLOOKUP(A76,ÜRÜNLER!A:B,2,FALSE)),"")</f>
        <v>iQ300 Çamaşır Makinesi, 9kg/1200devir, Beyaz</v>
      </c>
      <c r="C76" s="8">
        <v>74</v>
      </c>
      <c r="D76" s="8"/>
      <c r="E76" s="9"/>
      <c r="F76" s="9">
        <v>3</v>
      </c>
      <c r="G76" s="9"/>
      <c r="H76" s="9"/>
      <c r="I76" s="10">
        <v>2</v>
      </c>
      <c r="J76" s="10">
        <v>2</v>
      </c>
      <c r="K76" s="9">
        <v>1</v>
      </c>
      <c r="L76" s="9"/>
      <c r="M76" s="10">
        <v>1</v>
      </c>
      <c r="N76" s="119">
        <f t="shared" ref="N76:N103" si="3">M76+K76+L76+J76+I76+H76+G76+F76+E76+D76+C76</f>
        <v>83</v>
      </c>
      <c r="O76" s="120">
        <v>1</v>
      </c>
      <c r="P76" s="137"/>
      <c r="Q76" s="126">
        <v>33951.071927080571</v>
      </c>
      <c r="R76" s="116">
        <v>32253.518330726543</v>
      </c>
      <c r="S76" s="11">
        <v>33543.659063955602</v>
      </c>
      <c r="T76" s="11">
        <v>34833.799797184663</v>
      </c>
      <c r="U76" s="122">
        <v>2206.8858805689415</v>
      </c>
      <c r="V76" s="114"/>
      <c r="W76" s="127"/>
    </row>
    <row r="77" spans="1:26">
      <c r="A77" s="14" t="s">
        <v>76</v>
      </c>
      <c r="B77" s="110" t="str">
        <f>IFERROR(HYPERLINK(VLOOKUP(A77,ÜRÜNLER!A:C,3,FALSE),VLOOKUP(A77,ÜRÜNLER!A:B,2,FALSE)),"")</f>
        <v>iQ500 Çamaşır Makinesi, 9kg/1200devir, Beyaz</v>
      </c>
      <c r="C77" s="8">
        <v>35</v>
      </c>
      <c r="D77" s="8"/>
      <c r="E77" s="9"/>
      <c r="F77" s="9"/>
      <c r="G77" s="9"/>
      <c r="H77" s="9"/>
      <c r="I77" s="10">
        <v>1</v>
      </c>
      <c r="J77" s="10"/>
      <c r="K77" s="9"/>
      <c r="L77" s="9">
        <v>1</v>
      </c>
      <c r="M77" s="10"/>
      <c r="N77" s="119">
        <f t="shared" si="3"/>
        <v>37</v>
      </c>
      <c r="O77" s="120">
        <v>1</v>
      </c>
      <c r="P77" s="68"/>
      <c r="Q77" s="126">
        <v>41235.904546221471</v>
      </c>
      <c r="R77" s="128">
        <v>37112.314091599321</v>
      </c>
      <c r="S77" s="214">
        <v>38596.806655263295</v>
      </c>
      <c r="T77" s="214">
        <v>40081.299218927263</v>
      </c>
      <c r="U77" s="122"/>
      <c r="V77" s="114"/>
      <c r="W77" s="127"/>
    </row>
    <row r="78" spans="1:26">
      <c r="A78" s="173" t="s">
        <v>77</v>
      </c>
      <c r="B78" s="110" t="str">
        <f>IFERROR(HYPERLINK(VLOOKUP(A78,ÜRÜNLER!A:C,3,FALSE),VLOOKUP(A78,ÜRÜNLER!A:B,2,FALSE)),"")</f>
        <v>iQ500 Çamaşır Makinesi, 9kg/1200devir, Gümüş</v>
      </c>
      <c r="C78" s="8">
        <v>66</v>
      </c>
      <c r="D78" s="8"/>
      <c r="E78" s="9"/>
      <c r="F78" s="9"/>
      <c r="G78" s="9"/>
      <c r="H78" s="9"/>
      <c r="I78" s="10">
        <v>1</v>
      </c>
      <c r="J78" s="10">
        <v>1</v>
      </c>
      <c r="K78" s="9">
        <v>1</v>
      </c>
      <c r="L78" s="9"/>
      <c r="M78" s="10">
        <v>1</v>
      </c>
      <c r="N78" s="119">
        <f t="shared" si="3"/>
        <v>70</v>
      </c>
      <c r="O78" s="120">
        <v>1</v>
      </c>
      <c r="P78" s="137"/>
      <c r="Q78" s="126">
        <v>43000.68650930588</v>
      </c>
      <c r="R78" s="128">
        <v>38700.617858375292</v>
      </c>
      <c r="S78" s="128">
        <v>40248.642572710305</v>
      </c>
      <c r="T78" s="214">
        <v>41796.667287045319</v>
      </c>
      <c r="U78" s="122"/>
      <c r="V78" s="114"/>
      <c r="W78" s="127"/>
    </row>
    <row r="79" spans="1:26">
      <c r="A79" s="14" t="s">
        <v>78</v>
      </c>
      <c r="B79" s="110" t="str">
        <f>IFERROR(HYPERLINK(VLOOKUP(A79,ÜRÜNLER!A:C,3,FALSE),VLOOKUP(A79,ÜRÜNLER!A:B,2,FALSE)),"")</f>
        <v>iQ300 Çamaşır Makinesi, 9kg/1400devir, Beyaz</v>
      </c>
      <c r="C79" s="8"/>
      <c r="D79" s="8"/>
      <c r="E79" s="9"/>
      <c r="F79" s="9"/>
      <c r="G79" s="9"/>
      <c r="H79" s="9"/>
      <c r="I79" s="10">
        <v>1</v>
      </c>
      <c r="J79" s="10"/>
      <c r="K79" s="9"/>
      <c r="L79" s="9"/>
      <c r="M79" s="10"/>
      <c r="N79" s="119">
        <f t="shared" si="3"/>
        <v>1</v>
      </c>
      <c r="O79" s="120"/>
      <c r="P79" s="68"/>
      <c r="Q79" s="121" t="s">
        <v>1788</v>
      </c>
      <c r="R79" s="129">
        <v>32000</v>
      </c>
      <c r="S79" s="11">
        <v>33280</v>
      </c>
      <c r="T79" s="11">
        <v>34560</v>
      </c>
      <c r="U79" s="122"/>
      <c r="V79" s="114"/>
      <c r="W79" s="123">
        <v>500</v>
      </c>
    </row>
    <row r="80" spans="1:26">
      <c r="A80" s="14" t="s">
        <v>80</v>
      </c>
      <c r="B80" s="110" t="str">
        <f>IFERROR(HYPERLINK(VLOOKUP(A80,ÜRÜNLER!A:C,3,FALSE),VLOOKUP(A80,ÜRÜNLER!A:B,2,FALSE)),"")</f>
        <v>iQ700 Çamaşır Makinesi, 9kg/1400devir, i-dos, Beyaz</v>
      </c>
      <c r="C80" s="8"/>
      <c r="D80" s="8"/>
      <c r="E80" s="9"/>
      <c r="F80" s="9"/>
      <c r="G80" s="9"/>
      <c r="H80" s="9"/>
      <c r="I80" s="10"/>
      <c r="J80" s="10">
        <v>1</v>
      </c>
      <c r="K80" s="9"/>
      <c r="L80" s="9">
        <v>1</v>
      </c>
      <c r="M80" s="10">
        <v>1</v>
      </c>
      <c r="N80" s="119">
        <f t="shared" si="3"/>
        <v>3</v>
      </c>
      <c r="O80" s="120">
        <v>5</v>
      </c>
      <c r="P80" s="68"/>
      <c r="Q80" s="126">
        <v>50877.593851705358</v>
      </c>
      <c r="R80" s="131">
        <v>50878</v>
      </c>
      <c r="S80" s="11">
        <v>52913.120000000003</v>
      </c>
      <c r="T80" s="11">
        <v>54948.24</v>
      </c>
      <c r="U80" s="122"/>
      <c r="V80" s="114"/>
      <c r="W80" s="127"/>
    </row>
    <row r="81" spans="1:26">
      <c r="A81" s="14" t="s">
        <v>1472</v>
      </c>
      <c r="B81" s="110" t="str">
        <f>IFERROR(HYPERLINK(VLOOKUP(A81,ÜRÜNLER!A:C,3,FALSE),VLOOKUP(A81,ÜRÜNLER!A:B,2,FALSE)),"")</f>
        <v>iQ700 Çamaşır Makinesi, 9kg/1400devir, Beyaz</v>
      </c>
      <c r="C81" s="8"/>
      <c r="D81" s="8"/>
      <c r="E81" s="9"/>
      <c r="F81" s="9"/>
      <c r="G81" s="9"/>
      <c r="H81" s="9"/>
      <c r="I81" s="10">
        <v>1</v>
      </c>
      <c r="J81" s="10"/>
      <c r="K81" s="9"/>
      <c r="L81" s="9"/>
      <c r="M81" s="10"/>
      <c r="N81" s="119">
        <f t="shared" si="3"/>
        <v>1</v>
      </c>
      <c r="O81" s="120"/>
      <c r="P81" s="68"/>
      <c r="Q81" s="121" t="s">
        <v>1788</v>
      </c>
      <c r="R81" s="114">
        <v>46000</v>
      </c>
      <c r="S81" s="11">
        <v>47840</v>
      </c>
      <c r="T81" s="11">
        <v>49680</v>
      </c>
      <c r="U81" s="122"/>
      <c r="V81" s="114"/>
      <c r="W81" s="123">
        <v>500</v>
      </c>
    </row>
    <row r="82" spans="1:26">
      <c r="A82" s="14" t="s">
        <v>81</v>
      </c>
      <c r="B82" s="110" t="str">
        <f>IFERROR(HYPERLINK(VLOOKUP(A82,ÜRÜNLER!A:C,3,FALSE),VLOOKUP(A82,ÜRÜNLER!A:B,2,FALSE)),"")</f>
        <v>iQ500 Çamaşır Makinesi, 9kg/1400devir, Beyaz</v>
      </c>
      <c r="C82" s="8">
        <v>18</v>
      </c>
      <c r="D82" s="8"/>
      <c r="E82" s="9"/>
      <c r="F82" s="9">
        <v>2</v>
      </c>
      <c r="G82" s="9"/>
      <c r="H82" s="9"/>
      <c r="I82" s="10">
        <v>1</v>
      </c>
      <c r="J82" s="10">
        <v>1</v>
      </c>
      <c r="K82" s="9"/>
      <c r="L82" s="9"/>
      <c r="M82" s="10"/>
      <c r="N82" s="119">
        <f t="shared" si="3"/>
        <v>22</v>
      </c>
      <c r="O82" s="120"/>
      <c r="P82" s="68"/>
      <c r="Q82" s="126">
        <v>41632.284576738944</v>
      </c>
      <c r="R82" s="128">
        <v>37469.056119065048</v>
      </c>
      <c r="S82" s="214">
        <v>38967.818363827653</v>
      </c>
      <c r="T82" s="214">
        <v>40466.580608590251</v>
      </c>
      <c r="U82" s="122"/>
      <c r="V82" s="114"/>
      <c r="W82" s="127"/>
    </row>
    <row r="83" spans="1:26" s="17" customFormat="1">
      <c r="A83" s="15" t="s">
        <v>82</v>
      </c>
      <c r="B83" s="110" t="str">
        <f>IFERROR(HYPERLINK(VLOOKUP(A83,ÜRÜNLER!A:C,3,FALSE),VLOOKUP(A83,ÜRÜNLER!A:B,2,FALSE)),"")</f>
        <v>iQ300 Çamaşır Makinesi, 10kg/1200devir, Beyaz</v>
      </c>
      <c r="C83" s="8"/>
      <c r="D83" s="8"/>
      <c r="E83" s="9"/>
      <c r="F83" s="9"/>
      <c r="G83" s="9"/>
      <c r="H83" s="9"/>
      <c r="I83" s="10">
        <v>1</v>
      </c>
      <c r="J83" s="10">
        <v>1</v>
      </c>
      <c r="K83" s="9"/>
      <c r="L83" s="9">
        <v>1</v>
      </c>
      <c r="M83" s="10"/>
      <c r="N83" s="119">
        <f t="shared" si="3"/>
        <v>3</v>
      </c>
      <c r="O83" s="120"/>
      <c r="P83" s="68"/>
      <c r="Q83" s="121" t="s">
        <v>1788</v>
      </c>
      <c r="R83" s="114">
        <v>35189</v>
      </c>
      <c r="S83" s="11">
        <v>36596.559999999998</v>
      </c>
      <c r="T83" s="11">
        <v>38004.120000000003</v>
      </c>
      <c r="U83" s="122">
        <v>1556.7337650080808</v>
      </c>
      <c r="V83" s="114"/>
      <c r="W83" s="123">
        <v>500</v>
      </c>
      <c r="X83" s="124"/>
      <c r="Y83" s="144"/>
      <c r="Z83" s="144"/>
    </row>
    <row r="84" spans="1:26" s="17" customFormat="1">
      <c r="A84" s="15" t="s">
        <v>1437</v>
      </c>
      <c r="B84" s="110" t="str">
        <f>IFERROR(HYPERLINK(VLOOKUP(A84,ÜRÜNLER!A:C,3,FALSE),VLOOKUP(A84,ÜRÜNLER!A:B,2,FALSE)),"")</f>
        <v>iQ300 Çamaşır Makinesi, 10kg/1200devir, Beyaz</v>
      </c>
      <c r="C84" s="8">
        <v>28</v>
      </c>
      <c r="D84" s="8"/>
      <c r="E84" s="9"/>
      <c r="F84" s="9">
        <v>3</v>
      </c>
      <c r="G84" s="9"/>
      <c r="H84" s="9"/>
      <c r="I84" s="10">
        <v>1</v>
      </c>
      <c r="J84" s="10">
        <v>1</v>
      </c>
      <c r="K84" s="9">
        <v>1</v>
      </c>
      <c r="L84" s="9"/>
      <c r="M84" s="10"/>
      <c r="N84" s="119">
        <f t="shared" si="3"/>
        <v>34</v>
      </c>
      <c r="O84" s="120">
        <v>100</v>
      </c>
      <c r="P84" s="68"/>
      <c r="Q84" s="126">
        <v>37943.230203866005</v>
      </c>
      <c r="R84" s="116">
        <v>36046.068693672707</v>
      </c>
      <c r="S84" s="11">
        <v>37487.911441419616</v>
      </c>
      <c r="T84" s="11">
        <v>38929.754189166524</v>
      </c>
      <c r="U84" s="122">
        <v>1315.3232271218224</v>
      </c>
      <c r="V84" s="114"/>
      <c r="W84" s="127"/>
      <c r="X84" s="215"/>
      <c r="Y84" s="144"/>
      <c r="Z84" s="144"/>
    </row>
    <row r="85" spans="1:26" s="17" customFormat="1">
      <c r="A85" s="53" t="s">
        <v>1542</v>
      </c>
      <c r="B85" s="110" t="str">
        <f>IFERROR(HYPERLINK(VLOOKUP(A85,ÜRÜNLER!A:C,3,FALSE),VLOOKUP(A85,ÜRÜNLER!A:B,2,FALSE)),"")</f>
        <v>iQ500 Çamaşır Makinesi, 10kg/1200devir, Gümüş</v>
      </c>
      <c r="C85" s="8">
        <v>8</v>
      </c>
      <c r="D85" s="8"/>
      <c r="E85" s="9"/>
      <c r="F85" s="9"/>
      <c r="G85" s="9"/>
      <c r="H85" s="9"/>
      <c r="I85" s="10">
        <v>1</v>
      </c>
      <c r="J85" s="10"/>
      <c r="K85" s="9"/>
      <c r="L85" s="9"/>
      <c r="M85" s="10"/>
      <c r="N85" s="119">
        <f t="shared" si="3"/>
        <v>9</v>
      </c>
      <c r="O85" s="120"/>
      <c r="P85" s="68"/>
      <c r="Q85" s="126">
        <v>46383.474381571999</v>
      </c>
      <c r="R85" s="116">
        <v>44064.300662493399</v>
      </c>
      <c r="S85" s="11">
        <v>45826.872688993135</v>
      </c>
      <c r="T85" s="11">
        <v>47589.444715492871</v>
      </c>
      <c r="U85" s="122"/>
      <c r="V85" s="114"/>
      <c r="W85" s="127"/>
      <c r="X85" s="124"/>
      <c r="Y85" s="144"/>
      <c r="Z85" s="144"/>
    </row>
    <row r="86" spans="1:26">
      <c r="A86" s="72" t="s">
        <v>83</v>
      </c>
      <c r="B86" s="110" t="str">
        <f>IFERROR(HYPERLINK(VLOOKUP(A86,ÜRÜNLER!A:C,3,FALSE),VLOOKUP(A86,ÜRÜNLER!A:B,2,FALSE)),"")</f>
        <v>iQ500 Çamaşır Makinesi, 10kg/1200devir, i-dos, Beyaz</v>
      </c>
      <c r="C86" s="8"/>
      <c r="D86" s="8"/>
      <c r="E86" s="9"/>
      <c r="F86" s="9"/>
      <c r="G86" s="9"/>
      <c r="H86" s="9"/>
      <c r="I86" s="10"/>
      <c r="J86" s="10"/>
      <c r="K86" s="9"/>
      <c r="L86" s="9">
        <v>1</v>
      </c>
      <c r="M86" s="10"/>
      <c r="N86" s="119">
        <f t="shared" si="3"/>
        <v>1</v>
      </c>
      <c r="O86" s="120"/>
      <c r="P86" s="68"/>
      <c r="Q86" s="121" t="s">
        <v>1788</v>
      </c>
      <c r="R86" s="114">
        <v>36000</v>
      </c>
      <c r="S86" s="11">
        <v>37440</v>
      </c>
      <c r="T86" s="11">
        <v>38880</v>
      </c>
      <c r="U86" s="122"/>
      <c r="V86" s="114"/>
      <c r="W86" s="123">
        <v>500</v>
      </c>
    </row>
    <row r="87" spans="1:26">
      <c r="A87" s="72" t="s">
        <v>84</v>
      </c>
      <c r="B87" s="110" t="str">
        <f>IFERROR(HYPERLINK(VLOOKUP(A87,ÜRÜNLER!A:C,3,FALSE),VLOOKUP(A87,ÜRÜNLER!A:B,2,FALSE)),"")</f>
        <v>iQ500 Çamaşır Makinesi, 10kg/1200devir, i-dos, Beyaz</v>
      </c>
      <c r="C87" s="8"/>
      <c r="D87" s="8"/>
      <c r="E87" s="9">
        <v>1</v>
      </c>
      <c r="F87" s="9"/>
      <c r="G87" s="9"/>
      <c r="H87" s="9"/>
      <c r="I87" s="10">
        <v>1</v>
      </c>
      <c r="J87" s="10">
        <v>1</v>
      </c>
      <c r="K87" s="9"/>
      <c r="L87" s="9">
        <v>2</v>
      </c>
      <c r="M87" s="10">
        <v>1</v>
      </c>
      <c r="N87" s="119">
        <f t="shared" si="3"/>
        <v>6</v>
      </c>
      <c r="O87" s="120"/>
      <c r="P87" s="68"/>
      <c r="Q87" s="121" t="s">
        <v>1788</v>
      </c>
      <c r="R87" s="129">
        <v>36000</v>
      </c>
      <c r="S87" s="11">
        <v>37440</v>
      </c>
      <c r="T87" s="11">
        <v>38880</v>
      </c>
      <c r="U87" s="122"/>
      <c r="V87" s="114"/>
      <c r="W87" s="123">
        <v>500</v>
      </c>
    </row>
    <row r="88" spans="1:26">
      <c r="A88" s="53" t="s">
        <v>85</v>
      </c>
      <c r="B88" s="110" t="str">
        <f>IFERROR(HYPERLINK(VLOOKUP(A88,ÜRÜNLER!A:C,3,FALSE),VLOOKUP(A88,ÜRÜNLER!A:B,2,FALSE)),"")</f>
        <v>iQ300 Çamaşır Makinesi, 10kg/1200devir, Gümüş</v>
      </c>
      <c r="C88" s="8"/>
      <c r="D88" s="8"/>
      <c r="E88" s="9">
        <v>1</v>
      </c>
      <c r="F88" s="9"/>
      <c r="G88" s="9"/>
      <c r="H88" s="9"/>
      <c r="I88" s="10"/>
      <c r="J88" s="10"/>
      <c r="K88" s="9"/>
      <c r="L88" s="9"/>
      <c r="M88" s="10"/>
      <c r="N88" s="119">
        <f t="shared" si="3"/>
        <v>1</v>
      </c>
      <c r="O88" s="120"/>
      <c r="P88" s="68"/>
      <c r="Q88" s="121" t="s">
        <v>1788</v>
      </c>
      <c r="R88" s="129">
        <v>36000</v>
      </c>
      <c r="S88" s="11">
        <v>37440</v>
      </c>
      <c r="T88" s="11">
        <v>38880</v>
      </c>
      <c r="U88" s="122"/>
      <c r="V88" s="114"/>
      <c r="W88" s="123">
        <v>500</v>
      </c>
    </row>
    <row r="89" spans="1:26">
      <c r="A89" s="54" t="s">
        <v>86</v>
      </c>
      <c r="B89" s="110" t="str">
        <f>IFERROR(HYPERLINK(VLOOKUP(A89,ÜRÜNLER!A:C,3,FALSE),VLOOKUP(A89,ÜRÜNLER!A:B,2,FALSE)),"")</f>
        <v>iQ500 Çamaşır Makinesi, 10kg/1200devir, Beyaz</v>
      </c>
      <c r="C89" s="8"/>
      <c r="D89" s="8"/>
      <c r="E89" s="9"/>
      <c r="F89" s="9">
        <v>1</v>
      </c>
      <c r="G89" s="9"/>
      <c r="H89" s="9"/>
      <c r="I89" s="10">
        <v>1</v>
      </c>
      <c r="J89" s="10">
        <v>1</v>
      </c>
      <c r="K89" s="9"/>
      <c r="L89" s="9"/>
      <c r="M89" s="10"/>
      <c r="N89" s="119">
        <f t="shared" si="3"/>
        <v>3</v>
      </c>
      <c r="O89" s="120"/>
      <c r="P89" s="68"/>
      <c r="Q89" s="121" t="s">
        <v>1788</v>
      </c>
      <c r="R89" s="114">
        <v>38000</v>
      </c>
      <c r="S89" s="11">
        <v>39520</v>
      </c>
      <c r="T89" s="11">
        <v>41040</v>
      </c>
      <c r="U89" s="122"/>
      <c r="V89" s="114"/>
      <c r="W89" s="123">
        <v>500</v>
      </c>
    </row>
    <row r="90" spans="1:26">
      <c r="A90" s="53" t="s">
        <v>87</v>
      </c>
      <c r="B90" s="110" t="str">
        <f>IFERROR(HYPERLINK(VLOOKUP(A90,ÜRÜNLER!A:C,3,FALSE),VLOOKUP(A90,ÜRÜNLER!A:B,2,FALSE)),"")</f>
        <v>iQ500 Çamaşır Makinesi, 10kg/1200devir, Gümüş</v>
      </c>
      <c r="C90" s="8"/>
      <c r="D90" s="8"/>
      <c r="E90" s="9"/>
      <c r="F90" s="9"/>
      <c r="G90" s="9"/>
      <c r="H90" s="9"/>
      <c r="I90" s="10"/>
      <c r="J90" s="10">
        <v>1</v>
      </c>
      <c r="K90" s="9"/>
      <c r="L90" s="9"/>
      <c r="M90" s="10"/>
      <c r="N90" s="119">
        <f t="shared" si="3"/>
        <v>1</v>
      </c>
      <c r="O90" s="120"/>
      <c r="P90" s="68"/>
      <c r="Q90" s="121" t="s">
        <v>1788</v>
      </c>
      <c r="R90" s="114">
        <v>40000</v>
      </c>
      <c r="S90" s="11">
        <v>41600</v>
      </c>
      <c r="T90" s="11">
        <v>43200</v>
      </c>
      <c r="U90" s="122"/>
      <c r="V90" s="114"/>
      <c r="W90" s="123">
        <v>500</v>
      </c>
    </row>
    <row r="91" spans="1:26">
      <c r="A91" s="15" t="s">
        <v>88</v>
      </c>
      <c r="B91" s="110" t="str">
        <f>IFERROR(HYPERLINK(VLOOKUP(A91,ÜRÜNLER!A:C,3,FALSE),VLOOKUP(A91,ÜRÜNLER!A:B,2,FALSE)),"")</f>
        <v>iQ300 Çamaşır Makinesi, 10kg/1400devir, Beyaz</v>
      </c>
      <c r="C91" s="8"/>
      <c r="D91" s="8"/>
      <c r="E91" s="9"/>
      <c r="F91" s="9"/>
      <c r="G91" s="9"/>
      <c r="H91" s="9"/>
      <c r="I91" s="10"/>
      <c r="J91" s="10"/>
      <c r="K91" s="9"/>
      <c r="L91" s="9">
        <v>1</v>
      </c>
      <c r="M91" s="10"/>
      <c r="N91" s="119">
        <f t="shared" si="3"/>
        <v>1</v>
      </c>
      <c r="O91" s="120"/>
      <c r="P91" s="68"/>
      <c r="Q91" s="121" t="s">
        <v>1788</v>
      </c>
      <c r="R91" s="129">
        <v>42000</v>
      </c>
      <c r="S91" s="11">
        <v>43680</v>
      </c>
      <c r="T91" s="11">
        <v>45360</v>
      </c>
      <c r="U91" s="122"/>
      <c r="V91" s="114"/>
      <c r="W91" s="123">
        <v>500</v>
      </c>
    </row>
    <row r="92" spans="1:26">
      <c r="A92" s="15" t="s">
        <v>89</v>
      </c>
      <c r="B92" s="110" t="str">
        <f>IFERROR(HYPERLINK(VLOOKUP(A92,ÜRÜNLER!A:C,3,FALSE),VLOOKUP(A92,ÜRÜNLER!A:B,2,FALSE)),"")</f>
        <v>iQ700 Çamaşır Makinesi, 10kg/1400devir, i-dos, Beyaz</v>
      </c>
      <c r="C92" s="8"/>
      <c r="D92" s="8"/>
      <c r="E92" s="9"/>
      <c r="F92" s="9"/>
      <c r="G92" s="9"/>
      <c r="H92" s="9"/>
      <c r="I92" s="10">
        <v>1</v>
      </c>
      <c r="J92" s="10"/>
      <c r="K92" s="9"/>
      <c r="L92" s="9">
        <v>1</v>
      </c>
      <c r="M92" s="10"/>
      <c r="N92" s="119">
        <f t="shared" si="3"/>
        <v>2</v>
      </c>
      <c r="O92" s="120">
        <v>1</v>
      </c>
      <c r="P92" s="68"/>
      <c r="Q92" s="121" t="s">
        <v>1788</v>
      </c>
      <c r="R92" s="129">
        <v>53000</v>
      </c>
      <c r="S92" s="11">
        <v>55120</v>
      </c>
      <c r="T92" s="11">
        <v>57240</v>
      </c>
      <c r="U92" s="122"/>
      <c r="V92" s="114"/>
      <c r="W92" s="123">
        <v>500</v>
      </c>
    </row>
    <row r="93" spans="1:26">
      <c r="A93" s="74" t="s">
        <v>1442</v>
      </c>
      <c r="B93" s="110" t="str">
        <f>IFERROR(HYPERLINK(VLOOKUP(A93,ÜRÜNLER!A:C,3,FALSE),VLOOKUP(A93,ÜRÜNLER!A:B,2,FALSE)),"")</f>
        <v>iQ500 Çamaşır Makinesi, 10kg/1200devir, Beyaz</v>
      </c>
      <c r="C93" s="8">
        <v>14</v>
      </c>
      <c r="D93" s="8"/>
      <c r="E93" s="9"/>
      <c r="F93" s="9">
        <v>1</v>
      </c>
      <c r="G93" s="9"/>
      <c r="H93" s="9"/>
      <c r="I93" s="10"/>
      <c r="J93" s="10">
        <v>1</v>
      </c>
      <c r="K93" s="9">
        <v>1</v>
      </c>
      <c r="L93" s="9"/>
      <c r="M93" s="10"/>
      <c r="N93" s="119">
        <f t="shared" si="3"/>
        <v>17</v>
      </c>
      <c r="O93" s="120"/>
      <c r="P93" s="68"/>
      <c r="Q93" s="126">
        <v>44563.312472470672</v>
      </c>
      <c r="R93" s="128">
        <v>40106.981225223601</v>
      </c>
      <c r="S93" s="214">
        <v>41711.260474232542</v>
      </c>
      <c r="T93" s="214">
        <v>43315.539723241491</v>
      </c>
      <c r="U93" s="122"/>
      <c r="V93" s="114"/>
      <c r="W93" s="127"/>
    </row>
    <row r="94" spans="1:26">
      <c r="A94" s="74" t="s">
        <v>1449</v>
      </c>
      <c r="B94" s="110" t="str">
        <f>IFERROR(HYPERLINK(VLOOKUP(A94,ÜRÜNLER!A:C,3,FALSE),VLOOKUP(A94,ÜRÜNLER!A:B,2,FALSE)),"")</f>
        <v>iQ500 Çamaşır Makinesi, 10kg/1400devir, i-dos, Beyaz</v>
      </c>
      <c r="C94" s="8">
        <v>24</v>
      </c>
      <c r="D94" s="8"/>
      <c r="E94" s="9"/>
      <c r="F94" s="9"/>
      <c r="G94" s="9"/>
      <c r="H94" s="9"/>
      <c r="I94" s="10">
        <v>2</v>
      </c>
      <c r="J94" s="10"/>
      <c r="K94" s="9"/>
      <c r="L94" s="9"/>
      <c r="M94" s="10">
        <v>1</v>
      </c>
      <c r="N94" s="119">
        <f t="shared" si="3"/>
        <v>27</v>
      </c>
      <c r="O94" s="120">
        <v>1</v>
      </c>
      <c r="P94" s="68"/>
      <c r="Q94" s="126">
        <v>44697.368203516198</v>
      </c>
      <c r="R94" s="128">
        <v>40227.631383164582</v>
      </c>
      <c r="S94" s="214">
        <v>41836.736638491166</v>
      </c>
      <c r="T94" s="214">
        <v>43445.841893817749</v>
      </c>
      <c r="U94" s="122"/>
      <c r="V94" s="114"/>
      <c r="W94" s="127"/>
      <c r="Y94" s="124">
        <v>46800</v>
      </c>
    </row>
    <row r="95" spans="1:26">
      <c r="A95" s="14" t="s">
        <v>1451</v>
      </c>
      <c r="B95" s="110" t="str">
        <f>IFERROR(HYPERLINK(VLOOKUP(A95,ÜRÜNLER!A:C,3,FALSE),VLOOKUP(A95,ÜRÜNLER!A:B,2,FALSE)),"")</f>
        <v>iQ500 Çamaşır Makinesi, 11kg/1400devir, i-dos, Beyaz</v>
      </c>
      <c r="C95" s="8">
        <v>9</v>
      </c>
      <c r="D95" s="8"/>
      <c r="E95" s="9"/>
      <c r="F95" s="9"/>
      <c r="G95" s="9"/>
      <c r="H95" s="9"/>
      <c r="I95" s="10"/>
      <c r="J95" s="10"/>
      <c r="K95" s="9"/>
      <c r="L95" s="9"/>
      <c r="M95" s="10"/>
      <c r="N95" s="119">
        <f t="shared" si="3"/>
        <v>9</v>
      </c>
      <c r="O95" s="120">
        <v>2</v>
      </c>
      <c r="P95" s="68"/>
      <c r="Q95" s="126">
        <v>47968.710920659025</v>
      </c>
      <c r="R95" s="128">
        <v>43171.839828593125</v>
      </c>
      <c r="S95" s="214">
        <v>44898.713421736851</v>
      </c>
      <c r="T95" s="214">
        <v>46625.587014880577</v>
      </c>
      <c r="U95" s="122"/>
      <c r="V95" s="114"/>
      <c r="W95" s="127"/>
      <c r="Y95" s="124"/>
    </row>
    <row r="96" spans="1:26">
      <c r="A96" s="82" t="s">
        <v>91</v>
      </c>
      <c r="B96" s="110" t="str">
        <f>IFERROR(HYPERLINK(VLOOKUP(A96,ÜRÜNLER!A:C,3,FALSE),VLOOKUP(A96,ÜRÜNLER!A:B,2,FALSE)),"")</f>
        <v>iQ500 Çamaşır Makinesi, 11kg/1400devir, i-dos, Beyaz</v>
      </c>
      <c r="C96" s="8"/>
      <c r="D96" s="8"/>
      <c r="E96" s="9"/>
      <c r="F96" s="9"/>
      <c r="G96" s="9"/>
      <c r="H96" s="9"/>
      <c r="I96" s="10"/>
      <c r="J96" s="10"/>
      <c r="K96" s="9"/>
      <c r="L96" s="9">
        <v>1</v>
      </c>
      <c r="M96" s="10"/>
      <c r="N96" s="119">
        <f t="shared" si="3"/>
        <v>1</v>
      </c>
      <c r="O96" s="120"/>
      <c r="P96" s="68"/>
      <c r="Q96" s="121" t="s">
        <v>1788</v>
      </c>
      <c r="R96" s="114">
        <v>40000</v>
      </c>
      <c r="S96" s="11">
        <v>41600</v>
      </c>
      <c r="T96" s="11">
        <v>43200</v>
      </c>
      <c r="U96" s="122"/>
      <c r="V96" s="114"/>
      <c r="W96" s="123">
        <v>500</v>
      </c>
      <c r="Y96" s="124"/>
    </row>
    <row r="97" spans="1:25">
      <c r="A97" s="82" t="s">
        <v>92</v>
      </c>
      <c r="B97" s="110" t="str">
        <f>IFERROR(HYPERLINK(VLOOKUP(A97,ÜRÜNLER!A:C,3,FALSE),VLOOKUP(A97,ÜRÜNLER!A:B,2,FALSE)),"")</f>
        <v>iQ500 Çamaşır Makinesi, 11kg/1400devir, Beyaz</v>
      </c>
      <c r="C97" s="8">
        <v>53</v>
      </c>
      <c r="D97" s="8"/>
      <c r="E97" s="9"/>
      <c r="F97" s="9"/>
      <c r="G97" s="9"/>
      <c r="H97" s="9"/>
      <c r="I97" s="10">
        <v>2</v>
      </c>
      <c r="J97" s="10">
        <v>1</v>
      </c>
      <c r="K97" s="9">
        <v>1</v>
      </c>
      <c r="L97" s="9">
        <v>1</v>
      </c>
      <c r="M97" s="10">
        <v>1</v>
      </c>
      <c r="N97" s="119">
        <f t="shared" si="3"/>
        <v>59</v>
      </c>
      <c r="O97" s="120">
        <v>1</v>
      </c>
      <c r="P97" s="68"/>
      <c r="Q97" s="126">
        <v>46659.343205755678</v>
      </c>
      <c r="R97" s="135">
        <v>43393.189181352784</v>
      </c>
      <c r="S97" s="11">
        <v>45128.916748606898</v>
      </c>
      <c r="T97" s="11">
        <v>46864.644315861005</v>
      </c>
      <c r="U97" s="122"/>
      <c r="V97" s="114"/>
      <c r="W97" s="127"/>
      <c r="Y97" s="124"/>
    </row>
    <row r="98" spans="1:25">
      <c r="A98" s="78" t="s">
        <v>93</v>
      </c>
      <c r="B98" s="110" t="str">
        <f>IFERROR(HYPERLINK(VLOOKUP(A98,ÜRÜNLER!A:C,3,FALSE),VLOOKUP(A98,ÜRÜNLER!A:B,2,FALSE)),"")</f>
        <v>iQ500 Çamaşır Makinesi, 11kg/1400devir, Antrasit/Dark</v>
      </c>
      <c r="C98" s="8">
        <v>74</v>
      </c>
      <c r="D98" s="8"/>
      <c r="E98" s="9"/>
      <c r="F98" s="9">
        <v>2</v>
      </c>
      <c r="G98" s="9"/>
      <c r="H98" s="9"/>
      <c r="I98" s="10">
        <v>1</v>
      </c>
      <c r="J98" s="10">
        <v>1</v>
      </c>
      <c r="K98" s="9">
        <v>1</v>
      </c>
      <c r="L98" s="9"/>
      <c r="M98" s="10">
        <v>1</v>
      </c>
      <c r="N98" s="119">
        <f t="shared" si="3"/>
        <v>80</v>
      </c>
      <c r="O98" s="120">
        <v>1</v>
      </c>
      <c r="P98" s="68"/>
      <c r="Q98" s="126">
        <v>49893.288864141352</v>
      </c>
      <c r="R98" s="135">
        <v>46400.758643651454</v>
      </c>
      <c r="S98" s="11">
        <v>48256.788989397515</v>
      </c>
      <c r="T98" s="11">
        <v>50112.819335143569</v>
      </c>
      <c r="U98" s="122"/>
      <c r="V98" s="114"/>
      <c r="W98" s="127"/>
      <c r="Y98" s="124"/>
    </row>
    <row r="99" spans="1:25">
      <c r="A99" s="82" t="s">
        <v>1815</v>
      </c>
      <c r="B99" s="110" t="str">
        <f>IFERROR(HYPERLINK(VLOOKUP(A99,ÜRÜNLER!A:C,3,FALSE),VLOOKUP(A99,ÜRÜNLER!A:B,2,FALSE)),"")</f>
        <v>iQ700 Çamaşır Makinesi, 11kg/1400devir, intelligentDosingPlus, Gümüş</v>
      </c>
      <c r="C99" s="8"/>
      <c r="D99" s="8"/>
      <c r="E99" s="9"/>
      <c r="F99" s="9"/>
      <c r="G99" s="9"/>
      <c r="H99" s="9"/>
      <c r="I99" s="10"/>
      <c r="J99" s="10"/>
      <c r="K99" s="9"/>
      <c r="L99" s="9"/>
      <c r="M99" s="10"/>
      <c r="N99" s="119">
        <f t="shared" si="3"/>
        <v>0</v>
      </c>
      <c r="O99" s="120"/>
      <c r="P99" s="68"/>
      <c r="Q99" s="126">
        <v>59507.382069009123</v>
      </c>
      <c r="R99" s="114">
        <v>59507.382069009123</v>
      </c>
      <c r="S99" s="11">
        <v>61887.677351769489</v>
      </c>
      <c r="T99" s="11">
        <v>64267.972634529855</v>
      </c>
      <c r="U99" s="122"/>
      <c r="V99" s="114"/>
      <c r="W99" s="127"/>
      <c r="Y99" s="124"/>
    </row>
    <row r="100" spans="1:25">
      <c r="A100" s="82" t="s">
        <v>1818</v>
      </c>
      <c r="B100" s="110" t="str">
        <f>IFERROR(HYPERLINK(VLOOKUP(A100,ÜRÜNLER!A:C,3,FALSE),VLOOKUP(A100,ÜRÜNLER!A:B,2,FALSE)),"")</f>
        <v>iQ700 Çamaşır Makinesi, 11kg/1400devir, intelligentDosing, Beyaz</v>
      </c>
      <c r="C100" s="8"/>
      <c r="D100" s="8"/>
      <c r="E100" s="9"/>
      <c r="F100" s="9"/>
      <c r="G100" s="9"/>
      <c r="H100" s="9"/>
      <c r="I100" s="10"/>
      <c r="J100" s="10"/>
      <c r="K100" s="9"/>
      <c r="L100" s="9"/>
      <c r="M100" s="10"/>
      <c r="N100" s="119">
        <f t="shared" si="3"/>
        <v>0</v>
      </c>
      <c r="O100" s="120"/>
      <c r="P100" s="68"/>
      <c r="Q100" s="126">
        <v>57780.528265497553</v>
      </c>
      <c r="R100" s="114">
        <v>57780.528265497553</v>
      </c>
      <c r="S100" s="11">
        <v>60091.749396117455</v>
      </c>
      <c r="T100" s="11">
        <v>62402.970526737357</v>
      </c>
      <c r="U100" s="122"/>
      <c r="V100" s="114"/>
      <c r="W100" s="127"/>
      <c r="Y100" s="124"/>
    </row>
    <row r="101" spans="1:25">
      <c r="A101" s="72" t="s">
        <v>95</v>
      </c>
      <c r="B101" s="110" t="str">
        <f>IFERROR(HYPERLINK(VLOOKUP(A101,ÜRÜNLER!A:C,3,FALSE),VLOOKUP(A101,ÜRÜNLER!A:B,2,FALSE)),"")</f>
        <v>iQ500 Çamaşır Makinesi, 9kg/1400devir, i-dos, Beyaz</v>
      </c>
      <c r="C101" s="8"/>
      <c r="D101" s="8"/>
      <c r="E101" s="9"/>
      <c r="F101" s="9"/>
      <c r="G101" s="9"/>
      <c r="H101" s="9"/>
      <c r="I101" s="10">
        <v>1</v>
      </c>
      <c r="J101" s="10"/>
      <c r="K101" s="9"/>
      <c r="L101" s="9">
        <v>1</v>
      </c>
      <c r="M101" s="10"/>
      <c r="N101" s="119">
        <f t="shared" si="3"/>
        <v>2</v>
      </c>
      <c r="O101" s="120"/>
      <c r="P101" s="68"/>
      <c r="Q101" s="121" t="s">
        <v>1788</v>
      </c>
      <c r="R101" s="114">
        <v>40000</v>
      </c>
      <c r="S101" s="11">
        <v>41600</v>
      </c>
      <c r="T101" s="11">
        <v>43200</v>
      </c>
      <c r="U101" s="122"/>
      <c r="V101" s="114"/>
      <c r="W101" s="123">
        <v>500</v>
      </c>
      <c r="Y101" s="124"/>
    </row>
    <row r="102" spans="1:25">
      <c r="A102" s="72" t="s">
        <v>96</v>
      </c>
      <c r="B102" s="110" t="str">
        <f>IFERROR(HYPERLINK(VLOOKUP(A102,ÜRÜNLER!A:C,3,FALSE),VLOOKUP(A102,ÜRÜNLER!A:B,2,FALSE)),"")</f>
        <v>iQ700 Çamaşır Makinesi, 10kg/1400devir, i-dos, Beyaz</v>
      </c>
      <c r="C102" s="8"/>
      <c r="D102" s="8"/>
      <c r="E102" s="9"/>
      <c r="F102" s="9"/>
      <c r="G102" s="9"/>
      <c r="H102" s="9"/>
      <c r="I102" s="10">
        <v>1</v>
      </c>
      <c r="J102" s="10"/>
      <c r="K102" s="9"/>
      <c r="L102" s="9"/>
      <c r="M102" s="10"/>
      <c r="N102" s="119">
        <f t="shared" si="3"/>
        <v>1</v>
      </c>
      <c r="O102" s="120"/>
      <c r="P102" s="68"/>
      <c r="Q102" s="121" t="s">
        <v>1788</v>
      </c>
      <c r="R102" s="114">
        <v>40000</v>
      </c>
      <c r="S102" s="11">
        <v>41600</v>
      </c>
      <c r="T102" s="11">
        <v>43200</v>
      </c>
      <c r="U102" s="122"/>
      <c r="V102" s="114"/>
      <c r="W102" s="123">
        <v>500</v>
      </c>
      <c r="Y102" s="124"/>
    </row>
    <row r="103" spans="1:25">
      <c r="A103" s="72" t="s">
        <v>97</v>
      </c>
      <c r="B103" s="110" t="str">
        <f>IFERROR(HYPERLINK(VLOOKUP(A103,ÜRÜNLER!A:C,3,FALSE),VLOOKUP(A103,ÜRÜNLER!A:B,2,FALSE)),"")</f>
        <v>iQ700 Kurutmalı Çamaşır Makinesi, 10.5kg/6kg/1400devir, i-dos, Beyaz</v>
      </c>
      <c r="C103" s="8"/>
      <c r="D103" s="8"/>
      <c r="E103" s="9"/>
      <c r="F103" s="9"/>
      <c r="G103" s="9"/>
      <c r="H103" s="9"/>
      <c r="I103" s="10"/>
      <c r="J103" s="10"/>
      <c r="K103" s="9"/>
      <c r="L103" s="9"/>
      <c r="M103" s="10"/>
      <c r="N103" s="119">
        <f t="shared" si="3"/>
        <v>0</v>
      </c>
      <c r="O103" s="120">
        <v>2</v>
      </c>
      <c r="P103" s="68"/>
      <c r="Q103" s="126">
        <v>80702.411827662814</v>
      </c>
      <c r="R103" s="131">
        <v>80702.411827662814</v>
      </c>
      <c r="S103" s="11">
        <v>83930.508300769332</v>
      </c>
      <c r="T103" s="11">
        <v>87158.604773875835</v>
      </c>
      <c r="U103" s="122"/>
      <c r="V103" s="114"/>
      <c r="W103" s="123">
        <v>500</v>
      </c>
      <c r="Y103" s="124">
        <v>83200</v>
      </c>
    </row>
    <row r="104" spans="1:25" ht="30">
      <c r="A104" s="174" t="s">
        <v>98</v>
      </c>
      <c r="B104" s="110" t="str">
        <f>IFERROR(HYPERLINK(VLOOKUP(A104,ÜRÜNLER!A:C,3,FALSE),VLOOKUP(A104,ÜRÜNLER!A:B,2,FALSE)),"")</f>
        <v/>
      </c>
      <c r="C104" s="8"/>
      <c r="D104" s="8"/>
      <c r="E104" s="9"/>
      <c r="F104" s="9"/>
      <c r="G104" s="9"/>
      <c r="H104" s="9"/>
      <c r="I104" s="10"/>
      <c r="J104" s="10"/>
      <c r="K104" s="9"/>
      <c r="L104" s="9"/>
      <c r="M104" s="10"/>
      <c r="N104" s="119">
        <f>SUM(N76:N103)</f>
        <v>474</v>
      </c>
      <c r="O104" s="120"/>
      <c r="Q104" s="121"/>
      <c r="R104" s="127"/>
      <c r="S104" s="11"/>
      <c r="T104" s="11"/>
      <c r="U104" s="122"/>
      <c r="V104" s="114"/>
      <c r="W104" s="127"/>
    </row>
    <row r="105" spans="1:25">
      <c r="A105" s="15" t="s">
        <v>102</v>
      </c>
      <c r="B105" s="110" t="str">
        <f>IFERROR(HYPERLINK(VLOOKUP(A105,ÜRÜNLER!A:C,3,FALSE),VLOOKUP(A105,ÜRÜNLER!A:B,2,FALSE)),"")</f>
        <v>iQ500 Isı Pompalı Kurutma Makinesi, 9kg, Beyaz</v>
      </c>
      <c r="C105" s="8"/>
      <c r="D105" s="8"/>
      <c r="E105" s="9"/>
      <c r="F105" s="9"/>
      <c r="G105" s="9"/>
      <c r="H105" s="9"/>
      <c r="I105" s="10">
        <v>1</v>
      </c>
      <c r="J105" s="10"/>
      <c r="K105" s="9"/>
      <c r="L105" s="9"/>
      <c r="M105" s="10"/>
      <c r="N105" s="119">
        <f t="shared" ref="N105:N116" si="4">M105+K105+L105+J105+I105+H105+G105+F105+E105+D105+C105</f>
        <v>1</v>
      </c>
      <c r="O105" s="120"/>
      <c r="P105" s="68"/>
      <c r="Q105" s="121" t="s">
        <v>1788</v>
      </c>
      <c r="R105" s="146">
        <v>35000</v>
      </c>
      <c r="S105" s="11">
        <v>36400</v>
      </c>
      <c r="T105" s="11">
        <v>37800</v>
      </c>
      <c r="U105" s="122"/>
      <c r="V105" s="114"/>
      <c r="W105" s="123">
        <v>500</v>
      </c>
    </row>
    <row r="106" spans="1:25">
      <c r="A106" s="15" t="s">
        <v>103</v>
      </c>
      <c r="B106" s="110" t="str">
        <f>IFERROR(HYPERLINK(VLOOKUP(A106,ÜRÜNLER!A:C,3,FALSE),VLOOKUP(A106,ÜRÜNLER!A:B,2,FALSE)),"")</f>
        <v>iQ300 Isı Pompalı Kurutma Makinesi, 9kg, Beyaz</v>
      </c>
      <c r="C106" s="8">
        <v>62</v>
      </c>
      <c r="D106" s="8"/>
      <c r="E106" s="9"/>
      <c r="F106" s="9"/>
      <c r="G106" s="9"/>
      <c r="H106" s="9"/>
      <c r="I106" s="10">
        <v>1</v>
      </c>
      <c r="J106" s="10">
        <v>1</v>
      </c>
      <c r="K106" s="9">
        <v>1</v>
      </c>
      <c r="L106" s="9">
        <v>1</v>
      </c>
      <c r="M106" s="10">
        <v>1</v>
      </c>
      <c r="N106" s="119">
        <f t="shared" si="4"/>
        <v>67</v>
      </c>
      <c r="O106" s="120">
        <v>298</v>
      </c>
      <c r="P106" s="68"/>
      <c r="Q106" s="126">
        <v>39552.883298190849</v>
      </c>
      <c r="R106" s="116">
        <v>37575.239133281306</v>
      </c>
      <c r="S106" s="11">
        <v>39078.248698612559</v>
      </c>
      <c r="T106" s="11">
        <v>40581.258263943811</v>
      </c>
      <c r="U106" s="122">
        <v>1459.8600423768951</v>
      </c>
      <c r="V106" s="114"/>
      <c r="W106" s="127"/>
    </row>
    <row r="107" spans="1:25">
      <c r="A107" s="76" t="s">
        <v>99</v>
      </c>
      <c r="B107" s="110" t="str">
        <f>IFERROR(HYPERLINK(VLOOKUP(A107,ÜRÜNLER!A:C,3,FALSE),VLOOKUP(A107,ÜRÜNLER!A:B,2,FALSE)),"")</f>
        <v>iQ500 Isı Pompalı Kurutma Makinesi, 9kg, Beyaz</v>
      </c>
      <c r="C107" s="8">
        <v>44</v>
      </c>
      <c r="D107" s="8"/>
      <c r="E107" s="9"/>
      <c r="F107" s="9"/>
      <c r="G107" s="9"/>
      <c r="H107" s="9"/>
      <c r="I107" s="10"/>
      <c r="J107" s="10">
        <v>1</v>
      </c>
      <c r="K107" s="9"/>
      <c r="L107" s="9"/>
      <c r="M107" s="10"/>
      <c r="N107" s="119">
        <f t="shared" si="4"/>
        <v>45</v>
      </c>
      <c r="O107" s="120">
        <v>13</v>
      </c>
      <c r="P107" s="68"/>
      <c r="Q107" s="126">
        <v>43183.847091032105</v>
      </c>
      <c r="R107" s="143">
        <v>40160.977794659855</v>
      </c>
      <c r="S107" s="11">
        <v>41767.416906446248</v>
      </c>
      <c r="T107" s="11">
        <v>43373.856018232647</v>
      </c>
      <c r="U107" s="122">
        <v>1265.2424398693111</v>
      </c>
      <c r="V107" s="114"/>
      <c r="W107" s="127"/>
    </row>
    <row r="108" spans="1:25">
      <c r="A108" s="147" t="s">
        <v>1340</v>
      </c>
      <c r="B108" s="110" t="str">
        <f>IFERROR(HYPERLINK(VLOOKUP(A108,ÜRÜNLER!A:C,3,FALSE),VLOOKUP(A108,ÜRÜNLER!A:B,2,FALSE)),"")</f>
        <v>iQ500 Isı Pompalı Kurutma Makinesi, 9kg, Gümüş</v>
      </c>
      <c r="C108" s="8">
        <v>216</v>
      </c>
      <c r="D108" s="8"/>
      <c r="E108" s="9"/>
      <c r="F108" s="9"/>
      <c r="G108" s="9"/>
      <c r="H108" s="9"/>
      <c r="I108" s="10">
        <v>1</v>
      </c>
      <c r="J108" s="10">
        <v>1</v>
      </c>
      <c r="K108" s="9"/>
      <c r="L108" s="9"/>
      <c r="M108" s="10"/>
      <c r="N108" s="119">
        <f t="shared" si="4"/>
        <v>218</v>
      </c>
      <c r="O108" s="120">
        <v>20</v>
      </c>
      <c r="P108" s="68"/>
      <c r="Q108" s="126">
        <v>43404.733782129748</v>
      </c>
      <c r="R108" s="143">
        <v>40366.402417380668</v>
      </c>
      <c r="S108" s="11">
        <v>41981.058514075892</v>
      </c>
      <c r="T108" s="11">
        <v>43595.714610771123</v>
      </c>
      <c r="U108" s="122"/>
      <c r="V108" s="114"/>
      <c r="W108" s="127"/>
    </row>
    <row r="109" spans="1:25">
      <c r="A109" s="15" t="s">
        <v>100</v>
      </c>
      <c r="B109" s="110" t="str">
        <f>IFERROR(HYPERLINK(VLOOKUP(A109,ÜRÜNLER!A:C,3,FALSE),VLOOKUP(A109,ÜRÜNLER!A:B,2,FALSE)),"")</f>
        <v>iQ500 Isı Pompalı Kurutma Makinesi, 9kg, Beyaz</v>
      </c>
      <c r="C109" s="8">
        <v>119</v>
      </c>
      <c r="D109" s="8"/>
      <c r="E109" s="9"/>
      <c r="F109" s="9"/>
      <c r="G109" s="9"/>
      <c r="H109" s="9"/>
      <c r="I109" s="10">
        <v>1</v>
      </c>
      <c r="J109" s="10"/>
      <c r="K109" s="9">
        <v>1</v>
      </c>
      <c r="L109" s="9"/>
      <c r="M109" s="10">
        <v>1</v>
      </c>
      <c r="N109" s="119">
        <f t="shared" si="4"/>
        <v>122</v>
      </c>
      <c r="O109" s="120">
        <v>30</v>
      </c>
      <c r="P109" s="137"/>
      <c r="Q109" s="126">
        <v>46206.703389937567</v>
      </c>
      <c r="R109" s="143">
        <v>42972.23415264194</v>
      </c>
      <c r="S109" s="11">
        <v>44691.12351874762</v>
      </c>
      <c r="T109" s="11">
        <v>46410.012884853299</v>
      </c>
      <c r="U109" s="122">
        <v>1602.0522271468728</v>
      </c>
      <c r="V109" s="114"/>
      <c r="W109" s="130"/>
    </row>
    <row r="110" spans="1:25">
      <c r="A110" s="15" t="s">
        <v>104</v>
      </c>
      <c r="B110" s="110" t="str">
        <f>IFERROR(HYPERLINK(VLOOKUP(A110,ÜRÜNLER!A:C,3,FALSE),VLOOKUP(A110,ÜRÜNLER!A:B,2,FALSE)),"")</f>
        <v>iQ500 Isı Pompalı Kurutma Makinesi, 9kg, SelfClean, Beyaz</v>
      </c>
      <c r="C110" s="8">
        <v>41</v>
      </c>
      <c r="D110" s="8"/>
      <c r="E110" s="9"/>
      <c r="F110" s="9"/>
      <c r="G110" s="9"/>
      <c r="H110" s="9"/>
      <c r="I110" s="10">
        <v>1</v>
      </c>
      <c r="J110" s="10">
        <v>1</v>
      </c>
      <c r="K110" s="9"/>
      <c r="L110" s="9">
        <v>1</v>
      </c>
      <c r="M110" s="10">
        <v>1</v>
      </c>
      <c r="N110" s="119">
        <f t="shared" si="4"/>
        <v>45</v>
      </c>
      <c r="O110" s="120"/>
      <c r="P110" s="68"/>
      <c r="Q110" s="121" t="s">
        <v>1788</v>
      </c>
      <c r="R110" s="114">
        <v>38000</v>
      </c>
      <c r="S110" s="11">
        <v>39520</v>
      </c>
      <c r="T110" s="11">
        <v>41040</v>
      </c>
      <c r="U110" s="122"/>
      <c r="V110" s="114"/>
      <c r="W110" s="127">
        <v>250</v>
      </c>
    </row>
    <row r="111" spans="1:25">
      <c r="A111" s="15" t="s">
        <v>105</v>
      </c>
      <c r="B111" s="110" t="str">
        <f>IFERROR(HYPERLINK(VLOOKUP(A111,ÜRÜNLER!A:C,3,FALSE),VLOOKUP(A111,ÜRÜNLER!A:B,2,FALSE)),"")</f>
        <v>iQ700 Isı Pompalı Kurutma Makinesi, 9kg, Beyaz</v>
      </c>
      <c r="C111" s="8">
        <v>164</v>
      </c>
      <c r="D111" s="8"/>
      <c r="E111" s="9"/>
      <c r="F111" s="9"/>
      <c r="G111" s="9"/>
      <c r="H111" s="9"/>
      <c r="I111" s="10">
        <v>2</v>
      </c>
      <c r="J111" s="10"/>
      <c r="K111" s="9"/>
      <c r="L111" s="9">
        <v>1</v>
      </c>
      <c r="M111" s="10"/>
      <c r="N111" s="119">
        <f t="shared" si="4"/>
        <v>167</v>
      </c>
      <c r="O111" s="120">
        <v>5</v>
      </c>
      <c r="P111" s="68"/>
      <c r="Q111" s="126">
        <v>61286.692413916055</v>
      </c>
      <c r="R111" s="143">
        <v>56996.62394494193</v>
      </c>
      <c r="S111" s="11">
        <v>59276.488902739606</v>
      </c>
      <c r="T111" s="11">
        <v>61556.353860537281</v>
      </c>
      <c r="U111" s="122"/>
      <c r="V111" s="114"/>
      <c r="W111" s="127"/>
    </row>
    <row r="112" spans="1:25">
      <c r="A112" s="147" t="s">
        <v>106</v>
      </c>
      <c r="B112" s="110" t="str">
        <f>IFERROR(HYPERLINK(VLOOKUP(A112,ÜRÜNLER!A:C,3,FALSE),VLOOKUP(A112,ÜRÜNLER!A:B,2,FALSE)),"")</f>
        <v>iQ700 Isı Pompalı Kurutma Makinesi, 9kg, Gümüş</v>
      </c>
      <c r="C112" s="8">
        <v>103</v>
      </c>
      <c r="D112" s="8"/>
      <c r="E112" s="9"/>
      <c r="F112" s="9">
        <v>1</v>
      </c>
      <c r="G112" s="9"/>
      <c r="H112" s="9"/>
      <c r="I112" s="10">
        <v>1</v>
      </c>
      <c r="J112" s="10">
        <v>1</v>
      </c>
      <c r="K112" s="9">
        <v>1</v>
      </c>
      <c r="L112" s="9"/>
      <c r="M112" s="10">
        <v>1</v>
      </c>
      <c r="N112" s="119">
        <f t="shared" si="4"/>
        <v>108</v>
      </c>
      <c r="O112" s="120">
        <v>5</v>
      </c>
      <c r="P112" s="68"/>
      <c r="Q112" s="126">
        <v>62304.674762486175</v>
      </c>
      <c r="R112" s="143">
        <v>57943.347529112143</v>
      </c>
      <c r="S112" s="11">
        <v>60261.08143027663</v>
      </c>
      <c r="T112" s="11">
        <v>62578.815331441117</v>
      </c>
      <c r="U112" s="122"/>
      <c r="V112" s="114"/>
      <c r="W112" s="127"/>
    </row>
    <row r="113" spans="1:26">
      <c r="A113" s="14" t="s">
        <v>469</v>
      </c>
      <c r="B113" s="110" t="str">
        <f>IFERROR(HYPERLINK(VLOOKUP(A113,ÜRÜNLER!A:C,3,FALSE),VLOOKUP(A113,ÜRÜNLER!A:B,2,FALSE)),"")</f>
        <v>iQ300 Isı Pompalı Kurutma Makinesi, 10kg, Beyaz</v>
      </c>
      <c r="C113" s="8">
        <v>346</v>
      </c>
      <c r="D113" s="8"/>
      <c r="E113" s="9"/>
      <c r="F113" s="9"/>
      <c r="G113" s="9"/>
      <c r="H113" s="9"/>
      <c r="I113" s="10"/>
      <c r="J113" s="10"/>
      <c r="K113" s="9"/>
      <c r="L113" s="9"/>
      <c r="M113" s="10">
        <v>1</v>
      </c>
      <c r="N113" s="119">
        <f t="shared" si="4"/>
        <v>347</v>
      </c>
      <c r="O113" s="120">
        <v>18</v>
      </c>
      <c r="P113" s="68"/>
      <c r="Q113" s="126">
        <v>42717.122969696531</v>
      </c>
      <c r="R113" s="143">
        <v>39726.924361817772</v>
      </c>
      <c r="S113" s="11">
        <v>41316.001336290479</v>
      </c>
      <c r="T113" s="11">
        <v>42905.078310763194</v>
      </c>
      <c r="U113" s="122">
        <v>879.91366737095086</v>
      </c>
      <c r="V113" s="114"/>
      <c r="W113" s="11"/>
    </row>
    <row r="114" spans="1:26">
      <c r="A114" s="78" t="s">
        <v>1309</v>
      </c>
      <c r="B114" s="110" t="str">
        <f>IFERROR(HYPERLINK(VLOOKUP(A114,ÜRÜNLER!A:C,3,FALSE),VLOOKUP(A114,ÜRÜNLER!A:B,2,FALSE)),"")</f>
        <v>iQ500 Isı Pompalı Kurutma Makinesi, 10kg, Antrasit/Dark</v>
      </c>
      <c r="C114" s="8">
        <v>133</v>
      </c>
      <c r="D114" s="8"/>
      <c r="E114" s="9"/>
      <c r="F114" s="9"/>
      <c r="G114" s="9"/>
      <c r="H114" s="9"/>
      <c r="I114" s="10">
        <v>1</v>
      </c>
      <c r="J114" s="10">
        <v>1</v>
      </c>
      <c r="K114" s="9"/>
      <c r="L114" s="9"/>
      <c r="M114" s="10">
        <v>1</v>
      </c>
      <c r="N114" s="119">
        <f t="shared" si="4"/>
        <v>136</v>
      </c>
      <c r="O114" s="120"/>
      <c r="P114" s="68"/>
      <c r="Q114" s="126">
        <v>45281.496328029381</v>
      </c>
      <c r="R114" s="143">
        <v>42111.791585067323</v>
      </c>
      <c r="S114" s="11">
        <v>43796.263248470015</v>
      </c>
      <c r="T114" s="11">
        <v>45480.734911872707</v>
      </c>
      <c r="U114" s="122"/>
      <c r="V114" s="114"/>
      <c r="W114" s="11"/>
    </row>
    <row r="115" spans="1:26">
      <c r="A115" s="14" t="s">
        <v>108</v>
      </c>
      <c r="B115" s="110" t="str">
        <f>IFERROR(HYPERLINK(VLOOKUP(A115,ÜRÜNLER!A:C,3,FALSE),VLOOKUP(A115,ÜRÜNLER!A:B,2,FALSE)),"")</f>
        <v>iQ500 Isı Pompalı Kurutma Makinesi, 10kg, Beyaz</v>
      </c>
      <c r="C115" s="8"/>
      <c r="D115" s="8"/>
      <c r="E115" s="9"/>
      <c r="F115" s="9"/>
      <c r="G115" s="9"/>
      <c r="H115" s="9"/>
      <c r="I115" s="10"/>
      <c r="J115" s="10">
        <v>1</v>
      </c>
      <c r="K115" s="9">
        <v>1</v>
      </c>
      <c r="L115" s="9"/>
      <c r="M115" s="10"/>
      <c r="N115" s="119">
        <f t="shared" si="4"/>
        <v>2</v>
      </c>
      <c r="O115" s="120">
        <v>27</v>
      </c>
      <c r="P115" s="68"/>
      <c r="Q115" s="126">
        <v>45280.150347878327</v>
      </c>
      <c r="R115" s="131">
        <v>45280.150347878327</v>
      </c>
      <c r="S115" s="11">
        <v>47091.356361793463</v>
      </c>
      <c r="T115" s="11">
        <v>48902.562375708592</v>
      </c>
      <c r="U115" s="122"/>
      <c r="V115" s="114"/>
      <c r="W115" s="127"/>
    </row>
    <row r="116" spans="1:26">
      <c r="A116" s="15" t="s">
        <v>101</v>
      </c>
      <c r="B116" s="110" t="str">
        <f>IFERROR(HYPERLINK(VLOOKUP(A116,ÜRÜNLER!A:C,3,FALSE),VLOOKUP(A116,ÜRÜNLER!A:B,2,FALSE)),"")</f>
        <v>iQ300 Isı Pompalı Kurutma Makinesi, 8kg, Beyaz</v>
      </c>
      <c r="C116" s="8"/>
      <c r="D116" s="8"/>
      <c r="E116" s="9"/>
      <c r="F116" s="9">
        <v>1</v>
      </c>
      <c r="G116" s="9"/>
      <c r="H116" s="9"/>
      <c r="I116" s="10"/>
      <c r="J116" s="10">
        <v>1</v>
      </c>
      <c r="K116" s="9"/>
      <c r="L116" s="9"/>
      <c r="M116" s="10">
        <v>1</v>
      </c>
      <c r="N116" s="119">
        <f t="shared" si="4"/>
        <v>3</v>
      </c>
      <c r="O116" s="120"/>
      <c r="P116" s="68"/>
      <c r="Q116" s="121" t="s">
        <v>1788</v>
      </c>
      <c r="R116" s="146">
        <v>35000</v>
      </c>
      <c r="S116" s="11">
        <v>36400</v>
      </c>
      <c r="T116" s="11">
        <v>37800</v>
      </c>
      <c r="U116" s="122"/>
      <c r="V116" s="114"/>
      <c r="W116" s="123">
        <v>1000</v>
      </c>
    </row>
    <row r="117" spans="1:26" s="16" customFormat="1" ht="34.5" customHeight="1">
      <c r="A117" s="89" t="s">
        <v>109</v>
      </c>
      <c r="B117" s="110" t="str">
        <f>IFERROR(HYPERLINK(VLOOKUP(A117,ÜRÜNLER!A:C,3,FALSE),VLOOKUP(A117,ÜRÜNLER!A:B,2,FALSE)),"")</f>
        <v/>
      </c>
      <c r="C117" s="8"/>
      <c r="D117" s="8"/>
      <c r="E117" s="9"/>
      <c r="F117" s="9"/>
      <c r="G117" s="9"/>
      <c r="H117" s="9"/>
      <c r="I117" s="10"/>
      <c r="J117" s="10"/>
      <c r="K117" s="9"/>
      <c r="L117" s="9"/>
      <c r="M117" s="10"/>
      <c r="N117" s="119">
        <f>SUM(N105:N116)</f>
        <v>1261</v>
      </c>
      <c r="O117" s="120"/>
      <c r="P117" s="68"/>
      <c r="Q117" s="121"/>
      <c r="R117" s="131"/>
      <c r="S117" s="11"/>
      <c r="T117" s="11"/>
      <c r="U117" s="122"/>
      <c r="V117" s="114"/>
      <c r="W117" s="131"/>
      <c r="X117" s="124"/>
      <c r="Y117" s="142"/>
      <c r="Z117" s="142"/>
    </row>
    <row r="118" spans="1:26">
      <c r="A118" s="15" t="s">
        <v>112</v>
      </c>
      <c r="B118" s="110" t="str">
        <f>IFERROR(HYPERLINK(VLOOKUP(A118,ÜRÜNLER!A:C,3,FALSE),VLOOKUP(A118,ÜRÜNLER!A:B,2,FALSE)),"")</f>
        <v>iQ500 Solo Bulaşık Makinesi, autoOpen dry, glassZone, Inox</v>
      </c>
      <c r="C118" s="8">
        <v>20</v>
      </c>
      <c r="D118" s="8"/>
      <c r="E118" s="9"/>
      <c r="F118" s="9">
        <v>1</v>
      </c>
      <c r="G118" s="9"/>
      <c r="H118" s="9"/>
      <c r="I118" s="10"/>
      <c r="J118" s="10"/>
      <c r="K118" s="9">
        <v>1</v>
      </c>
      <c r="L118" s="9"/>
      <c r="M118" s="10"/>
      <c r="N118" s="119">
        <f t="shared" ref="N118:N142" si="5">M118+K118+L118+J118+I118+H118+G118+F118+E118+D118+C118</f>
        <v>22</v>
      </c>
      <c r="O118" s="120">
        <v>1</v>
      </c>
      <c r="P118" s="68"/>
      <c r="Q118" s="126">
        <v>39598.508002816263</v>
      </c>
      <c r="R118" s="135">
        <v>36826.612442619124</v>
      </c>
      <c r="S118" s="11">
        <v>38299.676940323887</v>
      </c>
      <c r="T118" s="11">
        <v>39772.74143802865</v>
      </c>
      <c r="U118" s="122"/>
      <c r="V118" s="114"/>
      <c r="W118" s="127"/>
    </row>
    <row r="119" spans="1:26">
      <c r="A119" s="71" t="s">
        <v>113</v>
      </c>
      <c r="B119" s="110" t="str">
        <f>IFERROR(HYPERLINK(VLOOKUP(A119,ÜRÜNLER!A:C,3,FALSE),VLOOKUP(A119,ÜRÜNLER!A:B,2,FALSE)),"")</f>
        <v>iQ500 Solo Bulaşık Makinesi, autoOpen dry, glassZone, darkSteel</v>
      </c>
      <c r="C119" s="8">
        <v>112</v>
      </c>
      <c r="D119" s="8"/>
      <c r="E119" s="9"/>
      <c r="F119" s="9">
        <v>2</v>
      </c>
      <c r="G119" s="9"/>
      <c r="H119" s="9"/>
      <c r="I119" s="10">
        <v>1</v>
      </c>
      <c r="J119" s="10">
        <v>1</v>
      </c>
      <c r="K119" s="9"/>
      <c r="L119" s="9"/>
      <c r="M119" s="10">
        <v>1</v>
      </c>
      <c r="N119" s="119">
        <f t="shared" si="5"/>
        <v>117</v>
      </c>
      <c r="O119" s="120">
        <v>1</v>
      </c>
      <c r="P119" s="68"/>
      <c r="Q119" s="126">
        <v>41560.499949914731</v>
      </c>
      <c r="R119" s="135">
        <v>38651.264953420701</v>
      </c>
      <c r="S119" s="11">
        <v>40197.315551557527</v>
      </c>
      <c r="T119" s="11">
        <v>41743.366149694361</v>
      </c>
      <c r="U119" s="122"/>
      <c r="V119" s="114"/>
      <c r="W119" s="127"/>
    </row>
    <row r="120" spans="1:26">
      <c r="A120" s="15" t="s">
        <v>111</v>
      </c>
      <c r="B120" s="110" t="str">
        <f>IFERROR(HYPERLINK(VLOOKUP(A120,ÜRÜNLER!A:C,3,FALSE),VLOOKUP(A120,ÜRÜNLER!A:B,2,FALSE)),"")</f>
        <v>iQ500 Solo Bulaşık Makinesi, autoOpen dry, glassZone, Beyaz</v>
      </c>
      <c r="C120" s="8">
        <v>46</v>
      </c>
      <c r="D120" s="8"/>
      <c r="E120" s="9"/>
      <c r="F120" s="9">
        <v>1</v>
      </c>
      <c r="G120" s="9"/>
      <c r="H120" s="9"/>
      <c r="I120" s="10"/>
      <c r="J120" s="10"/>
      <c r="K120" s="9"/>
      <c r="L120" s="9"/>
      <c r="M120" s="10"/>
      <c r="N120" s="119">
        <f t="shared" si="5"/>
        <v>47</v>
      </c>
      <c r="O120" s="120"/>
      <c r="P120" s="68"/>
      <c r="Q120" s="126">
        <v>36919.657672117362</v>
      </c>
      <c r="R120" s="135">
        <v>34335.28163506915</v>
      </c>
      <c r="S120" s="11">
        <v>35708.692900471913</v>
      </c>
      <c r="T120" s="11">
        <v>37082.104165874684</v>
      </c>
      <c r="U120" s="122"/>
      <c r="V120" s="114"/>
      <c r="W120" s="127"/>
    </row>
    <row r="121" spans="1:26">
      <c r="A121" s="15" t="s">
        <v>114</v>
      </c>
      <c r="B121" s="110" t="str">
        <f>IFERROR(HYPERLINK(VLOOKUP(A121,ÜRÜNLER!A:C,3,FALSE),VLOOKUP(A121,ÜRÜNLER!A:B,2,FALSE)),"")</f>
        <v>iQ100 Solo Bulaşık Makinesi, Inox</v>
      </c>
      <c r="C121" s="8">
        <v>63</v>
      </c>
      <c r="D121" s="8"/>
      <c r="E121" s="9"/>
      <c r="F121" s="9">
        <v>2</v>
      </c>
      <c r="G121" s="9"/>
      <c r="H121" s="9"/>
      <c r="I121" s="10">
        <v>1</v>
      </c>
      <c r="J121" s="10">
        <v>1</v>
      </c>
      <c r="K121" s="9"/>
      <c r="L121" s="9">
        <v>1</v>
      </c>
      <c r="M121" s="10">
        <v>1</v>
      </c>
      <c r="N121" s="119">
        <f t="shared" si="5"/>
        <v>69</v>
      </c>
      <c r="O121" s="120"/>
      <c r="P121" s="148" t="s">
        <v>1545</v>
      </c>
      <c r="Q121" s="126">
        <v>28392.60538072262</v>
      </c>
      <c r="R121" s="126">
        <v>27000</v>
      </c>
      <c r="S121" s="11">
        <v>28080</v>
      </c>
      <c r="T121" s="11">
        <v>29160</v>
      </c>
      <c r="U121" s="122">
        <v>1206.5588690947116</v>
      </c>
      <c r="V121" s="114"/>
      <c r="W121" s="127"/>
    </row>
    <row r="122" spans="1:26">
      <c r="A122" s="15" t="s">
        <v>115</v>
      </c>
      <c r="B122" s="110" t="str">
        <f>IFERROR(HYPERLINK(VLOOKUP(A122,ÜRÜNLER!A:C,3,FALSE),VLOOKUP(A122,ÜRÜNLER!A:B,2,FALSE)),"")</f>
        <v>iQ100 Solo Bulaşık Makinesi, Beyaz</v>
      </c>
      <c r="C122" s="8">
        <v>19</v>
      </c>
      <c r="D122" s="8"/>
      <c r="E122" s="9"/>
      <c r="F122" s="9"/>
      <c r="G122" s="9"/>
      <c r="H122" s="9"/>
      <c r="I122" s="10">
        <v>1</v>
      </c>
      <c r="J122" s="10">
        <v>1</v>
      </c>
      <c r="K122" s="9">
        <v>1</v>
      </c>
      <c r="L122" s="9">
        <v>2</v>
      </c>
      <c r="M122" s="10"/>
      <c r="N122" s="119">
        <f t="shared" si="5"/>
        <v>24</v>
      </c>
      <c r="O122" s="120">
        <v>1</v>
      </c>
      <c r="P122" s="148" t="s">
        <v>1545</v>
      </c>
      <c r="Q122" s="126">
        <v>27155.374846273568</v>
      </c>
      <c r="R122" s="126">
        <v>26000</v>
      </c>
      <c r="S122" s="11">
        <v>27040</v>
      </c>
      <c r="T122" s="11">
        <v>28080</v>
      </c>
      <c r="U122" s="122">
        <v>2492.5841485991482</v>
      </c>
      <c r="V122" s="114"/>
      <c r="W122" s="127"/>
    </row>
    <row r="123" spans="1:26">
      <c r="A123" s="15" t="s">
        <v>125</v>
      </c>
      <c r="B123" s="110" t="str">
        <f>IFERROR(HYPERLINK(VLOOKUP(A123,ÜRÜNLER!A:C,3,FALSE),VLOOKUP(A123,ÜRÜNLER!A:B,2,FALSE)),"")</f>
        <v>iQ500 Solo Bulaşık Makinesi, autoOpen dry, Inox</v>
      </c>
      <c r="C123" s="8"/>
      <c r="D123" s="8"/>
      <c r="E123" s="9"/>
      <c r="F123" s="9"/>
      <c r="G123" s="9"/>
      <c r="H123" s="9"/>
      <c r="I123" s="10">
        <v>1</v>
      </c>
      <c r="J123" s="10"/>
      <c r="K123" s="9"/>
      <c r="L123" s="9"/>
      <c r="M123" s="10"/>
      <c r="N123" s="119">
        <f t="shared" si="5"/>
        <v>1</v>
      </c>
      <c r="O123" s="120"/>
      <c r="P123" s="68"/>
      <c r="Q123" s="121" t="s">
        <v>1788</v>
      </c>
      <c r="R123" s="129">
        <v>33624</v>
      </c>
      <c r="S123" s="11">
        <v>34968.959999999999</v>
      </c>
      <c r="T123" s="11">
        <v>36313.919999999998</v>
      </c>
      <c r="U123" s="122"/>
      <c r="V123" s="114">
        <v>7623.5399999999991</v>
      </c>
      <c r="W123" s="123">
        <v>1000</v>
      </c>
    </row>
    <row r="124" spans="1:26">
      <c r="A124" s="15" t="s">
        <v>126</v>
      </c>
      <c r="B124" s="110" t="str">
        <f>IFERROR(HYPERLINK(VLOOKUP(A124,ÜRÜNLER!A:C,3,FALSE),VLOOKUP(A124,ÜRÜNLER!A:B,2,FALSE)),"")</f>
        <v>iQ500 Solo Bulaşık Makinesi, autoOpen dry, Beyaz</v>
      </c>
      <c r="C124" s="8"/>
      <c r="D124" s="8"/>
      <c r="E124" s="9"/>
      <c r="F124" s="9"/>
      <c r="G124" s="9"/>
      <c r="H124" s="9"/>
      <c r="I124" s="10">
        <v>1</v>
      </c>
      <c r="J124" s="10">
        <v>1</v>
      </c>
      <c r="K124" s="9"/>
      <c r="L124" s="9">
        <v>2</v>
      </c>
      <c r="M124" s="10"/>
      <c r="N124" s="119">
        <f t="shared" si="5"/>
        <v>4</v>
      </c>
      <c r="O124" s="120"/>
      <c r="P124" s="68"/>
      <c r="Q124" s="121" t="s">
        <v>1788</v>
      </c>
      <c r="R124" s="146">
        <v>35377</v>
      </c>
      <c r="S124" s="11">
        <v>36792.080000000002</v>
      </c>
      <c r="T124" s="11">
        <v>38207.160000000003</v>
      </c>
      <c r="U124" s="122"/>
      <c r="V124" s="114">
        <v>7376.8919999999998</v>
      </c>
      <c r="W124" s="123">
        <v>1000</v>
      </c>
    </row>
    <row r="125" spans="1:26">
      <c r="A125" s="15" t="s">
        <v>116</v>
      </c>
      <c r="B125" s="110" t="str">
        <f>IFERROR(HYPERLINK(VLOOKUP(A125,ÜRÜNLER!A:C,3,FALSE),VLOOKUP(A125,ÜRÜNLER!A:B,2,FALSE)),"")</f>
        <v>iQ300 Solo Bulaşık Makinesi, autoOpen dry, Beyaz</v>
      </c>
      <c r="C125" s="8">
        <v>72</v>
      </c>
      <c r="D125" s="8"/>
      <c r="E125" s="9"/>
      <c r="F125" s="9">
        <v>3</v>
      </c>
      <c r="G125" s="9"/>
      <c r="H125" s="9"/>
      <c r="I125" s="10"/>
      <c r="J125" s="10"/>
      <c r="K125" s="9">
        <v>1</v>
      </c>
      <c r="L125" s="9"/>
      <c r="M125" s="10"/>
      <c r="N125" s="119">
        <f t="shared" si="5"/>
        <v>76</v>
      </c>
      <c r="O125" s="120">
        <v>1</v>
      </c>
      <c r="P125" s="68"/>
      <c r="Q125" s="126">
        <v>34609.794751972418</v>
      </c>
      <c r="R125" s="135">
        <v>32187.109119334349</v>
      </c>
      <c r="S125" s="11">
        <v>33474.593484107725</v>
      </c>
      <c r="T125" s="11">
        <v>34762.077848881097</v>
      </c>
      <c r="U125" s="122">
        <v>5307.4691705770683</v>
      </c>
      <c r="V125" s="114"/>
      <c r="W125" s="127"/>
    </row>
    <row r="126" spans="1:26">
      <c r="A126" s="78" t="s">
        <v>117</v>
      </c>
      <c r="B126" s="110" t="str">
        <f>IFERROR(HYPERLINK(VLOOKUP(A126,ÜRÜNLER!A:C,3,FALSE),VLOOKUP(A126,ÜRÜNLER!A:B,2,FALSE)),"")</f>
        <v>iQ500 Solo Bulaşık Makinesi, Üstten Sepetli, Siyah Cam</v>
      </c>
      <c r="C126" s="8"/>
      <c r="D126" s="8"/>
      <c r="E126" s="9"/>
      <c r="F126" s="9"/>
      <c r="G126" s="9"/>
      <c r="H126" s="9"/>
      <c r="I126" s="10"/>
      <c r="J126" s="10"/>
      <c r="K126" s="9"/>
      <c r="L126" s="9">
        <v>1</v>
      </c>
      <c r="M126" s="10"/>
      <c r="N126" s="119">
        <f t="shared" si="5"/>
        <v>1</v>
      </c>
      <c r="O126" s="120"/>
      <c r="P126" s="68"/>
      <c r="Q126" s="121" t="s">
        <v>1788</v>
      </c>
      <c r="R126" s="146">
        <v>44765</v>
      </c>
      <c r="S126" s="11">
        <v>46555.6</v>
      </c>
      <c r="T126" s="11">
        <v>48346.2</v>
      </c>
      <c r="U126" s="122">
        <v>765.47776519042975</v>
      </c>
      <c r="V126" s="114"/>
      <c r="W126" s="123">
        <v>1000</v>
      </c>
    </row>
    <row r="127" spans="1:26">
      <c r="A127" s="147" t="s">
        <v>118</v>
      </c>
      <c r="B127" s="110" t="str">
        <f>IFERROR(HYPERLINK(VLOOKUP(A127,ÜRÜNLER!A:C,3,FALSE),VLOOKUP(A127,ÜRÜNLER!A:B,2,FALSE)),"")</f>
        <v>iQ500 Solo Bulaşık Makinesi, Üstten Sepetli, Beyaz Cam</v>
      </c>
      <c r="C127" s="8">
        <v>1</v>
      </c>
      <c r="D127" s="8"/>
      <c r="E127" s="9"/>
      <c r="F127" s="9"/>
      <c r="G127" s="9"/>
      <c r="H127" s="9"/>
      <c r="I127" s="10"/>
      <c r="J127" s="10">
        <v>1</v>
      </c>
      <c r="K127" s="9"/>
      <c r="L127" s="9"/>
      <c r="M127" s="10"/>
      <c r="N127" s="119">
        <f t="shared" si="5"/>
        <v>2</v>
      </c>
      <c r="O127" s="120"/>
      <c r="P127" s="68"/>
      <c r="Q127" s="121" t="s">
        <v>1788</v>
      </c>
      <c r="R127" s="146">
        <v>43000</v>
      </c>
      <c r="S127" s="11">
        <v>44720</v>
      </c>
      <c r="T127" s="11">
        <v>46440</v>
      </c>
      <c r="U127" s="122">
        <v>765.47476309561171</v>
      </c>
      <c r="V127" s="114"/>
      <c r="W127" s="127"/>
    </row>
    <row r="128" spans="1:26">
      <c r="A128" s="175" t="s">
        <v>119</v>
      </c>
      <c r="B128" s="110" t="str">
        <f>IFERROR(HYPERLINK(VLOOKUP(A128,ÜRÜNLER!A:C,3,FALSE),VLOOKUP(A128,ÜRÜNLER!A:B,2,FALSE)),"")</f>
        <v>iQ500 Solo Bulaşık Makinesi, Üstten Sepetli, Antrasit Cam</v>
      </c>
      <c r="C128" s="8">
        <v>4</v>
      </c>
      <c r="D128" s="8"/>
      <c r="E128" s="9"/>
      <c r="F128" s="9"/>
      <c r="G128" s="9"/>
      <c r="H128" s="9"/>
      <c r="I128" s="10">
        <v>1</v>
      </c>
      <c r="J128" s="10"/>
      <c r="K128" s="9"/>
      <c r="L128" s="9">
        <v>1</v>
      </c>
      <c r="M128" s="10"/>
      <c r="N128" s="119">
        <f t="shared" si="5"/>
        <v>6</v>
      </c>
      <c r="O128" s="120"/>
      <c r="P128" s="68"/>
      <c r="Q128" s="126">
        <v>45858.498018909566</v>
      </c>
      <c r="R128" s="131">
        <v>45858.498018909566</v>
      </c>
      <c r="S128" s="11">
        <v>47692.837939665951</v>
      </c>
      <c r="T128" s="11">
        <v>49527.177860422329</v>
      </c>
      <c r="U128" s="122">
        <v>765.47476309561171</v>
      </c>
      <c r="V128" s="114"/>
      <c r="W128" s="127"/>
    </row>
    <row r="129" spans="1:25">
      <c r="A129" s="71" t="s">
        <v>120</v>
      </c>
      <c r="B129" s="110" t="str">
        <f>IFERROR(HYPERLINK(VLOOKUP(A129,ÜRÜNLER!A:C,3,FALSE),VLOOKUP(A129,ÜRÜNLER!A:B,2,FALSE)),"")</f>
        <v>iQ300 Solo Bulaşık Makinesi, Üstten Sepetli, darkSteel</v>
      </c>
      <c r="C129" s="8">
        <v>1</v>
      </c>
      <c r="D129" s="8"/>
      <c r="E129" s="9"/>
      <c r="F129" s="9"/>
      <c r="G129" s="9"/>
      <c r="H129" s="9"/>
      <c r="I129" s="10">
        <v>1</v>
      </c>
      <c r="J129" s="10">
        <v>1</v>
      </c>
      <c r="K129" s="9"/>
      <c r="L129" s="9">
        <v>1</v>
      </c>
      <c r="M129" s="10"/>
      <c r="N129" s="119">
        <f t="shared" si="5"/>
        <v>4</v>
      </c>
      <c r="O129" s="120"/>
      <c r="P129" s="68"/>
      <c r="Q129" s="121" t="s">
        <v>1788</v>
      </c>
      <c r="R129" s="146">
        <v>36000</v>
      </c>
      <c r="S129" s="11">
        <v>37440</v>
      </c>
      <c r="T129" s="11">
        <v>38880</v>
      </c>
      <c r="U129" s="122"/>
      <c r="V129" s="114"/>
      <c r="W129" s="123">
        <v>500</v>
      </c>
    </row>
    <row r="130" spans="1:25">
      <c r="A130" s="18" t="s">
        <v>121</v>
      </c>
      <c r="B130" s="110" t="str">
        <f>IFERROR(HYPERLINK(VLOOKUP(A130,ÜRÜNLER!A:C,3,FALSE),VLOOKUP(A130,ÜRÜNLER!A:B,2,FALSE)),"")</f>
        <v>iQ300 Solo Bulaşık Makinesi, Inox</v>
      </c>
      <c r="C130" s="8">
        <v>64</v>
      </c>
      <c r="D130" s="8"/>
      <c r="E130" s="9"/>
      <c r="F130" s="9"/>
      <c r="G130" s="9"/>
      <c r="H130" s="9"/>
      <c r="I130" s="10">
        <v>1</v>
      </c>
      <c r="J130" s="10">
        <v>1</v>
      </c>
      <c r="K130" s="9">
        <v>1</v>
      </c>
      <c r="L130" s="9">
        <v>1</v>
      </c>
      <c r="M130" s="10"/>
      <c r="N130" s="119">
        <f t="shared" si="5"/>
        <v>68</v>
      </c>
      <c r="O130" s="120">
        <v>1</v>
      </c>
      <c r="P130" s="137"/>
      <c r="Q130" s="126">
        <v>36240.481354441705</v>
      </c>
      <c r="R130" s="116">
        <v>34428.457286719618</v>
      </c>
      <c r="S130" s="11">
        <v>35805.595578188404</v>
      </c>
      <c r="T130" s="11">
        <v>37182.73386965719</v>
      </c>
      <c r="U130" s="122">
        <v>5961.4115869998423</v>
      </c>
      <c r="V130" s="114"/>
      <c r="W130" s="127"/>
    </row>
    <row r="131" spans="1:25">
      <c r="A131" s="18" t="s">
        <v>123</v>
      </c>
      <c r="B131" s="110" t="str">
        <f>IFERROR(HYPERLINK(VLOOKUP(A131,ÜRÜNLER!A:C,3,FALSE),VLOOKUP(A131,ÜRÜNLER!A:B,2,FALSE)),"")</f>
        <v>iQ300 Solo Bulaşık Makinesi, Beyaz</v>
      </c>
      <c r="C131" s="8">
        <v>122</v>
      </c>
      <c r="D131" s="8"/>
      <c r="E131" s="9"/>
      <c r="F131" s="9"/>
      <c r="G131" s="9"/>
      <c r="H131" s="9"/>
      <c r="I131" s="10">
        <v>2</v>
      </c>
      <c r="J131" s="10">
        <v>1</v>
      </c>
      <c r="K131" s="9">
        <v>1</v>
      </c>
      <c r="L131" s="9">
        <v>1</v>
      </c>
      <c r="M131" s="10">
        <v>1</v>
      </c>
      <c r="N131" s="119">
        <f t="shared" si="5"/>
        <v>128</v>
      </c>
      <c r="O131" s="120">
        <v>1</v>
      </c>
      <c r="P131" s="137"/>
      <c r="Q131" s="126">
        <v>33948.361891003922</v>
      </c>
      <c r="R131" s="135">
        <v>31571.976558633647</v>
      </c>
      <c r="S131" s="11">
        <v>32834.855620978989</v>
      </c>
      <c r="T131" s="11">
        <v>34097.734683324335</v>
      </c>
      <c r="U131" s="122">
        <v>5704.1758444922925</v>
      </c>
      <c r="V131" s="114"/>
      <c r="W131" s="127"/>
    </row>
    <row r="132" spans="1:25">
      <c r="A132" s="18" t="s">
        <v>122</v>
      </c>
      <c r="B132" s="110" t="str">
        <f>IFERROR(HYPERLINK(VLOOKUP(A132,ÜRÜNLER!A:C,3,FALSE),VLOOKUP(A132,ÜRÜNLER!A:B,2,FALSE)),"")</f>
        <v>iQ300 Solo Bulaşık Makinesi, Üstten Sepetli, Inox</v>
      </c>
      <c r="C132" s="8">
        <v>3</v>
      </c>
      <c r="D132" s="8"/>
      <c r="E132" s="9"/>
      <c r="F132" s="9">
        <v>1</v>
      </c>
      <c r="G132" s="9"/>
      <c r="H132" s="9"/>
      <c r="I132" s="10">
        <v>1</v>
      </c>
      <c r="J132" s="10">
        <v>1</v>
      </c>
      <c r="K132" s="9"/>
      <c r="L132" s="9">
        <v>1</v>
      </c>
      <c r="M132" s="10"/>
      <c r="N132" s="119">
        <f t="shared" si="5"/>
        <v>7</v>
      </c>
      <c r="O132" s="120"/>
      <c r="P132" s="68"/>
      <c r="Q132" s="121" t="s">
        <v>1788</v>
      </c>
      <c r="R132" s="116">
        <v>33000</v>
      </c>
      <c r="S132" s="11">
        <v>34320</v>
      </c>
      <c r="T132" s="11">
        <v>35640</v>
      </c>
      <c r="U132" s="122">
        <v>1300.6503648836806</v>
      </c>
      <c r="V132" s="114"/>
      <c r="W132" s="127"/>
    </row>
    <row r="133" spans="1:25">
      <c r="A133" s="15" t="s">
        <v>124</v>
      </c>
      <c r="B133" s="110" t="str">
        <f>IFERROR(HYPERLINK(VLOOKUP(A133,ÜRÜNLER!A:C,3,FALSE),VLOOKUP(A133,ÜRÜNLER!A:B,2,FALSE)),"")</f>
        <v>iQ300 Solo Bulaşık Makinesi, Üstten Sepetli, Beyaz</v>
      </c>
      <c r="C133" s="8">
        <v>7</v>
      </c>
      <c r="D133" s="8"/>
      <c r="E133" s="9"/>
      <c r="F133" s="9">
        <v>1</v>
      </c>
      <c r="G133" s="9"/>
      <c r="H133" s="9"/>
      <c r="I133" s="10">
        <v>1</v>
      </c>
      <c r="J133" s="10"/>
      <c r="K133" s="9">
        <v>1</v>
      </c>
      <c r="L133" s="9">
        <v>3</v>
      </c>
      <c r="M133" s="10"/>
      <c r="N133" s="119">
        <f t="shared" si="5"/>
        <v>13</v>
      </c>
      <c r="O133" s="120"/>
      <c r="P133" s="68"/>
      <c r="Q133" s="121" t="s">
        <v>1788</v>
      </c>
      <c r="R133" s="116">
        <v>31000</v>
      </c>
      <c r="S133" s="11">
        <v>32240</v>
      </c>
      <c r="T133" s="11">
        <v>33480</v>
      </c>
      <c r="U133" s="122">
        <v>1655.4598710930989</v>
      </c>
      <c r="V133" s="114"/>
      <c r="W133" s="127"/>
    </row>
    <row r="134" spans="1:25">
      <c r="A134" s="15" t="s">
        <v>127</v>
      </c>
      <c r="B134" s="110" t="str">
        <f>IFERROR(HYPERLINK(VLOOKUP(A134,ÜRÜNLER!A:C,3,FALSE),VLOOKUP(A134,ÜRÜNLER!A:B,2,FALSE)),"")</f>
        <v>iQ500 Solo Bulaşık Makinesi, autoOpen dry, Inox</v>
      </c>
      <c r="C134" s="8">
        <v>9</v>
      </c>
      <c r="D134" s="8"/>
      <c r="E134" s="9"/>
      <c r="F134" s="9">
        <v>4</v>
      </c>
      <c r="G134" s="9"/>
      <c r="H134" s="9"/>
      <c r="I134" s="10"/>
      <c r="J134" s="10">
        <v>1</v>
      </c>
      <c r="K134" s="9"/>
      <c r="L134" s="9"/>
      <c r="M134" s="10"/>
      <c r="N134" s="119">
        <f t="shared" si="5"/>
        <v>14</v>
      </c>
      <c r="O134" s="120">
        <v>1</v>
      </c>
      <c r="P134" s="68"/>
      <c r="Q134" s="126">
        <v>38700.70038666964</v>
      </c>
      <c r="R134" s="131">
        <v>38700.70038666964</v>
      </c>
      <c r="S134" s="11">
        <v>40248.728402136425</v>
      </c>
      <c r="T134" s="11">
        <v>41796.75641760321</v>
      </c>
      <c r="U134" s="122"/>
      <c r="V134" s="114"/>
      <c r="W134" s="127"/>
      <c r="Y134" s="124">
        <v>40600</v>
      </c>
    </row>
    <row r="135" spans="1:25">
      <c r="A135" s="15" t="s">
        <v>110</v>
      </c>
      <c r="B135" s="110" t="str">
        <f>IFERROR(HYPERLINK(VLOOKUP(A135,ÜRÜNLER!A:C,3,FALSE),VLOOKUP(A135,ÜRÜNLER!A:B,2,FALSE)),"")</f>
        <v>iQ500 Solo Bulaşık Makinesi, autoOpen dry, Üstten Sepetli, Inox</v>
      </c>
      <c r="C135" s="8">
        <v>18</v>
      </c>
      <c r="D135" s="8"/>
      <c r="E135" s="9"/>
      <c r="F135" s="9"/>
      <c r="G135" s="9"/>
      <c r="H135" s="9"/>
      <c r="I135" s="10"/>
      <c r="J135" s="10"/>
      <c r="K135" s="9"/>
      <c r="L135" s="9"/>
      <c r="M135" s="10"/>
      <c r="N135" s="119">
        <f t="shared" si="5"/>
        <v>18</v>
      </c>
      <c r="O135" s="120"/>
      <c r="P135" s="68"/>
      <c r="Q135" s="126">
        <v>40180.240789955569</v>
      </c>
      <c r="R135" s="131">
        <v>40180.240789955569</v>
      </c>
      <c r="S135" s="11">
        <v>41787.450421553789</v>
      </c>
      <c r="T135" s="11">
        <v>43394.660053152016</v>
      </c>
      <c r="U135" s="122"/>
      <c r="V135" s="114"/>
      <c r="W135" s="127"/>
      <c r="Y135" s="124">
        <v>42000</v>
      </c>
    </row>
    <row r="136" spans="1:25">
      <c r="A136" s="18" t="s">
        <v>129</v>
      </c>
      <c r="B136" s="110" t="str">
        <f>IFERROR(HYPERLINK(VLOOKUP(A136,ÜRÜNLER!A:C,3,FALSE),VLOOKUP(A136,ÜRÜNLER!A:B,2,FALSE)),"")</f>
        <v>iQ500 Solo Bulaşık Makinesi, autoOpen dry, Üstten Sepetli, Inox</v>
      </c>
      <c r="C136" s="8">
        <v>3</v>
      </c>
      <c r="D136" s="8"/>
      <c r="E136" s="9"/>
      <c r="F136" s="9">
        <v>1</v>
      </c>
      <c r="G136" s="9"/>
      <c r="H136" s="9"/>
      <c r="I136" s="10">
        <v>1</v>
      </c>
      <c r="J136" s="10"/>
      <c r="K136" s="9"/>
      <c r="L136" s="9">
        <v>1</v>
      </c>
      <c r="M136" s="10"/>
      <c r="N136" s="119">
        <f t="shared" si="5"/>
        <v>6</v>
      </c>
      <c r="O136" s="120">
        <v>16</v>
      </c>
      <c r="P136" s="68"/>
      <c r="Q136" s="126">
        <v>46240.767259781307</v>
      </c>
      <c r="R136" s="116">
        <v>43928.728896792243</v>
      </c>
      <c r="S136" s="11">
        <v>45685.878052663931</v>
      </c>
      <c r="T136" s="11">
        <v>47443.027208535626</v>
      </c>
      <c r="U136" s="122"/>
      <c r="V136" s="114"/>
      <c r="W136" s="127"/>
      <c r="Y136" s="124"/>
    </row>
    <row r="137" spans="1:25">
      <c r="A137" s="18" t="s">
        <v>130</v>
      </c>
      <c r="B137" s="110" t="str">
        <f>IFERROR(HYPERLINK(VLOOKUP(A137,ÜRÜNLER!A:C,3,FALSE),VLOOKUP(A137,ÜRÜNLER!A:B,2,FALSE)),"")</f>
        <v>iQ500 Solo Bulaşık Makinesi, autoOpen dry, glassZone, Inox</v>
      </c>
      <c r="C137" s="8"/>
      <c r="D137" s="8"/>
      <c r="E137" s="9"/>
      <c r="F137" s="9"/>
      <c r="G137" s="9"/>
      <c r="H137" s="9"/>
      <c r="I137" s="10">
        <v>1</v>
      </c>
      <c r="J137" s="10"/>
      <c r="K137" s="9"/>
      <c r="L137" s="9"/>
      <c r="M137" s="10">
        <v>1</v>
      </c>
      <c r="N137" s="119">
        <f t="shared" si="5"/>
        <v>2</v>
      </c>
      <c r="O137" s="120"/>
      <c r="P137" s="68"/>
      <c r="Q137" s="121" t="s">
        <v>1788</v>
      </c>
      <c r="R137" s="146">
        <v>49000</v>
      </c>
      <c r="S137" s="11">
        <v>50960</v>
      </c>
      <c r="T137" s="11">
        <v>52920</v>
      </c>
      <c r="U137" s="122"/>
      <c r="V137" s="114"/>
      <c r="W137" s="123">
        <v>1000</v>
      </c>
      <c r="Y137" s="124"/>
    </row>
    <row r="138" spans="1:25">
      <c r="A138" s="14" t="s">
        <v>133</v>
      </c>
      <c r="B138" s="110" t="str">
        <f>IFERROR(HYPERLINK(VLOOKUP(A138,ÜRÜNLER!A:C,3,FALSE),VLOOKUP(A138,ÜRÜNLER!A:B,2,FALSE)),"")</f>
        <v>iQ500 Solo Bulaşık Makinesi, autoOpen dry, glassZone, Üstten Sepetli, Inox</v>
      </c>
      <c r="C138" s="8">
        <v>6</v>
      </c>
      <c r="D138" s="8"/>
      <c r="E138" s="9"/>
      <c r="F138" s="9"/>
      <c r="G138" s="9"/>
      <c r="H138" s="9"/>
      <c r="I138" s="10"/>
      <c r="J138" s="10"/>
      <c r="K138" s="9"/>
      <c r="L138" s="9"/>
      <c r="M138" s="10"/>
      <c r="N138" s="119">
        <f t="shared" si="5"/>
        <v>6</v>
      </c>
      <c r="O138" s="120"/>
      <c r="P138" s="68"/>
      <c r="Q138" s="126">
        <v>54303.594860370264</v>
      </c>
      <c r="R138" s="116">
        <v>51588.415117351753</v>
      </c>
      <c r="S138" s="11">
        <v>53651.951722045822</v>
      </c>
      <c r="T138" s="11">
        <v>55715.488326739891</v>
      </c>
      <c r="U138" s="122"/>
      <c r="V138" s="114"/>
      <c r="W138" s="127"/>
      <c r="Y138" s="124"/>
    </row>
    <row r="139" spans="1:25">
      <c r="A139" s="15" t="s">
        <v>128</v>
      </c>
      <c r="B139" s="110" t="str">
        <f>IFERROR(HYPERLINK(VLOOKUP(A139,ÜRÜNLER!A:C,3,FALSE),VLOOKUP(A139,ÜRÜNLER!A:B,2,FALSE)),"")</f>
        <v>iQ500 Solo Bulaşık Makinesi, autoOpen dry, Beyaz</v>
      </c>
      <c r="C139" s="8">
        <v>3</v>
      </c>
      <c r="D139" s="8"/>
      <c r="E139" s="9"/>
      <c r="F139" s="9"/>
      <c r="G139" s="9"/>
      <c r="H139" s="9"/>
      <c r="I139" s="10">
        <v>1</v>
      </c>
      <c r="J139" s="10"/>
      <c r="K139" s="9"/>
      <c r="L139" s="9"/>
      <c r="M139" s="10"/>
      <c r="N139" s="119">
        <f t="shared" si="5"/>
        <v>4</v>
      </c>
      <c r="O139" s="120">
        <v>2</v>
      </c>
      <c r="P139" s="68"/>
      <c r="Q139" s="126">
        <v>36941.986573765011</v>
      </c>
      <c r="R139" s="131">
        <v>36941.986573765011</v>
      </c>
      <c r="S139" s="11">
        <v>38419.666036715615</v>
      </c>
      <c r="T139" s="11">
        <v>39897.345499666211</v>
      </c>
      <c r="U139" s="122">
        <v>639.66099236965965</v>
      </c>
      <c r="V139" s="114"/>
      <c r="W139" s="127"/>
      <c r="Y139" s="124">
        <v>36800</v>
      </c>
    </row>
    <row r="140" spans="1:25">
      <c r="A140" s="15" t="s">
        <v>131</v>
      </c>
      <c r="B140" s="110" t="str">
        <f>IFERROR(HYPERLINK(VLOOKUP(A140,ÜRÜNLER!A:C,3,FALSE),VLOOKUP(A140,ÜRÜNLER!A:B,2,FALSE)),"")</f>
        <v>iQ500 Solo Bulaşık Makinesi, autoOpen dry, Üstten Sepetli, Beyaz</v>
      </c>
      <c r="C140" s="8"/>
      <c r="D140" s="8"/>
      <c r="E140" s="9"/>
      <c r="F140" s="9">
        <v>1</v>
      </c>
      <c r="G140" s="9"/>
      <c r="H140" s="9"/>
      <c r="I140" s="10"/>
      <c r="J140" s="10"/>
      <c r="K140" s="9"/>
      <c r="L140" s="9"/>
      <c r="M140" s="10"/>
      <c r="N140" s="119">
        <f t="shared" si="5"/>
        <v>1</v>
      </c>
      <c r="O140" s="120"/>
      <c r="P140" s="68"/>
      <c r="Q140" s="121" t="s">
        <v>1788</v>
      </c>
      <c r="R140" s="146">
        <v>43000</v>
      </c>
      <c r="S140" s="11">
        <v>44720</v>
      </c>
      <c r="T140" s="11">
        <v>46440</v>
      </c>
      <c r="U140" s="122"/>
      <c r="V140" s="114"/>
      <c r="W140" s="149">
        <v>1000</v>
      </c>
    </row>
    <row r="141" spans="1:25">
      <c r="A141" s="15" t="s">
        <v>132</v>
      </c>
      <c r="B141" s="110" t="str">
        <f>IFERROR(HYPERLINK(VLOOKUP(A141,ÜRÜNLER!A:C,3,FALSE),VLOOKUP(A141,ÜRÜNLER!A:B,2,FALSE)),"")</f>
        <v>iQ500 Solo Bulaşık Makinesi, Üstten Sepetli, Beyaz</v>
      </c>
      <c r="C141" s="8"/>
      <c r="D141" s="8"/>
      <c r="E141" s="9"/>
      <c r="F141" s="9"/>
      <c r="G141" s="9"/>
      <c r="H141" s="9"/>
      <c r="I141" s="10"/>
      <c r="J141" s="10">
        <v>1</v>
      </c>
      <c r="K141" s="9"/>
      <c r="L141" s="9"/>
      <c r="M141" s="10"/>
      <c r="N141" s="119">
        <f t="shared" si="5"/>
        <v>1</v>
      </c>
      <c r="O141" s="120"/>
      <c r="P141" s="68"/>
      <c r="Q141" s="121" t="s">
        <v>1788</v>
      </c>
      <c r="R141" s="114">
        <v>44000</v>
      </c>
      <c r="S141" s="11">
        <v>45760</v>
      </c>
      <c r="T141" s="11">
        <v>47520</v>
      </c>
      <c r="U141" s="122"/>
      <c r="V141" s="114"/>
      <c r="W141" s="149">
        <v>1000</v>
      </c>
    </row>
    <row r="142" spans="1:25">
      <c r="A142" s="18" t="s">
        <v>134</v>
      </c>
      <c r="B142" s="110" t="str">
        <f>IFERROR(HYPERLINK(VLOOKUP(A142,ÜRÜNLER!A:C,3,FALSE),VLOOKUP(A142,ÜRÜNLER!A:B,2,FALSE)),"")</f>
        <v>iQ700 Solo Bulaşık Makinesi, Zeolith dry, glassZone, Inox</v>
      </c>
      <c r="C142" s="8">
        <v>26</v>
      </c>
      <c r="D142" s="8"/>
      <c r="E142" s="9"/>
      <c r="F142" s="9">
        <v>1</v>
      </c>
      <c r="G142" s="9"/>
      <c r="H142" s="9"/>
      <c r="I142" s="10">
        <v>1</v>
      </c>
      <c r="J142" s="10">
        <v>1</v>
      </c>
      <c r="K142" s="9">
        <v>1</v>
      </c>
      <c r="L142" s="9">
        <v>1</v>
      </c>
      <c r="M142" s="10">
        <v>1</v>
      </c>
      <c r="N142" s="119">
        <f t="shared" si="5"/>
        <v>32</v>
      </c>
      <c r="O142" s="120">
        <v>1</v>
      </c>
      <c r="P142" s="137"/>
      <c r="Q142" s="126">
        <v>58596.057623159752</v>
      </c>
      <c r="R142" s="135">
        <v>54494.333589538568</v>
      </c>
      <c r="S142" s="11">
        <v>56674.106933120114</v>
      </c>
      <c r="T142" s="11">
        <v>58853.880276701653</v>
      </c>
      <c r="U142" s="122"/>
      <c r="V142" s="114"/>
      <c r="W142" s="130"/>
    </row>
    <row r="143" spans="1:25" s="20" customFormat="1" ht="30">
      <c r="A143" s="19" t="s">
        <v>1548</v>
      </c>
      <c r="B143" s="110" t="str">
        <f>IFERROR(HYPERLINK(VLOOKUP(A143,ÜRÜNLER!A:C,3,FALSE),VLOOKUP(A143,ÜRÜNLER!A:B,2,FALSE)),"")</f>
        <v/>
      </c>
      <c r="C143" s="8"/>
      <c r="D143" s="8"/>
      <c r="E143" s="9"/>
      <c r="F143" s="9"/>
      <c r="G143" s="9"/>
      <c r="H143" s="9"/>
      <c r="I143" s="10"/>
      <c r="J143" s="10"/>
      <c r="K143" s="9"/>
      <c r="L143" s="9"/>
      <c r="M143" s="10"/>
      <c r="N143" s="119">
        <f>SUM(N118:N142)</f>
        <v>673</v>
      </c>
      <c r="O143" s="120"/>
      <c r="P143" s="68"/>
      <c r="Q143" s="121"/>
      <c r="R143" s="127"/>
      <c r="S143" s="11"/>
      <c r="T143" s="11"/>
      <c r="U143" s="122"/>
      <c r="V143" s="114"/>
      <c r="W143" s="127"/>
      <c r="X143" s="124"/>
    </row>
    <row r="144" spans="1:25">
      <c r="A144" s="74" t="s">
        <v>470</v>
      </c>
      <c r="B144" s="110" t="str">
        <f>IFERROR(HYPERLINK(VLOOKUP(A144,ÜRÜNLER!A:C,3,FALSE),VLOOKUP(A144,ÜRÜNLER!A:B,2,FALSE)),"")</f>
        <v>iQ500 Tezgah Altı Ankastre Kapaklı Bulaşık Makinesi, autoOpen dry, timeLight, 3 Sepetli, Siyah Cam</v>
      </c>
      <c r="C144" s="8">
        <v>22</v>
      </c>
      <c r="D144" s="8"/>
      <c r="E144" s="9"/>
      <c r="F144" s="9"/>
      <c r="G144" s="9"/>
      <c r="H144" s="9"/>
      <c r="I144" s="10">
        <v>1</v>
      </c>
      <c r="J144" s="10"/>
      <c r="K144" s="9">
        <v>1</v>
      </c>
      <c r="L144" s="9"/>
      <c r="M144" s="10"/>
      <c r="N144" s="119">
        <f t="shared" ref="N144:N164" si="6">M144+K144+L144+J144+I144+H144+G144+F144+E144+D144+C144</f>
        <v>24</v>
      </c>
      <c r="O144" s="120">
        <v>1</v>
      </c>
      <c r="P144" s="68"/>
      <c r="Q144" s="126">
        <v>44436.132617510397</v>
      </c>
      <c r="R144" s="116">
        <v>42214.325986634874</v>
      </c>
      <c r="S144" s="11">
        <v>43902.899026100269</v>
      </c>
      <c r="T144" s="11">
        <v>45591.472065565664</v>
      </c>
      <c r="V144" s="114"/>
      <c r="W144" s="127"/>
      <c r="Y144" s="122" t="s">
        <v>1807</v>
      </c>
    </row>
    <row r="145" spans="1:25">
      <c r="A145" s="74" t="s">
        <v>471</v>
      </c>
      <c r="B145" s="110" t="str">
        <f>IFERROR(HYPERLINK(VLOOKUP(A145,ÜRÜNLER!A:C,3,FALSE),VLOOKUP(A145,ÜRÜNLER!A:B,2,FALSE)),"")</f>
        <v>iQ500 Tezgah Altı Ankastre Kapaklı Bulaşık Makinesi, autoOpen dry, timeLight, 3 Sepetli, Antrasit Cam</v>
      </c>
      <c r="C145" s="8">
        <v>11</v>
      </c>
      <c r="D145" s="8"/>
      <c r="E145" s="9"/>
      <c r="F145" s="9"/>
      <c r="G145" s="9"/>
      <c r="H145" s="9"/>
      <c r="I145" s="10"/>
      <c r="J145" s="10"/>
      <c r="K145" s="9"/>
      <c r="L145" s="9"/>
      <c r="M145" s="10"/>
      <c r="N145" s="119">
        <f t="shared" si="6"/>
        <v>11</v>
      </c>
      <c r="O145" s="120">
        <v>1</v>
      </c>
      <c r="P145" s="68"/>
      <c r="Q145" s="126">
        <v>44436.132617510397</v>
      </c>
      <c r="R145" s="116">
        <v>42214.325986634874</v>
      </c>
      <c r="S145" s="11">
        <v>43902.899026100269</v>
      </c>
      <c r="T145" s="11">
        <v>45591.472065565664</v>
      </c>
      <c r="V145" s="114"/>
      <c r="W145" s="127"/>
      <c r="Y145" s="122" t="s">
        <v>1807</v>
      </c>
    </row>
    <row r="146" spans="1:25">
      <c r="A146" s="74" t="s">
        <v>137</v>
      </c>
      <c r="B146" s="110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/>
      <c r="G146" s="9"/>
      <c r="H146" s="9"/>
      <c r="I146" s="10">
        <v>1</v>
      </c>
      <c r="J146" s="10"/>
      <c r="K146" s="9"/>
      <c r="L146" s="9"/>
      <c r="M146" s="10"/>
      <c r="N146" s="119">
        <f t="shared" si="6"/>
        <v>1</v>
      </c>
      <c r="O146" s="120"/>
      <c r="P146" s="68"/>
      <c r="Q146" s="121" t="s">
        <v>1788</v>
      </c>
      <c r="R146" s="114">
        <v>20000</v>
      </c>
      <c r="S146" s="11">
        <v>20800</v>
      </c>
      <c r="T146" s="11">
        <v>21600</v>
      </c>
      <c r="U146" s="122"/>
      <c r="V146" s="114"/>
      <c r="W146" s="123">
        <v>500</v>
      </c>
    </row>
    <row r="147" spans="1:25">
      <c r="A147" s="74" t="s">
        <v>136</v>
      </c>
      <c r="B147" s="110" t="str">
        <f>IFERROR(HYPERLINK(VLOOKUP(A147,ÜRÜNLER!A:C,3,FALSE),VLOOKUP(A147,ÜRÜNLER!A:B,2,FALSE)),"")</f>
        <v>iQ100 Yarı Ankastre Bulaşık Makinesi, Beyaz</v>
      </c>
      <c r="C147" s="8"/>
      <c r="D147" s="8"/>
      <c r="E147" s="9"/>
      <c r="F147" s="9">
        <v>1</v>
      </c>
      <c r="G147" s="9">
        <v>1</v>
      </c>
      <c r="H147" s="9"/>
      <c r="I147" s="10"/>
      <c r="J147" s="10"/>
      <c r="K147" s="9"/>
      <c r="L147" s="9"/>
      <c r="M147" s="10"/>
      <c r="N147" s="119">
        <f t="shared" si="6"/>
        <v>2</v>
      </c>
      <c r="O147" s="120"/>
      <c r="P147" s="68"/>
      <c r="Q147" s="121" t="s">
        <v>1788</v>
      </c>
      <c r="R147" s="114">
        <v>22140</v>
      </c>
      <c r="S147" s="11">
        <v>23025.599999999999</v>
      </c>
      <c r="T147" s="11">
        <v>23911.200000000001</v>
      </c>
      <c r="U147" s="122"/>
      <c r="V147" s="114">
        <v>2139.9119999999998</v>
      </c>
      <c r="W147" s="123">
        <v>500</v>
      </c>
    </row>
    <row r="148" spans="1:25">
      <c r="A148" s="74" t="s">
        <v>1779</v>
      </c>
      <c r="B148" s="110" t="str">
        <f>IFERROR(HYPERLINK(VLOOKUP(A148,ÜRÜNLER!A:C,3,FALSE),VLOOKUP(A148,ÜRÜNLER!A:B,2,FALSE)),"")</f>
        <v>iQ300 Yarı Ankastre Bulaşık Makinesi, Siyah/Inox</v>
      </c>
      <c r="C148" s="8">
        <v>3</v>
      </c>
      <c r="D148" s="8"/>
      <c r="E148" s="9"/>
      <c r="F148" s="9"/>
      <c r="G148" s="9"/>
      <c r="H148" s="9"/>
      <c r="I148" s="10"/>
      <c r="J148" s="10"/>
      <c r="K148" s="9"/>
      <c r="L148" s="9"/>
      <c r="M148" s="10"/>
      <c r="N148" s="119">
        <f t="shared" si="6"/>
        <v>3</v>
      </c>
      <c r="O148" s="120"/>
      <c r="P148" s="68"/>
      <c r="Q148" s="126">
        <v>36719.514204545456</v>
      </c>
      <c r="R148" s="116">
        <v>34883.538494318185</v>
      </c>
      <c r="S148" s="11">
        <v>36278.880034090915</v>
      </c>
      <c r="T148" s="11">
        <v>37674.221573863637</v>
      </c>
      <c r="U148" s="122"/>
      <c r="V148" s="114"/>
      <c r="W148" s="127"/>
    </row>
    <row r="149" spans="1:25">
      <c r="A149" s="74" t="s">
        <v>140</v>
      </c>
      <c r="B149" s="110" t="str">
        <f>IFERROR(HYPERLINK(VLOOKUP(A149,ÜRÜNLER!A:C,3,FALSE),VLOOKUP(A149,ÜRÜNLER!A:B,2,FALSE)),"")</f>
        <v>iQ300 Yarı Ankastre Bulaşık Makinesi, Siyah/Inox</v>
      </c>
      <c r="C149" s="8">
        <v>6</v>
      </c>
      <c r="D149" s="8"/>
      <c r="E149" s="9"/>
      <c r="F149" s="9"/>
      <c r="G149" s="9"/>
      <c r="H149" s="9"/>
      <c r="I149" s="10"/>
      <c r="J149" s="10"/>
      <c r="K149" s="9">
        <v>1</v>
      </c>
      <c r="L149" s="9"/>
      <c r="M149" s="10">
        <v>1</v>
      </c>
      <c r="N149" s="119">
        <f t="shared" si="6"/>
        <v>8</v>
      </c>
      <c r="O149" s="120">
        <v>11</v>
      </c>
      <c r="P149" s="68"/>
      <c r="Q149" s="126">
        <v>34746.625638432444</v>
      </c>
      <c r="R149" s="116">
        <v>33009.294356510822</v>
      </c>
      <c r="S149" s="11">
        <v>34329.666130771257</v>
      </c>
      <c r="T149" s="11">
        <v>35650.037905031684</v>
      </c>
      <c r="U149" s="122"/>
      <c r="V149" s="114"/>
      <c r="W149" s="127"/>
    </row>
    <row r="150" spans="1:25">
      <c r="A150" s="14" t="s">
        <v>138</v>
      </c>
      <c r="B150" s="110" t="str">
        <f>IFERROR(HYPERLINK(VLOOKUP(A150,ÜRÜNLER!A:C,3,FALSE),VLOOKUP(A150,ÜRÜNLER!A:B,2,FALSE)),"")</f>
        <v>iQ500 Yarı Ankastre Bulaşık Makinesi, Üstten Sepetli, Inox</v>
      </c>
      <c r="C150" s="8">
        <v>11</v>
      </c>
      <c r="D150" s="8"/>
      <c r="E150" s="9"/>
      <c r="F150" s="9">
        <v>1</v>
      </c>
      <c r="G150" s="9"/>
      <c r="H150" s="9"/>
      <c r="I150" s="10">
        <v>1</v>
      </c>
      <c r="J150" s="10">
        <v>1</v>
      </c>
      <c r="K150" s="9"/>
      <c r="L150" s="9">
        <v>1</v>
      </c>
      <c r="M150" s="10"/>
      <c r="N150" s="119">
        <f t="shared" si="6"/>
        <v>15</v>
      </c>
      <c r="O150" s="120">
        <v>1</v>
      </c>
      <c r="P150" s="68"/>
      <c r="Q150" s="126">
        <v>36384.545466601077</v>
      </c>
      <c r="R150" s="116">
        <v>34565.318193271021</v>
      </c>
      <c r="S150" s="11">
        <v>35947.930921001862</v>
      </c>
      <c r="T150" s="11">
        <v>37330.543648732702</v>
      </c>
      <c r="U150" s="122"/>
      <c r="V150" s="114"/>
      <c r="W150" s="127"/>
    </row>
    <row r="151" spans="1:25">
      <c r="A151" s="74" t="s">
        <v>139</v>
      </c>
      <c r="B151" s="110" t="str">
        <f>IFERROR(HYPERLINK(VLOOKUP(A151,ÜRÜNLER!A:C,3,FALSE),VLOOKUP(A151,ÜRÜNLER!A:B,2,FALSE)),"")</f>
        <v>iQ300 Yarı Ankastre Bulaşık Makinesi, Beyaz/Inox</v>
      </c>
      <c r="C151" s="8">
        <v>1</v>
      </c>
      <c r="D151" s="8"/>
      <c r="E151" s="9"/>
      <c r="F151" s="9"/>
      <c r="G151" s="9"/>
      <c r="H151" s="9"/>
      <c r="I151" s="10">
        <v>1</v>
      </c>
      <c r="J151" s="10">
        <v>1</v>
      </c>
      <c r="K151" s="9"/>
      <c r="L151" s="9"/>
      <c r="M151" s="10"/>
      <c r="N151" s="119">
        <f t="shared" si="6"/>
        <v>3</v>
      </c>
      <c r="O151" s="120"/>
      <c r="P151" s="68"/>
      <c r="Q151" s="121" t="s">
        <v>1788</v>
      </c>
      <c r="R151" s="146">
        <v>27756.046587678491</v>
      </c>
      <c r="S151" s="11">
        <v>28866.288451185632</v>
      </c>
      <c r="T151" s="11">
        <v>29976.530314692769</v>
      </c>
      <c r="U151" s="122"/>
      <c r="V151" s="114"/>
      <c r="W151" s="127"/>
    </row>
    <row r="152" spans="1:25">
      <c r="A152" s="77" t="s">
        <v>142</v>
      </c>
      <c r="B152" s="110" t="str">
        <f>IFERROR(HYPERLINK(VLOOKUP(A152,ÜRÜNLER!A:C,3,FALSE),VLOOKUP(A152,ÜRÜNLER!A:B,2,FALSE)),"")</f>
        <v>iQ500 Yarı Ankastre Bulaşık Makinesi, autoOpen dry, Siyah/Inox</v>
      </c>
      <c r="C152" s="8">
        <v>12</v>
      </c>
      <c r="D152" s="8"/>
      <c r="E152" s="9"/>
      <c r="F152" s="9">
        <v>2</v>
      </c>
      <c r="G152" s="9"/>
      <c r="H152" s="9"/>
      <c r="I152" s="10"/>
      <c r="J152" s="10"/>
      <c r="K152" s="9"/>
      <c r="L152" s="9">
        <v>1</v>
      </c>
      <c r="M152" s="10"/>
      <c r="N152" s="119">
        <f t="shared" si="6"/>
        <v>15</v>
      </c>
      <c r="O152" s="120"/>
      <c r="P152" s="68"/>
      <c r="Q152" s="126">
        <v>51145.09185598667</v>
      </c>
      <c r="R152" s="116">
        <v>48587.837263187335</v>
      </c>
      <c r="S152" s="11">
        <v>50531.350753714825</v>
      </c>
      <c r="T152" s="11">
        <v>52474.864244242322</v>
      </c>
      <c r="U152" s="122"/>
      <c r="V152" s="114"/>
      <c r="W152" s="127"/>
    </row>
    <row r="153" spans="1:25">
      <c r="A153" s="74" t="s">
        <v>143</v>
      </c>
      <c r="B153" s="110" t="str">
        <f>IFERROR(HYPERLINK(VLOOKUP(A153,ÜRÜNLER!A:C,3,FALSE),VLOOKUP(A153,ÜRÜNLER!A:B,2,FALSE)),"")</f>
        <v>iQ700 Yarı Ankastre Bulaşık Makinesi, Zeolith dry, Siyah/Inox</v>
      </c>
      <c r="C153" s="8"/>
      <c r="D153" s="8"/>
      <c r="E153" s="9"/>
      <c r="F153" s="9">
        <v>1</v>
      </c>
      <c r="G153" s="9"/>
      <c r="H153" s="9"/>
      <c r="I153" s="10"/>
      <c r="J153" s="10"/>
      <c r="K153" s="9"/>
      <c r="L153" s="9"/>
      <c r="M153" s="10"/>
      <c r="N153" s="119">
        <f t="shared" si="6"/>
        <v>1</v>
      </c>
      <c r="O153" s="120"/>
      <c r="P153" s="68"/>
      <c r="Q153" s="121" t="s">
        <v>1788</v>
      </c>
      <c r="R153" s="129">
        <v>50000</v>
      </c>
      <c r="S153" s="11">
        <v>52000</v>
      </c>
      <c r="T153" s="11">
        <v>54000</v>
      </c>
      <c r="U153" s="122"/>
      <c r="V153" s="114"/>
      <c r="W153" s="123">
        <v>500</v>
      </c>
    </row>
    <row r="154" spans="1:25">
      <c r="A154" s="77" t="s">
        <v>144</v>
      </c>
      <c r="B154" s="110" t="str">
        <f>IFERROR(HYPERLINK(VLOOKUP(A154,ÜRÜNLER!A:C,3,FALSE),VLOOKUP(A154,ÜRÜNLER!A:B,2,FALSE)),"")</f>
        <v>iQ700 Yarı Ankastre Bulaşık Makinesi, Zeolith dry, Siyah/Inox</v>
      </c>
      <c r="C154" s="8">
        <v>2</v>
      </c>
      <c r="D154" s="8"/>
      <c r="E154" s="9"/>
      <c r="F154" s="9"/>
      <c r="G154" s="9"/>
      <c r="H154" s="9"/>
      <c r="I154" s="10"/>
      <c r="J154" s="10"/>
      <c r="K154" s="9"/>
      <c r="L154" s="9"/>
      <c r="M154" s="10"/>
      <c r="N154" s="119">
        <f t="shared" si="6"/>
        <v>2</v>
      </c>
      <c r="O154" s="120">
        <v>1</v>
      </c>
      <c r="P154" s="68"/>
      <c r="Q154" s="126">
        <v>74149.383023688104</v>
      </c>
      <c r="R154" s="116">
        <v>70441.913872503705</v>
      </c>
      <c r="S154" s="11">
        <v>73259.590427403848</v>
      </c>
      <c r="T154" s="11">
        <v>76077.266982304005</v>
      </c>
      <c r="U154" s="122"/>
      <c r="V154" s="114"/>
      <c r="W154" s="127"/>
    </row>
    <row r="155" spans="1:25">
      <c r="A155" s="74" t="s">
        <v>145</v>
      </c>
      <c r="B155" s="110" t="str">
        <f>IFERROR(HYPERLINK(VLOOKUP(A155,ÜRÜNLER!A:C,3,FALSE),VLOOKUP(A155,ÜRÜNLER!A:B,2,FALSE)),"")</f>
        <v>iQ100 Tam Ankastre Bulaşık Makinesi</v>
      </c>
      <c r="C155" s="8">
        <v>7</v>
      </c>
      <c r="D155" s="8"/>
      <c r="E155" s="9"/>
      <c r="F155" s="9">
        <v>1</v>
      </c>
      <c r="G155" s="9"/>
      <c r="H155" s="9"/>
      <c r="I155" s="10">
        <v>1</v>
      </c>
      <c r="J155" s="10">
        <v>1</v>
      </c>
      <c r="K155" s="9"/>
      <c r="L155" s="9"/>
      <c r="M155" s="10"/>
      <c r="N155" s="119">
        <f t="shared" si="6"/>
        <v>10</v>
      </c>
      <c r="O155" s="120">
        <v>1</v>
      </c>
      <c r="P155" s="68"/>
      <c r="Q155" s="126">
        <v>36065.014908365629</v>
      </c>
      <c r="R155" s="116">
        <v>34261.764162947351</v>
      </c>
      <c r="S155" s="11">
        <v>35632.234729465243</v>
      </c>
      <c r="T155" s="11">
        <v>37002.705295983142</v>
      </c>
      <c r="U155" s="122"/>
      <c r="V155" s="114"/>
      <c r="W155" s="127"/>
    </row>
    <row r="156" spans="1:25">
      <c r="A156" s="78" t="s">
        <v>147</v>
      </c>
      <c r="B156" s="110" t="str">
        <f>IFERROR(HYPERLINK(VLOOKUP(A156,ÜRÜNLER!A:C,3,FALSE),VLOOKUP(A156,ÜRÜNLER!A:B,2,FALSE)),"")</f>
        <v>iQ500 Tam Ankastre Bulaşık Makinesi, Üstten Sepetli</v>
      </c>
      <c r="C156" s="8"/>
      <c r="D156" s="8"/>
      <c r="E156" s="9"/>
      <c r="F156" s="9"/>
      <c r="G156" s="9"/>
      <c r="H156" s="9"/>
      <c r="I156" s="10"/>
      <c r="J156" s="10"/>
      <c r="K156" s="9"/>
      <c r="L156" s="9"/>
      <c r="M156" s="10">
        <v>1</v>
      </c>
      <c r="N156" s="119">
        <f t="shared" si="6"/>
        <v>1</v>
      </c>
      <c r="O156" s="120"/>
      <c r="P156" s="68"/>
      <c r="Q156" s="121" t="s">
        <v>1788</v>
      </c>
      <c r="R156" s="114">
        <v>42000</v>
      </c>
      <c r="S156" s="11">
        <v>43680</v>
      </c>
      <c r="T156" s="11">
        <v>45360</v>
      </c>
      <c r="U156" s="122"/>
      <c r="V156" s="114"/>
      <c r="W156" s="123">
        <v>500</v>
      </c>
    </row>
    <row r="157" spans="1:25">
      <c r="A157" s="82" t="s">
        <v>1780</v>
      </c>
      <c r="B157" s="110" t="str">
        <f>IFERROR(HYPERLINK(VLOOKUP(A157,ÜRÜNLER!A:C,3,FALSE),VLOOKUP(A157,ÜRÜNLER!A:B,2,FALSE)),"")</f>
        <v>iQ500 Tam Ankastre Bulaşık Makinesi, Üstten Sepetli</v>
      </c>
      <c r="C157" s="8">
        <v>6</v>
      </c>
      <c r="D157" s="8"/>
      <c r="E157" s="9"/>
      <c r="F157" s="9"/>
      <c r="G157" s="9"/>
      <c r="H157" s="9"/>
      <c r="I157" s="10"/>
      <c r="J157" s="10"/>
      <c r="K157" s="9"/>
      <c r="L157" s="9"/>
      <c r="M157" s="10"/>
      <c r="N157" s="119">
        <f t="shared" si="6"/>
        <v>6</v>
      </c>
      <c r="O157" s="120"/>
      <c r="P157" s="68"/>
      <c r="Q157" s="126">
        <v>52048.208333333336</v>
      </c>
      <c r="R157" s="116">
        <v>49445.79791666667</v>
      </c>
      <c r="S157" s="11">
        <v>51423.62983333334</v>
      </c>
      <c r="T157" s="11">
        <v>53401.461750000002</v>
      </c>
      <c r="U157" s="122"/>
      <c r="V157" s="114"/>
      <c r="W157" s="127"/>
    </row>
    <row r="158" spans="1:25">
      <c r="A158" s="18" t="s">
        <v>1552</v>
      </c>
      <c r="B158" s="110" t="str">
        <f>IFERROR(HYPERLINK(VLOOKUP(A158,ÜRÜNLER!A:C,3,FALSE),VLOOKUP(A158,ÜRÜNLER!A:B,2,FALSE)),"")</f>
        <v>iQ500 Tam Ankastre Bulaşık Makinesi, autoOpen dry, glassZone, Üstten Sepetli</v>
      </c>
      <c r="C158" s="8">
        <v>1</v>
      </c>
      <c r="D158" s="8"/>
      <c r="E158" s="9"/>
      <c r="F158" s="9"/>
      <c r="G158" s="9"/>
      <c r="H158" s="9"/>
      <c r="I158" s="10"/>
      <c r="J158" s="10">
        <v>1</v>
      </c>
      <c r="K158" s="9"/>
      <c r="L158" s="9"/>
      <c r="M158" s="10"/>
      <c r="N158" s="119">
        <f t="shared" si="6"/>
        <v>2</v>
      </c>
      <c r="O158" s="120">
        <v>1</v>
      </c>
      <c r="P158" s="68"/>
      <c r="Q158" s="126">
        <v>59467.969729411772</v>
      </c>
      <c r="R158" s="116">
        <v>56494.57124294118</v>
      </c>
      <c r="S158" s="11">
        <v>58754.354092658825</v>
      </c>
      <c r="T158" s="11">
        <v>61014.13694237647</v>
      </c>
      <c r="U158" s="122"/>
      <c r="V158" s="114"/>
      <c r="W158" s="127"/>
    </row>
    <row r="159" spans="1:25">
      <c r="A159" s="14" t="s">
        <v>150</v>
      </c>
      <c r="B159" s="110" t="str">
        <f>IFERROR(HYPERLINK(VLOOKUP(A159,ÜRÜNLER!A:C,3,FALSE),VLOOKUP(A159,ÜRÜNLER!A:B,2,FALSE)),"")</f>
        <v>iQ500 studioLine Tam Ankastre Bulaşık Makinesi, autoOpen dry, glassZone</v>
      </c>
      <c r="C159" s="8"/>
      <c r="D159" s="8">
        <v>2</v>
      </c>
      <c r="E159" s="9"/>
      <c r="F159" s="9"/>
      <c r="G159" s="9"/>
      <c r="H159" s="9">
        <v>1</v>
      </c>
      <c r="I159" s="10"/>
      <c r="J159" s="10"/>
      <c r="K159" s="9"/>
      <c r="L159" s="9"/>
      <c r="M159" s="10"/>
      <c r="N159" s="119">
        <f t="shared" si="6"/>
        <v>3</v>
      </c>
      <c r="O159" s="120"/>
      <c r="P159" s="68"/>
      <c r="Q159" s="121" t="s">
        <v>1788</v>
      </c>
      <c r="R159" s="139">
        <v>80000</v>
      </c>
      <c r="S159" s="11">
        <v>83200</v>
      </c>
      <c r="T159" s="11">
        <v>86400</v>
      </c>
      <c r="U159" s="122"/>
      <c r="V159" s="114"/>
      <c r="W159" s="127">
        <v>250</v>
      </c>
    </row>
    <row r="160" spans="1:25">
      <c r="A160" s="14" t="s">
        <v>1503</v>
      </c>
      <c r="B160" s="110" t="str">
        <f>IFERROR(HYPERLINK(VLOOKUP(A160,ÜRÜNLER!A:C,3,FALSE),VLOOKUP(A160,ÜRÜNLER!A:B,2,FALSE)),"")</f>
        <v>iQ500 studioLine Tam Ankastre Bulaşık Makinesi, autoOpen dry, glassZone</v>
      </c>
      <c r="C160" s="8"/>
      <c r="D160" s="8">
        <v>2</v>
      </c>
      <c r="E160" s="9"/>
      <c r="F160" s="9"/>
      <c r="G160" s="9"/>
      <c r="H160" s="9"/>
      <c r="I160" s="10"/>
      <c r="J160" s="10"/>
      <c r="K160" s="9"/>
      <c r="L160" s="9"/>
      <c r="M160" s="10"/>
      <c r="N160" s="119">
        <f t="shared" si="6"/>
        <v>2</v>
      </c>
      <c r="O160" s="120"/>
      <c r="P160" s="68"/>
      <c r="Q160" s="141">
        <v>97469.161993155925</v>
      </c>
      <c r="R160" s="141">
        <v>87722.245793840324</v>
      </c>
      <c r="S160" s="11">
        <v>91231.135625593932</v>
      </c>
      <c r="T160" s="11">
        <v>94740.025457347554</v>
      </c>
      <c r="U160" s="122"/>
      <c r="V160" s="114"/>
      <c r="W160" s="127">
        <v>250</v>
      </c>
    </row>
    <row r="161" spans="1:24">
      <c r="A161" s="14" t="s">
        <v>149</v>
      </c>
      <c r="B161" s="110" t="str">
        <f>IFERROR(HYPERLINK(VLOOKUP(A161,ÜRÜNLER!A:C,3,FALSE),VLOOKUP(A161,ÜRÜNLER!A:B,2,FALSE)),"")</f>
        <v>iQ700 studioLine Tam Ankastre Bulaşık Makinesi, Zeolith dry, glassZone</v>
      </c>
      <c r="C161" s="8"/>
      <c r="D161" s="8">
        <v>3</v>
      </c>
      <c r="E161" s="9"/>
      <c r="F161" s="9"/>
      <c r="G161" s="9"/>
      <c r="H161" s="9"/>
      <c r="I161" s="10"/>
      <c r="J161" s="10"/>
      <c r="K161" s="9"/>
      <c r="L161" s="9"/>
      <c r="M161" s="10"/>
      <c r="N161" s="119">
        <f t="shared" si="6"/>
        <v>3</v>
      </c>
      <c r="O161" s="120"/>
      <c r="P161" s="68"/>
      <c r="Q161" s="141">
        <v>113981.44901922168</v>
      </c>
      <c r="R161" s="141">
        <v>102583.3041172995</v>
      </c>
      <c r="S161" s="11">
        <v>106686.63628199148</v>
      </c>
      <c r="T161" s="11">
        <v>110789.96844668346</v>
      </c>
      <c r="U161" s="122"/>
      <c r="V161" s="114"/>
      <c r="W161" s="127">
        <v>250</v>
      </c>
    </row>
    <row r="162" spans="1:24">
      <c r="A162" s="14" t="s">
        <v>151</v>
      </c>
      <c r="B162" s="110" t="str">
        <f>IFERROR(HYPERLINK(VLOOKUP(A162,ÜRÜNLER!A:C,3,FALSE),VLOOKUP(A162,ÜRÜNLER!A:B,2,FALSE)),"")</f>
        <v>iQ500 Tam Ankastre Bulaşık Makinesi, autoOpen dry, glassZone, XXL 86,5 - 92,5cm</v>
      </c>
      <c r="C162" s="8"/>
      <c r="D162" s="8"/>
      <c r="E162" s="9"/>
      <c r="F162" s="9"/>
      <c r="G162" s="9"/>
      <c r="H162" s="9"/>
      <c r="I162" s="10"/>
      <c r="J162" s="10">
        <v>1</v>
      </c>
      <c r="K162" s="9"/>
      <c r="L162" s="9">
        <v>1</v>
      </c>
      <c r="M162" s="10"/>
      <c r="N162" s="119">
        <f t="shared" si="6"/>
        <v>2</v>
      </c>
      <c r="O162" s="120"/>
      <c r="P162" s="68"/>
      <c r="Q162" s="121" t="s">
        <v>1788</v>
      </c>
      <c r="R162" s="146">
        <v>50000</v>
      </c>
      <c r="S162" s="11">
        <v>52000</v>
      </c>
      <c r="T162" s="11">
        <v>54000</v>
      </c>
      <c r="U162" s="122"/>
      <c r="V162" s="114"/>
      <c r="W162" s="123">
        <v>500</v>
      </c>
    </row>
    <row r="163" spans="1:24">
      <c r="A163" s="14" t="s">
        <v>1532</v>
      </c>
      <c r="B163" s="110" t="str">
        <f>IFERROR(HYPERLINK(VLOOKUP(A163,ÜRÜNLER!A:C,3,FALSE),VLOOKUP(A163,ÜRÜNLER!A:B,2,FALSE)),"")</f>
        <v>iQ500 Tam Ankastre Bulaşık Makinesi, autoOpen dry, glassZone, XXL 86,5 - 92,5cm</v>
      </c>
      <c r="C163" s="8">
        <v>3</v>
      </c>
      <c r="D163" s="8"/>
      <c r="E163" s="9"/>
      <c r="F163" s="9">
        <v>1</v>
      </c>
      <c r="G163" s="9"/>
      <c r="H163" s="9"/>
      <c r="I163" s="10"/>
      <c r="J163" s="10"/>
      <c r="K163" s="9"/>
      <c r="L163" s="9"/>
      <c r="M163" s="10"/>
      <c r="N163" s="119">
        <f t="shared" si="6"/>
        <v>4</v>
      </c>
      <c r="O163" s="120">
        <v>1</v>
      </c>
      <c r="P163" s="68"/>
      <c r="Q163" s="126">
        <v>60884.098552941185</v>
      </c>
      <c r="R163" s="116">
        <v>57839.893625294128</v>
      </c>
      <c r="S163" s="11">
        <v>60153.489370305891</v>
      </c>
      <c r="T163" s="11">
        <v>62467.085115317655</v>
      </c>
      <c r="U163" s="122"/>
      <c r="V163" s="114"/>
      <c r="W163" s="114"/>
    </row>
    <row r="164" spans="1:24">
      <c r="A164" s="14" t="s">
        <v>1487</v>
      </c>
      <c r="B164" s="110" t="str">
        <f>IFERROR(HYPERLINK(VLOOKUP(A164,ÜRÜNLER!A:C,3,FALSE),VLOOKUP(A164,ÜRÜNLER!A:B,2,FALSE)),"")</f>
        <v>Siemens Bulaşık Makinesi 3. Tepsi</v>
      </c>
      <c r="C164" s="8"/>
      <c r="D164" s="8">
        <v>14</v>
      </c>
      <c r="E164" s="9"/>
      <c r="F164" s="9"/>
      <c r="G164" s="9"/>
      <c r="H164" s="9"/>
      <c r="I164" s="10"/>
      <c r="J164" s="10"/>
      <c r="K164" s="9"/>
      <c r="L164" s="9"/>
      <c r="M164" s="10"/>
      <c r="N164" s="119">
        <f t="shared" si="6"/>
        <v>14</v>
      </c>
      <c r="O164" s="120"/>
      <c r="P164" s="68"/>
      <c r="Q164" s="121"/>
      <c r="R164" s="151">
        <v>1250</v>
      </c>
      <c r="S164" s="11">
        <v>1300</v>
      </c>
      <c r="T164" s="11">
        <v>1350</v>
      </c>
      <c r="U164" s="122"/>
      <c r="V164" s="114"/>
      <c r="W164" s="127"/>
    </row>
    <row r="165" spans="1:24" s="20" customFormat="1" ht="30">
      <c r="A165" s="19" t="s">
        <v>152</v>
      </c>
      <c r="B165" s="110" t="str">
        <f>IFERROR(HYPERLINK(VLOOKUP(A165,ÜRÜNLER!A:C,3,FALSE),VLOOKUP(A165,ÜRÜNLER!A:B,2,FALSE)),"")</f>
        <v/>
      </c>
      <c r="C165" s="8"/>
      <c r="D165" s="8"/>
      <c r="E165" s="9"/>
      <c r="F165" s="9"/>
      <c r="G165" s="9"/>
      <c r="H165" s="9"/>
      <c r="I165" s="10"/>
      <c r="J165" s="10"/>
      <c r="K165" s="9"/>
      <c r="L165" s="9"/>
      <c r="M165" s="10"/>
      <c r="N165" s="119">
        <f>SUM(N144:N164)</f>
        <v>132</v>
      </c>
      <c r="O165" s="120"/>
      <c r="P165" s="68"/>
      <c r="Q165" s="121"/>
      <c r="R165" s="127"/>
      <c r="S165" s="11"/>
      <c r="T165" s="11"/>
      <c r="U165" s="122"/>
      <c r="V165" s="114"/>
      <c r="W165" s="127"/>
      <c r="X165" s="124"/>
    </row>
    <row r="166" spans="1:24">
      <c r="A166" s="79" t="s">
        <v>198</v>
      </c>
      <c r="B166" s="110" t="str">
        <f>IFERROR(HYPERLINK(VLOOKUP(A166,ÜRÜNLER!A:C,3,FALSE),VLOOKUP(A166,ÜRÜNLER!A:B,2,FALSE)),"")</f>
        <v>iQ700 Buhar Destekli Kompakt Ankastre Fırın, Siyah/Inox</v>
      </c>
      <c r="C166" s="8"/>
      <c r="D166" s="8"/>
      <c r="E166" s="9"/>
      <c r="F166" s="9">
        <v>1</v>
      </c>
      <c r="G166" s="9"/>
      <c r="H166" s="9"/>
      <c r="I166" s="10"/>
      <c r="J166" s="10"/>
      <c r="K166" s="9"/>
      <c r="L166" s="9"/>
      <c r="M166" s="10"/>
      <c r="N166" s="119">
        <f t="shared" ref="N166:N208" si="7">M166+K166+L166+J166+I166+H166+G166+F166+E166+D166+C166</f>
        <v>1</v>
      </c>
      <c r="O166" s="120"/>
      <c r="P166" s="68"/>
      <c r="Q166" s="121" t="s">
        <v>1788</v>
      </c>
      <c r="R166" s="114">
        <v>70000</v>
      </c>
      <c r="S166" s="11">
        <v>72800</v>
      </c>
      <c r="T166" s="11">
        <v>75600</v>
      </c>
      <c r="U166" s="122"/>
      <c r="V166" s="114"/>
      <c r="W166" s="123">
        <v>1000</v>
      </c>
    </row>
    <row r="167" spans="1:24">
      <c r="A167" s="79" t="s">
        <v>199</v>
      </c>
      <c r="B167" s="110" t="str">
        <f>IFERROR(HYPERLINK(VLOOKUP(A167,ÜRÜNLER!A:C,3,FALSE),VLOOKUP(A167,ÜRÜNLER!A:B,2,FALSE)),"")</f>
        <v>iQ700 Buhar Destekli Kompakt Ankastre Fırın, Siyah</v>
      </c>
      <c r="C167" s="8">
        <v>3</v>
      </c>
      <c r="D167" s="8"/>
      <c r="E167" s="9"/>
      <c r="F167" s="9"/>
      <c r="G167" s="9"/>
      <c r="H167" s="9"/>
      <c r="I167" s="10"/>
      <c r="J167" s="10"/>
      <c r="K167" s="9"/>
      <c r="L167" s="9"/>
      <c r="M167" s="10"/>
      <c r="N167" s="119">
        <f t="shared" si="7"/>
        <v>3</v>
      </c>
      <c r="O167" s="120"/>
      <c r="P167" s="68"/>
      <c r="Q167" s="126">
        <v>83684.840806879074</v>
      </c>
      <c r="R167" s="116">
        <v>79500.598766535113</v>
      </c>
      <c r="S167" s="11">
        <v>82680.622717196515</v>
      </c>
      <c r="T167" s="11">
        <v>85860.646667857916</v>
      </c>
      <c r="U167" s="122"/>
      <c r="V167" s="114"/>
      <c r="W167" s="127">
        <v>250</v>
      </c>
    </row>
    <row r="168" spans="1:24">
      <c r="A168" s="74" t="s">
        <v>197</v>
      </c>
      <c r="B168" s="110" t="str">
        <f>IFERROR(HYPERLINK(VLOOKUP(A168,ÜRÜNLER!A:C,3,FALSE),VLOOKUP(A168,ÜRÜNLER!A:B,2,FALSE)),"")</f>
        <v>iQ700 studioLine Mikrodalga Fonksiyonlu Kompakt Ankastre Fırın, Komple Kendini Temizler, Siyah</v>
      </c>
      <c r="C168" s="8"/>
      <c r="D168" s="8">
        <v>2</v>
      </c>
      <c r="E168" s="9"/>
      <c r="F168" s="9"/>
      <c r="G168" s="9"/>
      <c r="H168" s="9"/>
      <c r="I168" s="10"/>
      <c r="J168" s="10"/>
      <c r="K168" s="9"/>
      <c r="L168" s="9"/>
      <c r="M168" s="10"/>
      <c r="N168" s="119">
        <f t="shared" si="7"/>
        <v>2</v>
      </c>
      <c r="O168" s="120"/>
      <c r="P168" s="68"/>
      <c r="Q168" s="141">
        <v>182905.81785834834</v>
      </c>
      <c r="R168" s="141">
        <v>164615.23607251351</v>
      </c>
      <c r="S168" s="11">
        <v>171199.84551541405</v>
      </c>
      <c r="T168" s="11">
        <v>177784.4549583146</v>
      </c>
      <c r="U168" s="122"/>
      <c r="V168" s="114"/>
      <c r="W168" s="127">
        <v>250</v>
      </c>
    </row>
    <row r="169" spans="1:24">
      <c r="A169" s="74" t="s">
        <v>200</v>
      </c>
      <c r="B169" s="110" t="str">
        <f>IFERROR(HYPERLINK(VLOOKUP(A169,ÜRÜNLER!A:C,3,FALSE),VLOOKUP(A169,ÜRÜNLER!A:B,2,FALSE)),"")</f>
        <v>iQ700 studioLine Mikrodalga Fonksiyonlu Kompakt Ankastre Fırın, Arkası Kendini Temizler, Siyah</v>
      </c>
      <c r="C169" s="8"/>
      <c r="D169" s="8">
        <v>3</v>
      </c>
      <c r="E169" s="9"/>
      <c r="F169" s="9"/>
      <c r="G169" s="9"/>
      <c r="H169" s="9">
        <v>1</v>
      </c>
      <c r="I169" s="10"/>
      <c r="J169" s="10"/>
      <c r="K169" s="9"/>
      <c r="L169" s="9"/>
      <c r="M169" s="10"/>
      <c r="N169" s="119">
        <f t="shared" si="7"/>
        <v>4</v>
      </c>
      <c r="O169" s="120"/>
      <c r="P169" s="68"/>
      <c r="Q169" s="121" t="s">
        <v>1788</v>
      </c>
      <c r="R169" s="114">
        <v>120000</v>
      </c>
      <c r="S169" s="11">
        <v>124800</v>
      </c>
      <c r="T169" s="11">
        <v>129600</v>
      </c>
      <c r="U169" s="122"/>
      <c r="V169" s="114"/>
      <c r="W169" s="127">
        <v>250</v>
      </c>
    </row>
    <row r="170" spans="1:24">
      <c r="A170" s="77" t="s">
        <v>164</v>
      </c>
      <c r="B170" s="110" t="str">
        <f>IFERROR(HYPERLINK(VLOOKUP(A170,ÜRÜNLER!A:C,3,FALSE),VLOOKUP(A170,ÜRÜNLER!A:B,2,FALSE)),"")</f>
        <v>iQ100 Ankastre Fırın, Siyah</v>
      </c>
      <c r="C170" s="8">
        <v>17</v>
      </c>
      <c r="D170" s="8"/>
      <c r="E170" s="9"/>
      <c r="F170" s="9"/>
      <c r="G170" s="9"/>
      <c r="H170" s="9"/>
      <c r="I170" s="10"/>
      <c r="J170" s="10">
        <v>1</v>
      </c>
      <c r="K170" s="9"/>
      <c r="L170" s="9"/>
      <c r="M170" s="10"/>
      <c r="N170" s="119">
        <f t="shared" si="7"/>
        <v>18</v>
      </c>
      <c r="O170" s="120"/>
      <c r="P170" s="67"/>
      <c r="Q170" s="126">
        <v>22622.529801048742</v>
      </c>
      <c r="R170" s="128">
        <v>20360.276820943869</v>
      </c>
      <c r="S170" s="11">
        <v>21174.687893781625</v>
      </c>
      <c r="T170" s="11">
        <v>21989.098966619378</v>
      </c>
      <c r="U170" s="122"/>
      <c r="V170" s="114"/>
      <c r="W170" s="127"/>
    </row>
    <row r="171" spans="1:24">
      <c r="A171" s="80" t="s">
        <v>165</v>
      </c>
      <c r="B171" s="110" t="str">
        <f>IFERROR(HYPERLINK(VLOOKUP(A171,ÜRÜNLER!A:C,3,FALSE),VLOOKUP(A171,ÜRÜNLER!A:B,2,FALSE)),"")</f>
        <v>iQ100 Ankastre Fırın, Antrasit</v>
      </c>
      <c r="C171" s="8">
        <v>50</v>
      </c>
      <c r="D171" s="8"/>
      <c r="E171" s="9"/>
      <c r="F171" s="9"/>
      <c r="G171" s="9"/>
      <c r="H171" s="9"/>
      <c r="I171" s="10">
        <v>1</v>
      </c>
      <c r="J171" s="10"/>
      <c r="K171" s="9">
        <v>1</v>
      </c>
      <c r="L171" s="9"/>
      <c r="M171" s="10">
        <v>1</v>
      </c>
      <c r="N171" s="119">
        <f t="shared" si="7"/>
        <v>53</v>
      </c>
      <c r="O171" s="120"/>
      <c r="P171" s="67"/>
      <c r="Q171" s="126">
        <v>22622.529801048742</v>
      </c>
      <c r="R171" s="128">
        <v>20360.276820943869</v>
      </c>
      <c r="S171" s="11">
        <v>21174.687893781625</v>
      </c>
      <c r="T171" s="11">
        <v>21989.098966619378</v>
      </c>
      <c r="U171" s="122"/>
      <c r="V171" s="114"/>
      <c r="W171" s="127"/>
    </row>
    <row r="172" spans="1:24">
      <c r="A172" s="74" t="s">
        <v>166</v>
      </c>
      <c r="B172" s="110" t="str">
        <f>IFERROR(HYPERLINK(VLOOKUP(A172,ÜRÜNLER!A:C,3,FALSE),VLOOKUP(A172,ÜRÜNLER!A:B,2,FALSE)),"")</f>
        <v>iQ100 Ankastre Fırın, Beyaz</v>
      </c>
      <c r="C172" s="8">
        <v>24</v>
      </c>
      <c r="D172" s="8"/>
      <c r="E172" s="9"/>
      <c r="F172" s="9"/>
      <c r="G172" s="9"/>
      <c r="H172" s="9"/>
      <c r="I172" s="10">
        <v>1</v>
      </c>
      <c r="J172" s="10">
        <v>1</v>
      </c>
      <c r="K172" s="9">
        <v>1</v>
      </c>
      <c r="L172" s="9"/>
      <c r="M172" s="10">
        <v>1</v>
      </c>
      <c r="N172" s="119">
        <f t="shared" si="7"/>
        <v>28</v>
      </c>
      <c r="O172" s="120"/>
      <c r="P172" s="67"/>
      <c r="Q172" s="126">
        <v>22622.529801048742</v>
      </c>
      <c r="R172" s="128">
        <v>20360.276820943869</v>
      </c>
      <c r="S172" s="11">
        <v>21174.687893781625</v>
      </c>
      <c r="T172" s="11">
        <v>21989.098966619378</v>
      </c>
      <c r="U172" s="122"/>
      <c r="V172" s="114"/>
      <c r="W172" s="127"/>
    </row>
    <row r="173" spans="1:24">
      <c r="A173" s="14" t="s">
        <v>1342</v>
      </c>
      <c r="B173" s="110" t="str">
        <f>IFERROR(HYPERLINK(VLOOKUP(A173,ÜRÜNLER!A:C,3,FALSE),VLOOKUP(A173,ÜRÜNLER!A:B,2,FALSE)),"")</f>
        <v>iQ100 Ankastre Fırın, Siyah</v>
      </c>
      <c r="C173" s="8"/>
      <c r="D173" s="8"/>
      <c r="E173" s="9"/>
      <c r="F173" s="9"/>
      <c r="G173" s="9"/>
      <c r="H173" s="9"/>
      <c r="I173" s="10"/>
      <c r="J173" s="10"/>
      <c r="K173" s="9">
        <v>1</v>
      </c>
      <c r="L173" s="9">
        <v>1</v>
      </c>
      <c r="M173" s="10"/>
      <c r="N173" s="119">
        <f t="shared" si="7"/>
        <v>2</v>
      </c>
      <c r="O173" s="120"/>
      <c r="P173" s="68"/>
      <c r="Q173" s="121" t="s">
        <v>1788</v>
      </c>
      <c r="R173" s="114">
        <v>17797</v>
      </c>
      <c r="S173" s="11">
        <v>18508.88</v>
      </c>
      <c r="T173" s="11">
        <v>19220.759999999998</v>
      </c>
      <c r="U173" s="122"/>
      <c r="V173" s="114">
        <v>2797.2959999999998</v>
      </c>
      <c r="W173" s="123">
        <v>500</v>
      </c>
    </row>
    <row r="174" spans="1:24">
      <c r="A174" s="80" t="s">
        <v>171</v>
      </c>
      <c r="B174" s="110" t="str">
        <f>IFERROR(HYPERLINK(VLOOKUP(A174,ÜRÜNLER!A:C,3,FALSE),VLOOKUP(A174,ÜRÜNLER!A:B,2,FALSE)),"")</f>
        <v>iQ300 Ankastre Fırın, 1 Teleskopik Ray, Arkası Kendini Temizler, Gri</v>
      </c>
      <c r="C174" s="8"/>
      <c r="D174" s="8"/>
      <c r="E174" s="9"/>
      <c r="F174" s="9"/>
      <c r="G174" s="9"/>
      <c r="H174" s="9"/>
      <c r="I174" s="10">
        <v>1</v>
      </c>
      <c r="J174" s="10"/>
      <c r="K174" s="9"/>
      <c r="L174" s="9"/>
      <c r="M174" s="10"/>
      <c r="N174" s="119">
        <f t="shared" si="7"/>
        <v>1</v>
      </c>
      <c r="O174" s="120"/>
      <c r="P174" s="68"/>
      <c r="Q174" s="121" t="s">
        <v>1788</v>
      </c>
      <c r="R174" s="114">
        <v>23000</v>
      </c>
      <c r="S174" s="11">
        <v>23920</v>
      </c>
      <c r="T174" s="11">
        <v>24840</v>
      </c>
      <c r="U174" s="122"/>
      <c r="V174" s="114">
        <v>3040.14</v>
      </c>
      <c r="W174" s="123">
        <v>500</v>
      </c>
    </row>
    <row r="175" spans="1:24">
      <c r="A175" s="77" t="s">
        <v>172</v>
      </c>
      <c r="B175" s="110" t="str">
        <f>IFERROR(HYPERLINK(VLOOKUP(A175,ÜRÜNLER!A:C,3,FALSE),VLOOKUP(A175,ÜRÜNLER!A:B,2,FALSE)),"")</f>
        <v>iQ500 Ankastre Fırın, 1 Teleskopik Ray, Arkası Kendini Temizler, darkSteel Line</v>
      </c>
      <c r="C175" s="8">
        <v>1</v>
      </c>
      <c r="D175" s="8"/>
      <c r="E175" s="9"/>
      <c r="F175" s="9"/>
      <c r="G175" s="9"/>
      <c r="H175" s="9"/>
      <c r="I175" s="10"/>
      <c r="J175" s="10"/>
      <c r="K175" s="9"/>
      <c r="L175" s="9"/>
      <c r="M175" s="10"/>
      <c r="N175" s="119">
        <f t="shared" si="7"/>
        <v>1</v>
      </c>
      <c r="O175" s="120"/>
      <c r="P175" s="68"/>
      <c r="Q175" s="121" t="s">
        <v>1788</v>
      </c>
      <c r="R175" s="114">
        <v>19000</v>
      </c>
      <c r="S175" s="11">
        <v>19760</v>
      </c>
      <c r="T175" s="11">
        <v>20520</v>
      </c>
      <c r="U175" s="122"/>
      <c r="V175" s="114"/>
      <c r="W175" s="127"/>
    </row>
    <row r="176" spans="1:24">
      <c r="A176" s="77" t="s">
        <v>173</v>
      </c>
      <c r="B176" s="110" t="str">
        <f>IFERROR(HYPERLINK(VLOOKUP(A176,ÜRÜNLER!A:C,3,FALSE),VLOOKUP(A176,ÜRÜNLER!A:B,2,FALSE)),"")</f>
        <v>iQ500 studioLine Ankastre Fırın, 1 Teleskopik Ray, Komple Kendini Temizler, Siyah</v>
      </c>
      <c r="C176" s="8"/>
      <c r="D176" s="8">
        <v>2</v>
      </c>
      <c r="E176" s="9"/>
      <c r="F176" s="9"/>
      <c r="G176" s="9"/>
      <c r="H176" s="9">
        <v>1</v>
      </c>
      <c r="I176" s="10"/>
      <c r="J176" s="10"/>
      <c r="K176" s="9"/>
      <c r="L176" s="9"/>
      <c r="M176" s="10"/>
      <c r="N176" s="119">
        <f t="shared" si="7"/>
        <v>3</v>
      </c>
      <c r="O176" s="120"/>
      <c r="P176" s="68"/>
      <c r="Q176" s="121" t="s">
        <v>1788</v>
      </c>
      <c r="R176" s="139">
        <v>85000</v>
      </c>
      <c r="S176" s="11">
        <v>88400</v>
      </c>
      <c r="T176" s="11">
        <v>91800</v>
      </c>
      <c r="U176" s="122"/>
      <c r="V176" s="114"/>
      <c r="W176" s="127">
        <v>250</v>
      </c>
    </row>
    <row r="177" spans="1:23">
      <c r="A177" s="14" t="s">
        <v>1019</v>
      </c>
      <c r="B177" s="110" t="str">
        <f>IFERROR(HYPERLINK(VLOOKUP(A177,ÜRÜNLER!A:C,3,FALSE),VLOOKUP(A177,ÜRÜNLER!A:B,2,FALSE)),"")</f>
        <v>iQ300 Ankastre Fırın, Titanyum Gri</v>
      </c>
      <c r="C177" s="8"/>
      <c r="D177" s="8"/>
      <c r="E177" s="9">
        <v>1</v>
      </c>
      <c r="F177" s="9"/>
      <c r="G177" s="9"/>
      <c r="H177" s="9"/>
      <c r="I177" s="10"/>
      <c r="J177" s="10"/>
      <c r="K177" s="9"/>
      <c r="L177" s="9"/>
      <c r="M177" s="10"/>
      <c r="N177" s="119">
        <f t="shared" si="7"/>
        <v>1</v>
      </c>
      <c r="O177" s="120"/>
      <c r="P177" s="68"/>
      <c r="Q177" s="121" t="s">
        <v>1788</v>
      </c>
      <c r="R177" s="114">
        <v>17423</v>
      </c>
      <c r="S177" s="11">
        <v>18119.919999999998</v>
      </c>
      <c r="T177" s="11">
        <v>18816.84</v>
      </c>
      <c r="U177" s="122"/>
      <c r="V177" s="114">
        <v>1422.5519999999999</v>
      </c>
      <c r="W177" s="123">
        <v>500</v>
      </c>
    </row>
    <row r="178" spans="1:23">
      <c r="A178" s="77" t="s">
        <v>176</v>
      </c>
      <c r="B178" s="110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9"/>
      <c r="H178" s="9"/>
      <c r="I178" s="10"/>
      <c r="J178" s="10"/>
      <c r="K178" s="9"/>
      <c r="L178" s="9">
        <v>1</v>
      </c>
      <c r="M178" s="10">
        <v>1</v>
      </c>
      <c r="N178" s="119">
        <f t="shared" si="7"/>
        <v>3</v>
      </c>
      <c r="O178" s="120"/>
      <c r="P178" s="68"/>
      <c r="Q178" s="121" t="s">
        <v>1788</v>
      </c>
      <c r="R178" s="114">
        <v>18607</v>
      </c>
      <c r="S178" s="11">
        <v>19351.28</v>
      </c>
      <c r="T178" s="11">
        <v>20095.560000000001</v>
      </c>
      <c r="U178" s="122"/>
      <c r="V178" s="114">
        <v>1606.5839999999998</v>
      </c>
      <c r="W178" s="123">
        <v>500</v>
      </c>
    </row>
    <row r="179" spans="1:23">
      <c r="A179" s="77" t="s">
        <v>177</v>
      </c>
      <c r="B179" s="110" t="str">
        <f>IFERROR(HYPERLINK(VLOOKUP(A179,ÜRÜNLER!A:C,3,FALSE),VLOOKUP(A179,ÜRÜNLER!A:B,2,FALSE)),"")</f>
        <v>iQ500 Ankastre Fırın, 1 Teleskopik Ray, Komple Kendini Temizler, Siyah</v>
      </c>
      <c r="C179" s="8">
        <v>6</v>
      </c>
      <c r="D179" s="8"/>
      <c r="E179" s="9"/>
      <c r="F179" s="9"/>
      <c r="G179" s="9"/>
      <c r="H179" s="9"/>
      <c r="I179" s="10">
        <v>2</v>
      </c>
      <c r="J179" s="10">
        <v>1</v>
      </c>
      <c r="K179" s="9"/>
      <c r="L179" s="9"/>
      <c r="M179" s="10"/>
      <c r="N179" s="119">
        <f t="shared" si="7"/>
        <v>9</v>
      </c>
      <c r="O179" s="120">
        <v>5</v>
      </c>
      <c r="P179" s="68"/>
      <c r="Q179" s="126">
        <v>35082.612400638449</v>
      </c>
      <c r="R179" s="131">
        <v>35082.612400638449</v>
      </c>
      <c r="S179" s="11">
        <v>36485.916896663985</v>
      </c>
      <c r="T179" s="11">
        <v>37889.221392689527</v>
      </c>
      <c r="U179" s="122"/>
      <c r="V179" s="114"/>
      <c r="W179" s="127"/>
    </row>
    <row r="180" spans="1:23">
      <c r="A180" s="80" t="s">
        <v>178</v>
      </c>
      <c r="B180" s="110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9"/>
      <c r="H180" s="9"/>
      <c r="I180" s="10"/>
      <c r="J180" s="10"/>
      <c r="K180" s="9"/>
      <c r="L180" s="9">
        <v>1</v>
      </c>
      <c r="M180" s="10"/>
      <c r="N180" s="119">
        <f t="shared" si="7"/>
        <v>3</v>
      </c>
      <c r="O180" s="120"/>
      <c r="P180" s="68"/>
      <c r="Q180" s="121" t="s">
        <v>1788</v>
      </c>
      <c r="R180" s="114">
        <v>20000</v>
      </c>
      <c r="S180" s="11">
        <v>20800</v>
      </c>
      <c r="T180" s="11">
        <v>21600</v>
      </c>
      <c r="U180" s="122"/>
      <c r="V180" s="114"/>
      <c r="W180" s="123">
        <v>500</v>
      </c>
    </row>
    <row r="181" spans="1:23">
      <c r="A181" s="102" t="s">
        <v>1634</v>
      </c>
      <c r="B181" s="110" t="str">
        <f>IFERROR(HYPERLINK(VLOOKUP(A181,ÜRÜNLER!A:C,3,FALSE),VLOOKUP(A181,ÜRÜNLER!A:B,2,FALSE)),"")</f>
        <v>iQ100 Ankastre Fırın, Siyah</v>
      </c>
      <c r="C181" s="8">
        <v>4</v>
      </c>
      <c r="D181" s="8"/>
      <c r="E181" s="9"/>
      <c r="F181" s="9"/>
      <c r="G181" s="9"/>
      <c r="H181" s="9"/>
      <c r="I181" s="10"/>
      <c r="J181" s="10"/>
      <c r="K181" s="9"/>
      <c r="L181" s="9"/>
      <c r="M181" s="10"/>
      <c r="N181" s="119">
        <f t="shared" si="7"/>
        <v>4</v>
      </c>
      <c r="O181" s="120"/>
      <c r="P181" s="68"/>
      <c r="Q181" s="126">
        <v>15307.657304072218</v>
      </c>
      <c r="R181" s="131">
        <v>15307.657304072218</v>
      </c>
      <c r="S181" s="11">
        <v>15919.963596235106</v>
      </c>
      <c r="T181" s="11">
        <v>16532.269888397994</v>
      </c>
      <c r="U181" s="122"/>
      <c r="V181" s="114"/>
      <c r="W181" s="127"/>
    </row>
    <row r="182" spans="1:23">
      <c r="A182" s="102" t="s">
        <v>1016</v>
      </c>
      <c r="B182" s="110" t="str">
        <f>IFERROR(HYPERLINK(VLOOKUP(A182,ÜRÜNLER!A:C,3,FALSE),VLOOKUP(A182,ÜRÜNLER!A:B,2,FALSE)),"")</f>
        <v>iQ500 Ankastre Fırın, 1 Teleskopik Ray, darkSteel</v>
      </c>
      <c r="C182" s="8">
        <v>5</v>
      </c>
      <c r="D182" s="8"/>
      <c r="E182" s="9"/>
      <c r="F182" s="9"/>
      <c r="G182" s="9"/>
      <c r="H182" s="9"/>
      <c r="I182" s="10"/>
      <c r="J182" s="10"/>
      <c r="K182" s="9"/>
      <c r="L182" s="9"/>
      <c r="M182" s="10"/>
      <c r="N182" s="119">
        <f t="shared" si="7"/>
        <v>5</v>
      </c>
      <c r="O182" s="120"/>
      <c r="P182" s="68"/>
      <c r="Q182" s="121" t="s">
        <v>1788</v>
      </c>
      <c r="R182" s="114">
        <v>21000</v>
      </c>
      <c r="S182" s="11">
        <v>21840</v>
      </c>
      <c r="T182" s="11">
        <v>22680</v>
      </c>
      <c r="U182" s="122"/>
      <c r="V182" s="114"/>
      <c r="W182" s="123">
        <v>500</v>
      </c>
    </row>
    <row r="183" spans="1:23">
      <c r="A183" s="102" t="s">
        <v>1022</v>
      </c>
      <c r="B183" s="110" t="str">
        <f>IFERROR(HYPERLINK(VLOOKUP(A183,ÜRÜNLER!A:C,3,FALSE),VLOOKUP(A183,ÜRÜNLER!A:B,2,FALSE)),"")</f>
        <v>iQ300 Ankastre Fırın, 1 Teleskopik Ray, Arkası Kendini Temizler, Siyah/Inox</v>
      </c>
      <c r="C183" s="8"/>
      <c r="D183" s="8"/>
      <c r="E183" s="9"/>
      <c r="F183" s="9"/>
      <c r="G183" s="9"/>
      <c r="H183" s="9"/>
      <c r="I183" s="10"/>
      <c r="J183" s="10"/>
      <c r="K183" s="9">
        <v>1</v>
      </c>
      <c r="L183" s="9"/>
      <c r="M183" s="10"/>
      <c r="N183" s="119">
        <f t="shared" si="7"/>
        <v>1</v>
      </c>
      <c r="O183" s="120"/>
      <c r="P183" s="68"/>
      <c r="Q183" s="121" t="s">
        <v>1788</v>
      </c>
      <c r="R183" s="114">
        <v>20933</v>
      </c>
      <c r="S183" s="11">
        <v>21770.32</v>
      </c>
      <c r="T183" s="11">
        <v>22607.64</v>
      </c>
      <c r="U183" s="122"/>
      <c r="V183" s="114">
        <v>2933.3759999999997</v>
      </c>
      <c r="W183" s="123">
        <v>500</v>
      </c>
    </row>
    <row r="184" spans="1:23">
      <c r="A184" s="14" t="s">
        <v>1344</v>
      </c>
      <c r="B184" s="110" t="str">
        <f>IFERROR(HYPERLINK(VLOOKUP(A184,ÜRÜNLER!A:C,3,FALSE),VLOOKUP(A184,ÜRÜNLER!A:B,2,FALSE)),"")</f>
        <v>iQ700 Ankastre Fırın, Siyah</v>
      </c>
      <c r="C184" s="8"/>
      <c r="D184" s="8"/>
      <c r="E184" s="9"/>
      <c r="F184" s="9"/>
      <c r="G184" s="9"/>
      <c r="H184" s="9"/>
      <c r="I184" s="10"/>
      <c r="J184" s="10"/>
      <c r="K184" s="9">
        <v>1</v>
      </c>
      <c r="L184" s="9"/>
      <c r="M184" s="10"/>
      <c r="N184" s="119">
        <f t="shared" si="7"/>
        <v>1</v>
      </c>
      <c r="O184" s="120"/>
      <c r="P184" s="68"/>
      <c r="Q184" s="121" t="s">
        <v>1788</v>
      </c>
      <c r="R184" s="114">
        <v>45000</v>
      </c>
      <c r="S184" s="11">
        <v>46800</v>
      </c>
      <c r="T184" s="11">
        <v>48600</v>
      </c>
      <c r="U184" s="122"/>
      <c r="V184" s="114"/>
      <c r="W184" s="123">
        <v>500</v>
      </c>
    </row>
    <row r="185" spans="1:23">
      <c r="A185" s="14" t="s">
        <v>1345</v>
      </c>
      <c r="B185" s="110" t="str">
        <f>IFERROR(HYPERLINK(VLOOKUP(A185,ÜRÜNLER!A:C,3,FALSE),VLOOKUP(A185,ÜRÜNLER!A:B,2,FALSE)),"")</f>
        <v>iQ700 Ankastre Fırın, 1 Teleskopik Ray, Komple Kendini Temizler, Beyaz</v>
      </c>
      <c r="C185" s="8"/>
      <c r="D185" s="8"/>
      <c r="E185" s="9"/>
      <c r="F185" s="9"/>
      <c r="G185" s="9"/>
      <c r="H185" s="9"/>
      <c r="I185" s="10">
        <v>1</v>
      </c>
      <c r="J185" s="10"/>
      <c r="K185" s="9"/>
      <c r="L185" s="9"/>
      <c r="M185" s="10"/>
      <c r="N185" s="119">
        <f t="shared" si="7"/>
        <v>1</v>
      </c>
      <c r="O185" s="120"/>
      <c r="P185" s="68"/>
      <c r="Q185" s="121" t="s">
        <v>1788</v>
      </c>
      <c r="R185" s="114">
        <v>45000</v>
      </c>
      <c r="S185" s="11">
        <v>46800</v>
      </c>
      <c r="T185" s="11">
        <v>48600</v>
      </c>
      <c r="U185" s="122"/>
      <c r="V185" s="114"/>
      <c r="W185" s="123">
        <v>500</v>
      </c>
    </row>
    <row r="186" spans="1:23">
      <c r="A186" s="74" t="s">
        <v>184</v>
      </c>
      <c r="B186" s="110" t="str">
        <f>IFERROR(HYPERLINK(VLOOKUP(A186,ÜRÜNLER!A:C,3,FALSE),VLOOKUP(A186,ÜRÜNLER!A:B,2,FALSE)),"")</f>
        <v>iQ700 Ankastre Fırın, Arkası Kendini Temizler, Siyah</v>
      </c>
      <c r="C186" s="8">
        <v>4</v>
      </c>
      <c r="D186" s="8"/>
      <c r="E186" s="9"/>
      <c r="F186" s="9"/>
      <c r="G186" s="9"/>
      <c r="H186" s="9"/>
      <c r="I186" s="10">
        <v>1</v>
      </c>
      <c r="J186" s="10">
        <v>1</v>
      </c>
      <c r="K186" s="9">
        <v>1</v>
      </c>
      <c r="L186" s="9">
        <v>1</v>
      </c>
      <c r="M186" s="10"/>
      <c r="N186" s="119">
        <f t="shared" si="7"/>
        <v>8</v>
      </c>
      <c r="O186" s="120">
        <v>1</v>
      </c>
      <c r="P186" s="68"/>
      <c r="Q186" s="126">
        <v>57373.180557222018</v>
      </c>
      <c r="R186" s="116">
        <v>54504.521529360914</v>
      </c>
      <c r="S186" s="11">
        <v>56684.702390535349</v>
      </c>
      <c r="T186" s="11">
        <v>58864.883251709791</v>
      </c>
      <c r="U186" s="122"/>
      <c r="V186" s="114"/>
      <c r="W186" s="127"/>
    </row>
    <row r="187" spans="1:23">
      <c r="A187" s="74" t="s">
        <v>185</v>
      </c>
      <c r="B187" s="110" t="str">
        <f>IFERROR(HYPERLINK(VLOOKUP(A187,ÜRÜNLER!A:C,3,FALSE),VLOOKUP(A187,ÜRÜNLER!A:B,2,FALSE)),"")</f>
        <v>iQ700 Ankastre Fırın, Arkası Kendini Temizler, Beyaz</v>
      </c>
      <c r="C187" s="8">
        <v>3</v>
      </c>
      <c r="D187" s="8"/>
      <c r="E187" s="9"/>
      <c r="F187" s="9"/>
      <c r="G187" s="9"/>
      <c r="H187" s="9"/>
      <c r="I187" s="10">
        <v>1</v>
      </c>
      <c r="J187" s="10"/>
      <c r="K187" s="9"/>
      <c r="L187" s="9"/>
      <c r="M187" s="10"/>
      <c r="N187" s="119">
        <f t="shared" si="7"/>
        <v>4</v>
      </c>
      <c r="O187" s="120"/>
      <c r="P187" s="68"/>
      <c r="Q187" s="121" t="s">
        <v>1788</v>
      </c>
      <c r="R187" s="114">
        <v>60000</v>
      </c>
      <c r="S187" s="11">
        <v>62400</v>
      </c>
      <c r="T187" s="11">
        <v>64800</v>
      </c>
      <c r="U187" s="122"/>
      <c r="V187" s="114"/>
      <c r="W187" s="127"/>
    </row>
    <row r="188" spans="1:23">
      <c r="A188" s="77" t="s">
        <v>186</v>
      </c>
      <c r="B188" s="110" t="str">
        <f>IFERROR(HYPERLINK(VLOOKUP(A188,ÜRÜNLER!A:C,3,FALSE),VLOOKUP(A188,ÜRÜNLER!A:B,2,FALSE)),"")</f>
        <v>iQ700 Ankastre Fırın, Siyah</v>
      </c>
      <c r="C188" s="8">
        <v>3</v>
      </c>
      <c r="D188" s="8"/>
      <c r="E188" s="9"/>
      <c r="F188" s="9">
        <v>2</v>
      </c>
      <c r="G188" s="9"/>
      <c r="H188" s="9"/>
      <c r="I188" s="10"/>
      <c r="J188" s="10">
        <v>1</v>
      </c>
      <c r="K188" s="9"/>
      <c r="L188" s="9"/>
      <c r="M188" s="10">
        <v>1</v>
      </c>
      <c r="N188" s="119">
        <f t="shared" si="7"/>
        <v>7</v>
      </c>
      <c r="O188" s="120">
        <v>6</v>
      </c>
      <c r="P188" s="68"/>
      <c r="Q188" s="126">
        <v>72956.019720911921</v>
      </c>
      <c r="R188" s="116">
        <v>69308.218734866328</v>
      </c>
      <c r="S188" s="11">
        <v>72080.547484260984</v>
      </c>
      <c r="T188" s="11">
        <v>74852.876233655639</v>
      </c>
      <c r="U188" s="122"/>
      <c r="V188" s="114"/>
      <c r="W188" s="127"/>
    </row>
    <row r="189" spans="1:23">
      <c r="A189" s="77" t="s">
        <v>187</v>
      </c>
      <c r="B189" s="110" t="str">
        <f>IFERROR(HYPERLINK(VLOOKUP(A189,ÜRÜNLER!A:C,3,FALSE),VLOOKUP(A189,ÜRÜNLER!A:B,2,FALSE)),"")</f>
        <v>iQ700 Ankastre Fırın, Komple Kendini Temizler, Siyah</v>
      </c>
      <c r="C189" s="8">
        <v>8</v>
      </c>
      <c r="D189" s="8"/>
      <c r="E189" s="9"/>
      <c r="F189" s="9"/>
      <c r="G189" s="9"/>
      <c r="H189" s="9"/>
      <c r="I189" s="10"/>
      <c r="J189" s="10"/>
      <c r="K189" s="9"/>
      <c r="L189" s="9"/>
      <c r="M189" s="10"/>
      <c r="N189" s="119">
        <f t="shared" si="7"/>
        <v>8</v>
      </c>
      <c r="O189" s="120">
        <v>6</v>
      </c>
      <c r="P189" s="68"/>
      <c r="Q189" s="126">
        <v>84838.39222819134</v>
      </c>
      <c r="R189" s="116">
        <v>80596.472616781772</v>
      </c>
      <c r="S189" s="11">
        <v>83820.331521453045</v>
      </c>
      <c r="T189" s="11">
        <v>87044.190426124318</v>
      </c>
      <c r="U189" s="122"/>
      <c r="V189" s="114"/>
      <c r="W189" s="127"/>
    </row>
    <row r="190" spans="1:23">
      <c r="A190" s="77" t="s">
        <v>188</v>
      </c>
      <c r="B190" s="110" t="str">
        <f>IFERROR(HYPERLINK(VLOOKUP(A190,ÜRÜNLER!A:C,3,FALSE),VLOOKUP(A190,ÜRÜNLER!A:B,2,FALSE)),"")</f>
        <v>iQ700 studioLine Ankastre Fırın, 3 Teleskopik Ray, Komple Kendini Temizler, Siyah</v>
      </c>
      <c r="C190" s="8"/>
      <c r="D190" s="8">
        <v>2</v>
      </c>
      <c r="E190" s="9"/>
      <c r="F190" s="9"/>
      <c r="G190" s="9"/>
      <c r="H190" s="9">
        <v>1</v>
      </c>
      <c r="I190" s="10"/>
      <c r="J190" s="10"/>
      <c r="K190" s="9"/>
      <c r="L190" s="9"/>
      <c r="M190" s="10"/>
      <c r="N190" s="119">
        <f t="shared" si="7"/>
        <v>3</v>
      </c>
      <c r="O190" s="120"/>
      <c r="P190" s="68"/>
      <c r="Q190" s="121" t="s">
        <v>1788</v>
      </c>
      <c r="R190" s="114">
        <v>90000</v>
      </c>
      <c r="S190" s="11">
        <v>93600</v>
      </c>
      <c r="T190" s="11">
        <v>97200</v>
      </c>
      <c r="U190" s="122"/>
      <c r="V190" s="114"/>
      <c r="W190" s="127">
        <v>250</v>
      </c>
    </row>
    <row r="191" spans="1:23">
      <c r="A191" s="77" t="s">
        <v>195</v>
      </c>
      <c r="B191" s="110" t="str">
        <f>IFERROR(HYPERLINK(VLOOKUP(A191,ÜRÜNLER!A:C,3,FALSE),VLOOKUP(A191,ÜRÜNLER!A:B,2,FALSE)),"")</f>
        <v>iQ700 studioLine Ankastre Fırın, 1 Teleskopik Ray, Komple Kendini Temizler, Siyah</v>
      </c>
      <c r="C191" s="8"/>
      <c r="D191" s="8">
        <v>4</v>
      </c>
      <c r="E191" s="9"/>
      <c r="F191" s="9"/>
      <c r="G191" s="9"/>
      <c r="H191" s="9"/>
      <c r="I191" s="10"/>
      <c r="J191" s="10"/>
      <c r="K191" s="9"/>
      <c r="L191" s="9"/>
      <c r="M191" s="10"/>
      <c r="N191" s="119">
        <f t="shared" si="7"/>
        <v>4</v>
      </c>
      <c r="O191" s="120"/>
      <c r="P191" s="68"/>
      <c r="Q191" s="141">
        <v>135350.30521517774</v>
      </c>
      <c r="R191" s="141">
        <v>121815.27469365997</v>
      </c>
      <c r="S191" s="11">
        <v>126687.88568140638</v>
      </c>
      <c r="T191" s="11">
        <v>131560.49666915278</v>
      </c>
      <c r="U191" s="122"/>
      <c r="V191" s="114"/>
      <c r="W191" s="127">
        <v>250</v>
      </c>
    </row>
    <row r="192" spans="1:23">
      <c r="A192" s="79" t="s">
        <v>1313</v>
      </c>
      <c r="B192" s="110" t="str">
        <f>IFERROR(HYPERLINK(VLOOKUP(A192,ÜRÜNLER!A:C,3,FALSE),VLOOKUP(A192,ÜRÜNLER!A:B,2,FALSE)),"")</f>
        <v>iQ300 Ankastre Fırın, 1 Teleskopik Ray, Arkası Kendini Temizler, Beyaz</v>
      </c>
      <c r="C192" s="8"/>
      <c r="D192" s="8"/>
      <c r="E192" s="9"/>
      <c r="F192" s="9"/>
      <c r="G192" s="9"/>
      <c r="H192" s="9"/>
      <c r="I192" s="10">
        <v>1</v>
      </c>
      <c r="J192" s="10"/>
      <c r="K192" s="9"/>
      <c r="L192" s="9"/>
      <c r="M192" s="10"/>
      <c r="N192" s="119">
        <f t="shared" si="7"/>
        <v>1</v>
      </c>
      <c r="O192" s="120"/>
      <c r="P192" s="68"/>
      <c r="Q192" s="121" t="s">
        <v>1788</v>
      </c>
      <c r="R192" s="114">
        <v>20000</v>
      </c>
      <c r="S192" s="11">
        <v>20800</v>
      </c>
      <c r="T192" s="11">
        <v>21600</v>
      </c>
      <c r="U192" s="122"/>
      <c r="V192" s="114"/>
      <c r="W192" s="123">
        <v>500</v>
      </c>
    </row>
    <row r="193" spans="1:23">
      <c r="A193" s="81" t="s">
        <v>154</v>
      </c>
      <c r="B193" s="110" t="str">
        <f>IFERROR(HYPERLINK(VLOOKUP(A193,ÜRÜNLER!A:C,3,FALSE),VLOOKUP(A193,ÜRÜNLER!A:B,2,FALSE)),"")</f>
        <v>iQ500 Ankastre Fırın, 2 Teleskopik Ray, Komple Kendini Temizler, Siyah</v>
      </c>
      <c r="C193" s="8">
        <v>69</v>
      </c>
      <c r="D193" s="8"/>
      <c r="E193" s="9"/>
      <c r="F193" s="9">
        <v>6</v>
      </c>
      <c r="G193" s="9"/>
      <c r="H193" s="9"/>
      <c r="I193" s="10">
        <v>1</v>
      </c>
      <c r="J193" s="10"/>
      <c r="K193" s="9"/>
      <c r="L193" s="9">
        <v>2</v>
      </c>
      <c r="M193" s="10">
        <v>1</v>
      </c>
      <c r="N193" s="119">
        <f t="shared" si="7"/>
        <v>79</v>
      </c>
      <c r="O193" s="120"/>
      <c r="P193" s="67"/>
      <c r="Q193" s="126">
        <v>34081.05594955603</v>
      </c>
      <c r="R193" s="143">
        <v>31695.382033087109</v>
      </c>
      <c r="S193" s="143">
        <v>32963.197314410594</v>
      </c>
      <c r="T193" s="143">
        <v>34231.012595734079</v>
      </c>
      <c r="U193" s="122"/>
      <c r="V193" s="114"/>
      <c r="W193" s="127"/>
    </row>
    <row r="194" spans="1:23">
      <c r="A194" s="80" t="s">
        <v>156</v>
      </c>
      <c r="B194" s="110" t="str">
        <f>IFERROR(HYPERLINK(VLOOKUP(A194,ÜRÜNLER!A:C,3,FALSE),VLOOKUP(A194,ÜRÜNLER!A:B,2,FALSE)),"")</f>
        <v>iQ500 Ankastre Fırın, 2 Teleskopik Ray, Komple Kendini Temizler, Antrasit</v>
      </c>
      <c r="C194" s="8">
        <v>38</v>
      </c>
      <c r="D194" s="8"/>
      <c r="E194" s="9"/>
      <c r="F194" s="9">
        <v>2</v>
      </c>
      <c r="G194" s="9"/>
      <c r="H194" s="9"/>
      <c r="I194" s="10"/>
      <c r="J194" s="10">
        <v>1</v>
      </c>
      <c r="K194" s="9"/>
      <c r="L194" s="9"/>
      <c r="M194" s="10"/>
      <c r="N194" s="119">
        <f t="shared" si="7"/>
        <v>41</v>
      </c>
      <c r="O194" s="120">
        <v>4</v>
      </c>
      <c r="P194" s="67"/>
      <c r="Q194" s="126">
        <v>34081.05594955603</v>
      </c>
      <c r="R194" s="116">
        <v>32377.003152078229</v>
      </c>
      <c r="S194" s="11">
        <v>33672.083278161357</v>
      </c>
      <c r="T194" s="11">
        <v>34967.163404244486</v>
      </c>
      <c r="U194" s="122"/>
      <c r="V194" s="114"/>
      <c r="W194" s="127"/>
    </row>
    <row r="195" spans="1:23">
      <c r="A195" s="74" t="s">
        <v>155</v>
      </c>
      <c r="B195" s="110" t="str">
        <f>IFERROR(HYPERLINK(VLOOKUP(A195,ÜRÜNLER!A:C,3,FALSE),VLOOKUP(A195,ÜRÜNLER!A:B,2,FALSE)),"")</f>
        <v>iQ500 Ankastre Fırın, 2 Teleskopik Ray, Komple Kendini Temizler, Beyaz</v>
      </c>
      <c r="C195" s="8">
        <v>17</v>
      </c>
      <c r="D195" s="8"/>
      <c r="E195" s="9"/>
      <c r="F195" s="9">
        <v>1</v>
      </c>
      <c r="G195" s="9">
        <v>1</v>
      </c>
      <c r="H195" s="9"/>
      <c r="I195" s="10">
        <v>1</v>
      </c>
      <c r="J195" s="10">
        <v>1</v>
      </c>
      <c r="K195" s="9">
        <v>1</v>
      </c>
      <c r="L195" s="9"/>
      <c r="M195" s="10"/>
      <c r="N195" s="119">
        <f t="shared" si="7"/>
        <v>22</v>
      </c>
      <c r="O195" s="120">
        <v>1</v>
      </c>
      <c r="P195" s="67"/>
      <c r="Q195" s="126">
        <v>34081.05594955603</v>
      </c>
      <c r="R195" s="116">
        <v>32377.003152078229</v>
      </c>
      <c r="S195" s="11">
        <v>33672.083278161357</v>
      </c>
      <c r="T195" s="11">
        <v>34967.163404244486</v>
      </c>
      <c r="U195" s="122"/>
      <c r="V195" s="114"/>
      <c r="W195" s="127"/>
    </row>
    <row r="196" spans="1:23">
      <c r="A196" s="74" t="s">
        <v>196</v>
      </c>
      <c r="B196" s="110" t="str">
        <f>IFERROR(HYPERLINK(VLOOKUP(A196,ÜRÜNLER!A:C,3,FALSE),VLOOKUP(A196,ÜRÜNLER!A:B,2,FALSE)),"")</f>
        <v>iQ700 studioLine Buhar ve Mikrodalga Fonksiyonlu Ankastre Fırın, Komple Kendini Temizler, Siyah</v>
      </c>
      <c r="C196" s="8"/>
      <c r="D196" s="8">
        <v>1</v>
      </c>
      <c r="E196" s="9"/>
      <c r="F196" s="9"/>
      <c r="G196" s="9"/>
      <c r="H196" s="9"/>
      <c r="I196" s="10"/>
      <c r="J196" s="10"/>
      <c r="K196" s="9"/>
      <c r="L196" s="9"/>
      <c r="M196" s="10"/>
      <c r="N196" s="119">
        <f t="shared" si="7"/>
        <v>1</v>
      </c>
      <c r="O196" s="120"/>
      <c r="P196" s="68"/>
      <c r="Q196" s="141">
        <v>234549.81348894077</v>
      </c>
      <c r="R196" s="141">
        <v>211094.8321400467</v>
      </c>
      <c r="S196" s="11">
        <v>219538.62542564856</v>
      </c>
      <c r="T196" s="11">
        <v>227982.41871125042</v>
      </c>
      <c r="U196" s="122"/>
      <c r="V196" s="114"/>
      <c r="W196" s="123">
        <v>500</v>
      </c>
    </row>
    <row r="197" spans="1:23">
      <c r="A197" s="81" t="s">
        <v>153</v>
      </c>
      <c r="B197" s="110" t="str">
        <f>IFERROR(HYPERLINK(VLOOKUP(A197,ÜRÜNLER!A:C,3,FALSE),VLOOKUP(A197,ÜRÜNLER!A:B,2,FALSE)),"")</f>
        <v>iQ300 Buhar Destekli Ankastre Fırın, 1 Teleskopik Ray, Arkası Kendini Temizler, Siyah/Dark Inox</v>
      </c>
      <c r="C197" s="8">
        <v>1</v>
      </c>
      <c r="D197" s="8"/>
      <c r="E197" s="9"/>
      <c r="F197" s="9"/>
      <c r="G197" s="9"/>
      <c r="H197" s="9"/>
      <c r="I197" s="10">
        <v>1</v>
      </c>
      <c r="J197" s="10"/>
      <c r="K197" s="9">
        <v>1</v>
      </c>
      <c r="L197" s="9"/>
      <c r="M197" s="10"/>
      <c r="N197" s="119">
        <f t="shared" si="7"/>
        <v>3</v>
      </c>
      <c r="O197" s="120">
        <v>1</v>
      </c>
      <c r="P197" s="68"/>
      <c r="Q197" s="126">
        <v>38287.938612271246</v>
      </c>
      <c r="R197" s="152">
        <v>37139.30045390311</v>
      </c>
      <c r="S197" s="11">
        <v>38624.872472059236</v>
      </c>
      <c r="T197" s="11">
        <v>40110.444490215355</v>
      </c>
      <c r="U197" s="122"/>
      <c r="V197" s="114"/>
      <c r="W197" s="127"/>
    </row>
    <row r="198" spans="1:23">
      <c r="A198" s="77" t="s">
        <v>191</v>
      </c>
      <c r="B198" s="110" t="str">
        <f>IFERROR(HYPERLINK(VLOOKUP(A198,ÜRÜNLER!A:C,3,FALSE),VLOOKUP(A198,ÜRÜNLER!A:B,2,FALSE)),"")</f>
        <v>iQ500 Buhar Destekli Ankastre Fırın, Arkası Kendini Temizler, Siyah/Inox</v>
      </c>
      <c r="C198" s="8">
        <v>4</v>
      </c>
      <c r="D198" s="8"/>
      <c r="E198" s="9"/>
      <c r="F198" s="9"/>
      <c r="G198" s="9"/>
      <c r="H198" s="9"/>
      <c r="I198" s="10">
        <v>1</v>
      </c>
      <c r="J198" s="10">
        <v>1</v>
      </c>
      <c r="K198" s="9">
        <v>1</v>
      </c>
      <c r="L198" s="9"/>
      <c r="M198" s="10">
        <v>1</v>
      </c>
      <c r="N198" s="119">
        <f t="shared" si="7"/>
        <v>8</v>
      </c>
      <c r="O198" s="120"/>
      <c r="P198" s="68"/>
      <c r="Q198" s="121" t="s">
        <v>1788</v>
      </c>
      <c r="R198" s="114">
        <v>26144</v>
      </c>
      <c r="S198" s="11">
        <v>27189.759999999998</v>
      </c>
      <c r="T198" s="11">
        <v>28235.52</v>
      </c>
      <c r="U198" s="122"/>
      <c r="V198" s="114"/>
      <c r="W198" s="127"/>
    </row>
    <row r="199" spans="1:23">
      <c r="A199" s="74" t="s">
        <v>192</v>
      </c>
      <c r="B199" s="110" t="str">
        <f>IFERROR(HYPERLINK(VLOOKUP(A199,ÜRÜNLER!A:C,3,FALSE),VLOOKUP(A199,ÜRÜNLER!A:B,2,FALSE)),"")</f>
        <v>iQ700 Ankastre Fırın, Siyah</v>
      </c>
      <c r="C199" s="8"/>
      <c r="D199" s="8"/>
      <c r="E199" s="9"/>
      <c r="F199" s="9">
        <v>1</v>
      </c>
      <c r="G199" s="9"/>
      <c r="H199" s="9"/>
      <c r="I199" s="10">
        <v>1</v>
      </c>
      <c r="J199" s="10">
        <v>1</v>
      </c>
      <c r="K199" s="9"/>
      <c r="L199" s="9">
        <v>1</v>
      </c>
      <c r="M199" s="10">
        <v>2</v>
      </c>
      <c r="N199" s="119">
        <f t="shared" si="7"/>
        <v>6</v>
      </c>
      <c r="O199" s="120">
        <v>2</v>
      </c>
      <c r="P199" s="68"/>
      <c r="Q199" s="126">
        <v>87225.358872207915</v>
      </c>
      <c r="R199" s="116">
        <v>82864.090928597521</v>
      </c>
      <c r="S199" s="11">
        <v>86178.654565741424</v>
      </c>
      <c r="T199" s="11">
        <v>89493.218202885328</v>
      </c>
      <c r="U199" s="122"/>
      <c r="V199" s="114"/>
      <c r="W199" s="130"/>
    </row>
    <row r="200" spans="1:23">
      <c r="A200" s="79" t="s">
        <v>193</v>
      </c>
      <c r="B200" s="110" t="str">
        <f>IFERROR(HYPERLINK(VLOOKUP(A200,ÜRÜNLER!A:C,3,FALSE),VLOOKUP(A200,ÜRÜNLER!A:B,2,FALSE)),"")</f>
        <v>iQ700 Buhar Destekli Ankastre Fırın, Arkası Kendini Temizler, Siyah/Inox</v>
      </c>
      <c r="C200" s="8">
        <v>1</v>
      </c>
      <c r="D200" s="8"/>
      <c r="E200" s="9"/>
      <c r="F200" s="9"/>
      <c r="G200" s="9"/>
      <c r="H200" s="9"/>
      <c r="I200" s="10">
        <v>1</v>
      </c>
      <c r="J200" s="10"/>
      <c r="K200" s="9"/>
      <c r="L200" s="9"/>
      <c r="M200" s="10"/>
      <c r="N200" s="119">
        <f t="shared" si="7"/>
        <v>2</v>
      </c>
      <c r="O200" s="120"/>
      <c r="P200" s="68"/>
      <c r="Q200" s="121" t="s">
        <v>1788</v>
      </c>
      <c r="R200" s="114">
        <v>66000</v>
      </c>
      <c r="S200" s="11">
        <v>68640</v>
      </c>
      <c r="T200" s="11">
        <v>71280</v>
      </c>
      <c r="U200" s="122"/>
      <c r="V200" s="114"/>
      <c r="W200" s="127"/>
    </row>
    <row r="201" spans="1:23">
      <c r="A201" s="77" t="s">
        <v>194</v>
      </c>
      <c r="B201" s="110" t="str">
        <f>IFERROR(HYPERLINK(VLOOKUP(A201,ÜRÜNLER!A:C,3,FALSE),VLOOKUP(A201,ÜRÜNLER!A:B,2,FALSE)),"")</f>
        <v>iQ700 studioLine Buhar Destekli Ankastre Fırın, 3 Teleskopik Ray, Komple Kendini Temizler, Siyah</v>
      </c>
      <c r="C201" s="8"/>
      <c r="D201" s="8"/>
      <c r="E201" s="9"/>
      <c r="F201" s="9"/>
      <c r="G201" s="9"/>
      <c r="H201" s="9">
        <v>1</v>
      </c>
      <c r="I201" s="10"/>
      <c r="J201" s="10"/>
      <c r="K201" s="9"/>
      <c r="L201" s="9"/>
      <c r="M201" s="10"/>
      <c r="N201" s="119">
        <f t="shared" si="7"/>
        <v>1</v>
      </c>
      <c r="O201" s="120"/>
      <c r="P201" s="68"/>
      <c r="Q201" s="153" t="s">
        <v>1788</v>
      </c>
      <c r="R201" s="141">
        <v>90000</v>
      </c>
      <c r="S201" s="11">
        <v>93600</v>
      </c>
      <c r="T201" s="11">
        <v>97200</v>
      </c>
      <c r="U201" s="122"/>
      <c r="V201" s="114"/>
      <c r="W201" s="123">
        <v>1000</v>
      </c>
    </row>
    <row r="202" spans="1:23">
      <c r="A202" s="81" t="s">
        <v>158</v>
      </c>
      <c r="B202" s="110" t="str">
        <f>IFERROR(HYPERLINK(VLOOKUP(A202,ÜRÜNLER!A:C,3,FALSE),VLOOKUP(A202,ÜRÜNLER!A:B,2,FALSE)),"")</f>
        <v>iQ300 Buhar Destekli Ankastre Fırın, Siyah</v>
      </c>
      <c r="C202" s="8">
        <v>28</v>
      </c>
      <c r="D202" s="8"/>
      <c r="E202" s="9"/>
      <c r="F202" s="9">
        <v>1</v>
      </c>
      <c r="G202" s="9"/>
      <c r="H202" s="9"/>
      <c r="I202" s="10">
        <v>1</v>
      </c>
      <c r="J202" s="10">
        <v>1</v>
      </c>
      <c r="K202" s="9"/>
      <c r="L202" s="9"/>
      <c r="M202" s="10"/>
      <c r="N202" s="119">
        <f t="shared" si="7"/>
        <v>31</v>
      </c>
      <c r="O202" s="120">
        <v>6</v>
      </c>
      <c r="P202" s="67"/>
      <c r="Q202" s="126">
        <v>25175.562628326243</v>
      </c>
      <c r="R202" s="143">
        <v>23413.273244343407</v>
      </c>
      <c r="S202" s="11">
        <v>24349.804174117144</v>
      </c>
      <c r="T202" s="11">
        <v>25286.33510389088</v>
      </c>
      <c r="U202" s="122"/>
      <c r="V202" s="114"/>
      <c r="W202" s="127"/>
    </row>
    <row r="203" spans="1:23">
      <c r="A203" s="80" t="s">
        <v>159</v>
      </c>
      <c r="B203" s="110" t="str">
        <f>IFERROR(HYPERLINK(VLOOKUP(A203,ÜRÜNLER!A:C,3,FALSE),VLOOKUP(A203,ÜRÜNLER!A:B,2,FALSE)),"")</f>
        <v>iQ300 Buhar Destekli Ankastre Fırın, Antrasit</v>
      </c>
      <c r="C203" s="8">
        <v>1</v>
      </c>
      <c r="D203" s="8"/>
      <c r="E203" s="9"/>
      <c r="F203" s="9"/>
      <c r="G203" s="9"/>
      <c r="H203" s="9"/>
      <c r="I203" s="10">
        <v>1</v>
      </c>
      <c r="J203" s="10">
        <v>1</v>
      </c>
      <c r="K203" s="9"/>
      <c r="L203" s="9"/>
      <c r="M203" s="10">
        <v>1</v>
      </c>
      <c r="N203" s="119">
        <f t="shared" si="7"/>
        <v>4</v>
      </c>
      <c r="O203" s="120">
        <v>6</v>
      </c>
      <c r="P203" s="67"/>
      <c r="Q203" s="126">
        <v>25175.562628326243</v>
      </c>
      <c r="R203" s="131">
        <v>25175.562628326243</v>
      </c>
      <c r="S203" s="11">
        <v>26182.585133459292</v>
      </c>
      <c r="T203" s="11">
        <v>27189.607638592341</v>
      </c>
      <c r="U203" s="122"/>
      <c r="V203" s="114"/>
      <c r="W203" s="127"/>
    </row>
    <row r="204" spans="1:23">
      <c r="A204" s="74" t="s">
        <v>157</v>
      </c>
      <c r="B204" s="110" t="str">
        <f>IFERROR(HYPERLINK(VLOOKUP(A204,ÜRÜNLER!A:C,3,FALSE),VLOOKUP(A204,ÜRÜNLER!A:B,2,FALSE)),"")</f>
        <v>iQ300 Buhar Destekli Ankastre Fırın, Beyaz</v>
      </c>
      <c r="C204" s="8"/>
      <c r="D204" s="8"/>
      <c r="E204" s="9"/>
      <c r="F204" s="9"/>
      <c r="G204" s="9"/>
      <c r="H204" s="9"/>
      <c r="I204" s="10">
        <v>1</v>
      </c>
      <c r="J204" s="10">
        <v>1</v>
      </c>
      <c r="K204" s="9">
        <v>1</v>
      </c>
      <c r="L204" s="9"/>
      <c r="M204" s="10"/>
      <c r="N204" s="119">
        <f t="shared" si="7"/>
        <v>3</v>
      </c>
      <c r="O204" s="120">
        <v>13</v>
      </c>
      <c r="P204" s="67"/>
      <c r="Q204" s="126">
        <v>25175.562628326243</v>
      </c>
      <c r="R204" s="131">
        <v>25175.562628326243</v>
      </c>
      <c r="S204" s="11">
        <v>26182.585133459292</v>
      </c>
      <c r="T204" s="11">
        <v>27189.607638592341</v>
      </c>
      <c r="U204" s="122"/>
      <c r="V204" s="114"/>
      <c r="W204" s="127"/>
    </row>
    <row r="205" spans="1:23">
      <c r="A205" s="81" t="s">
        <v>160</v>
      </c>
      <c r="B205" s="110" t="str">
        <f>IFERROR(HYPERLINK(VLOOKUP(A205,ÜRÜNLER!A:C,3,FALSE),VLOOKUP(A205,ÜRÜNLER!A:B,2,FALSE)),"")</f>
        <v>iQ300 Ankastre Fırın, 1 Teleskopik Ray, Arkası Kendini Temizler, Siyah</v>
      </c>
      <c r="C205" s="8">
        <v>29</v>
      </c>
      <c r="D205" s="8"/>
      <c r="E205" s="9"/>
      <c r="F205" s="9"/>
      <c r="G205" s="9"/>
      <c r="H205" s="9"/>
      <c r="I205" s="10"/>
      <c r="J205" s="10"/>
      <c r="K205" s="9"/>
      <c r="L205" s="9"/>
      <c r="M205" s="10">
        <v>1</v>
      </c>
      <c r="N205" s="119">
        <f t="shared" si="7"/>
        <v>30</v>
      </c>
      <c r="O205" s="120">
        <v>6</v>
      </c>
      <c r="P205" s="67"/>
      <c r="Q205" s="126">
        <v>28352.487630744396</v>
      </c>
      <c r="R205" s="143">
        <v>26367.813496592287</v>
      </c>
      <c r="S205" s="11">
        <v>27422.52603645598</v>
      </c>
      <c r="T205" s="11">
        <v>28477.238576319669</v>
      </c>
      <c r="U205" s="122"/>
      <c r="V205" s="114"/>
      <c r="W205" s="127"/>
    </row>
    <row r="206" spans="1:23">
      <c r="A206" s="81" t="s">
        <v>161</v>
      </c>
      <c r="B206" s="110" t="str">
        <f>IFERROR(HYPERLINK(VLOOKUP(A206,ÜRÜNLER!A:C,3,FALSE),VLOOKUP(A206,ÜRÜNLER!A:B,2,FALSE)),"")</f>
        <v>iQ300 Buhar Destekli Ankastre Fırın, 1 Teleskopik Ray, Arkası Kendini Temizler, darkSteel Line</v>
      </c>
      <c r="C206" s="8">
        <v>16</v>
      </c>
      <c r="D206" s="8"/>
      <c r="E206" s="9"/>
      <c r="F206" s="9"/>
      <c r="G206" s="9"/>
      <c r="H206" s="9"/>
      <c r="I206" s="10">
        <v>1</v>
      </c>
      <c r="J206" s="10"/>
      <c r="K206" s="9"/>
      <c r="L206" s="9"/>
      <c r="M206" s="10"/>
      <c r="N206" s="119">
        <f t="shared" si="7"/>
        <v>17</v>
      </c>
      <c r="O206" s="120"/>
      <c r="P206" s="67"/>
      <c r="Q206" s="126">
        <v>28352.487630744396</v>
      </c>
      <c r="R206" s="143">
        <v>26367.813496592287</v>
      </c>
      <c r="S206" s="11">
        <v>27422.52603645598</v>
      </c>
      <c r="T206" s="11">
        <v>28477.238576319669</v>
      </c>
      <c r="U206" s="122"/>
      <c r="V206" s="114"/>
      <c r="W206" s="127"/>
    </row>
    <row r="207" spans="1:23">
      <c r="A207" s="80" t="s">
        <v>162</v>
      </c>
      <c r="B207" s="110" t="str">
        <f>IFERROR(HYPERLINK(VLOOKUP(A207,ÜRÜNLER!A:C,3,FALSE),VLOOKUP(A207,ÜRÜNLER!A:B,2,FALSE)),"")</f>
        <v>iQ300 Ankastre Fırın, 1 Teleskopik Ray, Arkası Kendini Temizler, Antrasit</v>
      </c>
      <c r="C207" s="8">
        <v>13</v>
      </c>
      <c r="D207" s="8"/>
      <c r="E207" s="9"/>
      <c r="F207" s="9">
        <v>5</v>
      </c>
      <c r="G207" s="9"/>
      <c r="H207" s="9"/>
      <c r="I207" s="10"/>
      <c r="J207" s="10">
        <v>1</v>
      </c>
      <c r="K207" s="9">
        <v>1</v>
      </c>
      <c r="L207" s="9"/>
      <c r="M207" s="10">
        <v>1</v>
      </c>
      <c r="N207" s="119">
        <f t="shared" si="7"/>
        <v>21</v>
      </c>
      <c r="O207" s="120">
        <v>1</v>
      </c>
      <c r="P207" s="67"/>
      <c r="Q207" s="126">
        <v>28085.011332341153</v>
      </c>
      <c r="R207" s="143">
        <v>26119.060539077273</v>
      </c>
      <c r="S207" s="11">
        <v>27163.822960640362</v>
      </c>
      <c r="T207" s="11">
        <v>28208.585382203455</v>
      </c>
      <c r="U207" s="122"/>
      <c r="V207" s="114"/>
      <c r="W207" s="127"/>
    </row>
    <row r="208" spans="1:23">
      <c r="A208" s="74" t="s">
        <v>163</v>
      </c>
      <c r="B208" s="110" t="str">
        <f>IFERROR(HYPERLINK(VLOOKUP(A208,ÜRÜNLER!A:C,3,FALSE),VLOOKUP(A208,ÜRÜNLER!A:B,2,FALSE)),"")</f>
        <v>iQ300 Buhar Destekli Ankastre Fırın, 1 Teleskopik Ray, Arkası Kendini Temizler, Beyaz</v>
      </c>
      <c r="C208" s="8">
        <v>1</v>
      </c>
      <c r="D208" s="8"/>
      <c r="E208" s="9"/>
      <c r="F208" s="9">
        <v>2</v>
      </c>
      <c r="G208" s="9"/>
      <c r="H208" s="9"/>
      <c r="I208" s="10">
        <v>1</v>
      </c>
      <c r="J208" s="10">
        <v>1</v>
      </c>
      <c r="K208" s="9"/>
      <c r="L208" s="9"/>
      <c r="M208" s="10"/>
      <c r="N208" s="119">
        <f t="shared" si="7"/>
        <v>5</v>
      </c>
      <c r="O208" s="120"/>
      <c r="P208" s="67"/>
      <c r="Q208" s="126">
        <v>28352.487630744396</v>
      </c>
      <c r="R208" s="131">
        <v>28352.487630744396</v>
      </c>
      <c r="S208" s="11">
        <v>29486.587135974172</v>
      </c>
      <c r="T208" s="11">
        <v>30620.686641203945</v>
      </c>
      <c r="U208" s="122"/>
      <c r="V208" s="114"/>
      <c r="W208" s="127"/>
    </row>
    <row r="209" spans="1:25" s="20" customFormat="1" ht="40.5" customHeight="1">
      <c r="A209" s="22" t="s">
        <v>203</v>
      </c>
      <c r="B209" s="110" t="str">
        <f>IFERROR(HYPERLINK(VLOOKUP(A209,ÜRÜNLER!A:C,3,FALSE),VLOOKUP(A209,ÜRÜNLER!A:B,2,FALSE)),"")</f>
        <v/>
      </c>
      <c r="C209" s="8"/>
      <c r="D209" s="8"/>
      <c r="E209" s="9"/>
      <c r="F209" s="9"/>
      <c r="G209" s="9"/>
      <c r="H209" s="9"/>
      <c r="I209" s="10"/>
      <c r="J209" s="10"/>
      <c r="K209" s="9"/>
      <c r="L209" s="9"/>
      <c r="M209" s="10"/>
      <c r="N209" s="119">
        <f>SUM(N166:N208)</f>
        <v>453</v>
      </c>
      <c r="O209" s="120"/>
      <c r="P209" s="68"/>
      <c r="Q209" s="121"/>
      <c r="R209" s="121"/>
      <c r="S209" s="11"/>
      <c r="T209" s="11"/>
      <c r="U209" s="122"/>
      <c r="V209" s="114"/>
      <c r="W209" s="130"/>
      <c r="X209" s="124"/>
    </row>
    <row r="210" spans="1:25">
      <c r="A210" s="78" t="s">
        <v>204</v>
      </c>
      <c r="B210" s="110" t="str">
        <f>IFERROR(HYPERLINK(VLOOKUP(A210,ÜRÜNLER!A:C,3,FALSE),VLOOKUP(A210,ÜRÜNLER!A:B,2,FALSE)),"")</f>
        <v>iQ500 Ankastre Mikrodalga, Izgaralı, Siyah</v>
      </c>
      <c r="C210" s="8">
        <v>1</v>
      </c>
      <c r="D210" s="8"/>
      <c r="E210" s="9"/>
      <c r="F210" s="9"/>
      <c r="G210" s="9"/>
      <c r="H210" s="9"/>
      <c r="I210" s="10"/>
      <c r="J210" s="10"/>
      <c r="K210" s="9"/>
      <c r="L210" s="9"/>
      <c r="M210" s="10"/>
      <c r="N210" s="119">
        <f t="shared" ref="N210:N227" si="8">M210+K210+L210+J210+I210+H210+G210+F210+E210+D210+C210</f>
        <v>1</v>
      </c>
      <c r="O210" s="120">
        <v>11</v>
      </c>
      <c r="P210" s="68"/>
      <c r="Q210" s="126">
        <v>21342.536832264141</v>
      </c>
      <c r="R210" s="131">
        <v>21342.536832264141</v>
      </c>
      <c r="S210" s="11">
        <v>22196.238305554707</v>
      </c>
      <c r="T210" s="11">
        <v>23049.939778845273</v>
      </c>
      <c r="U210" s="122"/>
      <c r="V210" s="114"/>
      <c r="W210" s="130"/>
      <c r="Y210" s="124">
        <v>20700</v>
      </c>
    </row>
    <row r="211" spans="1:25">
      <c r="A211" s="82" t="s">
        <v>205</v>
      </c>
      <c r="B211" s="110" t="str">
        <f>IFERROR(HYPERLINK(VLOOKUP(A211,ÜRÜNLER!A:C,3,FALSE),VLOOKUP(A211,ÜRÜNLER!A:B,2,FALSE)),"")</f>
        <v>iQ500 Ankastre Mikrodalga, Izgara Fonksiyonlu, 20L, Siyah/darkSteel</v>
      </c>
      <c r="C211" s="8">
        <v>3</v>
      </c>
      <c r="D211" s="8"/>
      <c r="E211" s="9"/>
      <c r="F211" s="9">
        <v>2</v>
      </c>
      <c r="G211" s="9"/>
      <c r="H211" s="9"/>
      <c r="I211" s="10"/>
      <c r="J211" s="10"/>
      <c r="K211" s="9"/>
      <c r="L211" s="9">
        <v>1</v>
      </c>
      <c r="M211" s="10"/>
      <c r="N211" s="119">
        <f t="shared" si="8"/>
        <v>6</v>
      </c>
      <c r="O211" s="120">
        <v>1</v>
      </c>
      <c r="P211" s="68"/>
      <c r="Q211" s="126">
        <v>21342.536832264141</v>
      </c>
      <c r="R211" s="131">
        <v>21342.536832264141</v>
      </c>
      <c r="S211" s="11">
        <v>22196.238305554707</v>
      </c>
      <c r="T211" s="11">
        <v>23049.939778845273</v>
      </c>
      <c r="U211" s="122"/>
      <c r="V211" s="114"/>
      <c r="W211" s="127"/>
      <c r="Y211" s="124"/>
    </row>
    <row r="212" spans="1:25">
      <c r="A212" s="80" t="s">
        <v>206</v>
      </c>
      <c r="B212" s="110" t="str">
        <f>IFERROR(HYPERLINK(VLOOKUP(A212,ÜRÜNLER!A:C,3,FALSE),VLOOKUP(A212,ÜRÜNLER!A:B,2,FALSE)),"")</f>
        <v>iQ500 Ankastre Mikrodalga, Izgaralı, Anstrasit</v>
      </c>
      <c r="C212" s="8"/>
      <c r="D212" s="8"/>
      <c r="E212" s="9"/>
      <c r="F212" s="9">
        <v>3</v>
      </c>
      <c r="G212" s="9"/>
      <c r="H212" s="9"/>
      <c r="I212" s="10"/>
      <c r="J212" s="10"/>
      <c r="K212" s="9"/>
      <c r="L212" s="9"/>
      <c r="M212" s="10"/>
      <c r="N212" s="119">
        <f t="shared" si="8"/>
        <v>3</v>
      </c>
      <c r="O212" s="120">
        <v>1</v>
      </c>
      <c r="P212" s="68"/>
      <c r="Q212" s="126">
        <v>21342.536832264141</v>
      </c>
      <c r="R212" s="131">
        <v>21342.536832264141</v>
      </c>
      <c r="S212" s="11">
        <v>22196.238305554707</v>
      </c>
      <c r="T212" s="11">
        <v>23049.939778845273</v>
      </c>
      <c r="U212" s="122"/>
      <c r="V212" s="114"/>
      <c r="W212" s="127"/>
      <c r="Y212" s="124"/>
    </row>
    <row r="213" spans="1:25">
      <c r="A213" s="14" t="s">
        <v>207</v>
      </c>
      <c r="B213" s="110" t="str">
        <f>IFERROR(HYPERLINK(VLOOKUP(A213,ÜRÜNLER!A:C,3,FALSE),VLOOKUP(A213,ÜRÜNLER!A:B,2,FALSE)),"")</f>
        <v>iQ500 Ankastre Mikrodalga, Izgara Fonksiyonlu, 20L, Beyaz</v>
      </c>
      <c r="C213" s="8">
        <v>3</v>
      </c>
      <c r="D213" s="8"/>
      <c r="E213" s="9"/>
      <c r="F213" s="9"/>
      <c r="G213" s="9"/>
      <c r="H213" s="9"/>
      <c r="I213" s="10"/>
      <c r="J213" s="10"/>
      <c r="K213" s="9"/>
      <c r="L213" s="9"/>
      <c r="M213" s="10"/>
      <c r="N213" s="119">
        <f t="shared" si="8"/>
        <v>3</v>
      </c>
      <c r="O213" s="120">
        <v>1</v>
      </c>
      <c r="P213" s="68"/>
      <c r="Q213" s="126">
        <v>21342.536832264141</v>
      </c>
      <c r="R213" s="131">
        <v>21342.536832264141</v>
      </c>
      <c r="S213" s="11">
        <v>22196.238305554707</v>
      </c>
      <c r="T213" s="11">
        <v>23049.939778845273</v>
      </c>
      <c r="U213" s="122"/>
      <c r="V213" s="114"/>
      <c r="W213" s="127"/>
      <c r="Y213" s="124"/>
    </row>
    <row r="214" spans="1:25">
      <c r="A214" s="14" t="s">
        <v>208</v>
      </c>
      <c r="B214" s="110" t="str">
        <f>IFERROR(HYPERLINK(VLOOKUP(A214,ÜRÜNLER!A:C,3,FALSE),VLOOKUP(A214,ÜRÜNLER!A:B,2,FALSE)),"")</f>
        <v>iQ500 Ankastre Mikrodalga, Izgara Fonksiyonlu, 20L, Siyah/Inox</v>
      </c>
      <c r="C214" s="8"/>
      <c r="D214" s="8"/>
      <c r="E214" s="9"/>
      <c r="F214" s="9"/>
      <c r="G214" s="9"/>
      <c r="H214" s="9"/>
      <c r="I214" s="10"/>
      <c r="J214" s="10"/>
      <c r="K214" s="9"/>
      <c r="L214" s="9"/>
      <c r="M214" s="10">
        <v>1</v>
      </c>
      <c r="N214" s="119">
        <f t="shared" si="8"/>
        <v>1</v>
      </c>
      <c r="O214" s="120"/>
      <c r="P214" s="68"/>
      <c r="Q214" s="121" t="s">
        <v>1788</v>
      </c>
      <c r="R214" s="114">
        <v>20000</v>
      </c>
      <c r="S214" s="11">
        <v>20800</v>
      </c>
      <c r="T214" s="11">
        <v>21600</v>
      </c>
      <c r="U214" s="122"/>
      <c r="V214" s="114"/>
      <c r="W214" s="149">
        <v>500</v>
      </c>
      <c r="Y214" s="124"/>
    </row>
    <row r="215" spans="1:25">
      <c r="A215" s="78" t="s">
        <v>210</v>
      </c>
      <c r="B215" s="110" t="str">
        <f>IFERROR(HYPERLINK(VLOOKUP(A215,ÜRÜNLER!A:C,3,FALSE),VLOOKUP(A215,ÜRÜNLER!A:B,2,FALSE)),"")</f>
        <v>iQ500 Ankastre Mikrodalga, Izgaralı, Siyah</v>
      </c>
      <c r="C215" s="8">
        <v>3</v>
      </c>
      <c r="D215" s="8"/>
      <c r="E215" s="9"/>
      <c r="F215" s="9">
        <v>1</v>
      </c>
      <c r="G215" s="9"/>
      <c r="H215" s="9"/>
      <c r="I215" s="10">
        <v>1</v>
      </c>
      <c r="J215" s="10"/>
      <c r="K215" s="9">
        <v>1</v>
      </c>
      <c r="L215" s="9"/>
      <c r="M215" s="10"/>
      <c r="N215" s="119">
        <f t="shared" si="8"/>
        <v>6</v>
      </c>
      <c r="O215" s="120">
        <v>6</v>
      </c>
      <c r="P215" s="68"/>
      <c r="Q215" s="126">
        <v>23913.175291561605</v>
      </c>
      <c r="R215" s="131">
        <v>23913.175291561605</v>
      </c>
      <c r="S215" s="11">
        <v>24869.702303224069</v>
      </c>
      <c r="T215" s="11">
        <v>25826.229314886536</v>
      </c>
      <c r="U215" s="122"/>
      <c r="V215" s="114"/>
      <c r="W215" s="130"/>
      <c r="Y215" s="124"/>
    </row>
    <row r="216" spans="1:25">
      <c r="A216" s="14" t="s">
        <v>211</v>
      </c>
      <c r="B216" s="110" t="str">
        <f>IFERROR(HYPERLINK(VLOOKUP(A216,ÜRÜNLER!A:C,3,FALSE),VLOOKUP(A216,ÜRÜNLER!A:B,2,FALSE)),"")</f>
        <v>iQ700 Ankastre Mikrodalga, Izgara Fonksiyonlu, 21L, Siyah</v>
      </c>
      <c r="C216" s="8">
        <v>1</v>
      </c>
      <c r="D216" s="8"/>
      <c r="E216" s="9"/>
      <c r="F216" s="9">
        <v>4</v>
      </c>
      <c r="G216" s="9"/>
      <c r="H216" s="9"/>
      <c r="I216" s="10"/>
      <c r="J216" s="10"/>
      <c r="K216" s="9"/>
      <c r="L216" s="9"/>
      <c r="M216" s="10"/>
      <c r="N216" s="119">
        <f t="shared" si="8"/>
        <v>5</v>
      </c>
      <c r="O216" s="120">
        <v>1</v>
      </c>
      <c r="P216" s="68"/>
      <c r="Q216" s="126">
        <v>35710.442070253615</v>
      </c>
      <c r="R216" s="131">
        <v>35710.442070253615</v>
      </c>
      <c r="S216" s="11">
        <v>37138.859753063763</v>
      </c>
      <c r="T216" s="11">
        <v>38567.277435873904</v>
      </c>
      <c r="U216" s="122"/>
      <c r="V216" s="114"/>
      <c r="W216" s="130"/>
      <c r="Y216" s="124"/>
    </row>
    <row r="217" spans="1:25">
      <c r="A217" s="78" t="s">
        <v>212</v>
      </c>
      <c r="B217" s="110" t="str">
        <f>IFERROR(HYPERLINK(VLOOKUP(A217,ÜRÜNLER!A:C,3,FALSE),VLOOKUP(A217,ÜRÜNLER!A:B,2,FALSE)),"")</f>
        <v>iQ300 Ankastre Mikrodalga, 20L, Siyah</v>
      </c>
      <c r="C217" s="8"/>
      <c r="D217" s="8"/>
      <c r="E217" s="9"/>
      <c r="F217" s="9"/>
      <c r="G217" s="9"/>
      <c r="H217" s="9"/>
      <c r="I217" s="10"/>
      <c r="J217" s="10"/>
      <c r="K217" s="9"/>
      <c r="L217" s="9"/>
      <c r="M217" s="10"/>
      <c r="N217" s="119">
        <f t="shared" si="8"/>
        <v>0</v>
      </c>
      <c r="O217" s="120">
        <v>1</v>
      </c>
      <c r="P217" s="68"/>
      <c r="Q217" s="126">
        <v>18113.770449440766</v>
      </c>
      <c r="R217" s="131">
        <v>18113.770449440766</v>
      </c>
      <c r="S217" s="11">
        <v>18838.321267418396</v>
      </c>
      <c r="T217" s="11">
        <v>19562.872085396026</v>
      </c>
      <c r="U217" s="122"/>
      <c r="V217" s="114"/>
      <c r="W217" s="130"/>
      <c r="Y217" s="124"/>
    </row>
    <row r="218" spans="1:25">
      <c r="A218" s="14" t="s">
        <v>213</v>
      </c>
      <c r="B218" s="110" t="str">
        <f>IFERROR(HYPERLINK(VLOOKUP(A218,ÜRÜNLER!A:C,3,FALSE),VLOOKUP(A218,ÜRÜNLER!A:B,2,FALSE)),"")</f>
        <v>iQ300 Ankastre Mikrodalga, 20L, Siyah/Inox</v>
      </c>
      <c r="C218" s="8"/>
      <c r="D218" s="8"/>
      <c r="E218" s="9"/>
      <c r="F218" s="9"/>
      <c r="G218" s="9"/>
      <c r="H218" s="9"/>
      <c r="I218" s="10">
        <v>1</v>
      </c>
      <c r="J218" s="10">
        <v>1</v>
      </c>
      <c r="K218" s="9"/>
      <c r="L218" s="9"/>
      <c r="M218" s="10"/>
      <c r="N218" s="119">
        <f t="shared" si="8"/>
        <v>2</v>
      </c>
      <c r="O218" s="120"/>
      <c r="P218" s="68"/>
      <c r="Q218" s="121" t="s">
        <v>1788</v>
      </c>
      <c r="R218" s="114">
        <v>19500</v>
      </c>
      <c r="S218" s="11">
        <v>20280</v>
      </c>
      <c r="T218" s="11">
        <v>21060</v>
      </c>
      <c r="U218" s="122"/>
      <c r="V218" s="114"/>
      <c r="W218" s="149">
        <v>500</v>
      </c>
      <c r="Y218" s="124"/>
    </row>
    <row r="219" spans="1:25">
      <c r="A219" s="14" t="s">
        <v>215</v>
      </c>
      <c r="B219" s="110" t="str">
        <f>IFERROR(HYPERLINK(VLOOKUP(A219,ÜRÜNLER!A:C,3,FALSE),VLOOKUP(A219,ÜRÜNLER!A:B,2,FALSE)),"")</f>
        <v>iQ500 Ankastre Mikrodalga, 20L, Beyaz/Inox</v>
      </c>
      <c r="C219" s="8"/>
      <c r="D219" s="8"/>
      <c r="E219" s="9"/>
      <c r="F219" s="9"/>
      <c r="G219" s="9"/>
      <c r="H219" s="9"/>
      <c r="I219" s="10">
        <v>1</v>
      </c>
      <c r="J219" s="10">
        <v>1</v>
      </c>
      <c r="K219" s="9"/>
      <c r="L219" s="9">
        <v>2</v>
      </c>
      <c r="M219" s="10"/>
      <c r="N219" s="119">
        <f t="shared" si="8"/>
        <v>4</v>
      </c>
      <c r="O219" s="120"/>
      <c r="P219" s="68"/>
      <c r="Q219" s="121" t="s">
        <v>1788</v>
      </c>
      <c r="R219" s="114">
        <v>19500</v>
      </c>
      <c r="S219" s="11">
        <v>20280</v>
      </c>
      <c r="T219" s="11">
        <v>21060</v>
      </c>
      <c r="U219" s="122"/>
      <c r="V219" s="114"/>
      <c r="W219" s="149">
        <v>500</v>
      </c>
      <c r="Y219" s="124"/>
    </row>
    <row r="220" spans="1:25">
      <c r="A220" s="80" t="s">
        <v>216</v>
      </c>
      <c r="B220" s="110" t="str">
        <f>IFERROR(HYPERLINK(VLOOKUP(A220,ÜRÜNLER!A:C,3,FALSE),VLOOKUP(A220,ÜRÜNLER!A:B,2,FALSE)),"")</f>
        <v>iQ300 Ankastre Mikrodalga, 20L, Antrasit/Titanyum Gri</v>
      </c>
      <c r="C220" s="8">
        <v>8</v>
      </c>
      <c r="D220" s="8"/>
      <c r="E220" s="9"/>
      <c r="F220" s="9"/>
      <c r="G220" s="9"/>
      <c r="H220" s="9"/>
      <c r="I220" s="10">
        <v>1</v>
      </c>
      <c r="J220" s="10">
        <v>1</v>
      </c>
      <c r="K220" s="9"/>
      <c r="L220" s="9"/>
      <c r="M220" s="10"/>
      <c r="N220" s="119">
        <f t="shared" si="8"/>
        <v>10</v>
      </c>
      <c r="O220" s="120">
        <v>3</v>
      </c>
      <c r="P220" s="68"/>
      <c r="Q220" s="126">
        <v>16906.864357675429</v>
      </c>
      <c r="R220" s="116">
        <v>16399.658426945167</v>
      </c>
      <c r="S220" s="11">
        <v>17055.644764022974</v>
      </c>
      <c r="T220" s="11">
        <v>17711.631101100778</v>
      </c>
      <c r="U220" s="122"/>
      <c r="V220" s="114"/>
      <c r="W220" s="130"/>
      <c r="Y220" s="124">
        <v>16400</v>
      </c>
    </row>
    <row r="221" spans="1:25">
      <c r="A221" s="14" t="s">
        <v>217</v>
      </c>
      <c r="B221" s="110" t="str">
        <f>IFERROR(HYPERLINK(VLOOKUP(A221,ÜRÜNLER!A:C,3,FALSE),VLOOKUP(A221,ÜRÜNLER!A:B,2,FALSE)),"")</f>
        <v>iQ300 Ankastre Mikrodalga, Inox</v>
      </c>
      <c r="C221" s="8">
        <v>6</v>
      </c>
      <c r="D221" s="8"/>
      <c r="E221" s="9"/>
      <c r="F221" s="9">
        <v>1</v>
      </c>
      <c r="G221" s="9"/>
      <c r="H221" s="9"/>
      <c r="I221" s="10">
        <v>1</v>
      </c>
      <c r="J221" s="10"/>
      <c r="K221" s="9">
        <v>1</v>
      </c>
      <c r="L221" s="9"/>
      <c r="M221" s="10">
        <v>1</v>
      </c>
      <c r="N221" s="119">
        <f t="shared" si="8"/>
        <v>10</v>
      </c>
      <c r="O221" s="120">
        <v>3</v>
      </c>
      <c r="P221" s="68"/>
      <c r="Q221" s="126">
        <v>16903.466423373164</v>
      </c>
      <c r="R221" s="116">
        <v>16396.362430671968</v>
      </c>
      <c r="S221" s="11">
        <v>17052.216927898848</v>
      </c>
      <c r="T221" s="11">
        <v>17708.071425125727</v>
      </c>
      <c r="U221" s="122"/>
      <c r="V221" s="114"/>
      <c r="W221" s="127"/>
      <c r="Y221" s="124">
        <v>16400</v>
      </c>
    </row>
    <row r="222" spans="1:25">
      <c r="A222" s="14" t="s">
        <v>218</v>
      </c>
      <c r="B222" s="110" t="str">
        <f>IFERROR(HYPERLINK(VLOOKUP(A222,ÜRÜNLER!A:C,3,FALSE),VLOOKUP(A222,ÜRÜNLER!A:B,2,FALSE)),"")</f>
        <v>iQ300 Ankastre Mikrodalga, 20L, Beyaz</v>
      </c>
      <c r="C222" s="8">
        <v>8</v>
      </c>
      <c r="D222" s="8"/>
      <c r="E222" s="9"/>
      <c r="F222" s="9">
        <v>1</v>
      </c>
      <c r="G222" s="9"/>
      <c r="H222" s="9"/>
      <c r="I222" s="10">
        <v>1</v>
      </c>
      <c r="J222" s="10"/>
      <c r="K222" s="9"/>
      <c r="L222" s="9"/>
      <c r="M222" s="10"/>
      <c r="N222" s="119">
        <f t="shared" si="8"/>
        <v>10</v>
      </c>
      <c r="O222" s="120">
        <v>1</v>
      </c>
      <c r="P222" s="68"/>
      <c r="Q222" s="126">
        <v>16903.466423373164</v>
      </c>
      <c r="R222" s="116">
        <v>16396.362430671968</v>
      </c>
      <c r="S222" s="11">
        <v>17052.216927898848</v>
      </c>
      <c r="T222" s="11">
        <v>17708.071425125727</v>
      </c>
      <c r="U222" s="122"/>
      <c r="V222" s="114"/>
      <c r="W222" s="127"/>
      <c r="Y222" s="124">
        <v>16400</v>
      </c>
    </row>
    <row r="223" spans="1:25">
      <c r="A223" s="14" t="s">
        <v>219</v>
      </c>
      <c r="B223" s="110" t="str">
        <f>IFERROR(HYPERLINK(VLOOKUP(A223,ÜRÜNLER!A:C,3,FALSE),VLOOKUP(A223,ÜRÜNLER!A:B,2,FALSE)),"")</f>
        <v>iQ700 studioLine Ankastre Mikrodalga, 21L, Siyah</v>
      </c>
      <c r="C223" s="8"/>
      <c r="D223" s="8">
        <v>2</v>
      </c>
      <c r="E223" s="9"/>
      <c r="F223" s="9"/>
      <c r="G223" s="9"/>
      <c r="H223" s="9">
        <v>1</v>
      </c>
      <c r="I223" s="10"/>
      <c r="J223" s="10"/>
      <c r="K223" s="9"/>
      <c r="L223" s="9"/>
      <c r="M223" s="10"/>
      <c r="N223" s="119">
        <f t="shared" si="8"/>
        <v>3</v>
      </c>
      <c r="O223" s="120"/>
      <c r="P223" s="68"/>
      <c r="Q223" s="121" t="s">
        <v>1788</v>
      </c>
      <c r="R223" s="139">
        <v>45000</v>
      </c>
      <c r="S223" s="11">
        <v>46800</v>
      </c>
      <c r="T223" s="11">
        <v>48600</v>
      </c>
      <c r="U223" s="122"/>
      <c r="V223" s="114"/>
      <c r="W223" s="123">
        <v>500</v>
      </c>
    </row>
    <row r="224" spans="1:25">
      <c r="A224" s="78" t="s">
        <v>220</v>
      </c>
      <c r="B224" s="110" t="str">
        <f>IFERROR(HYPERLINK(VLOOKUP(A224,ÜRÜNLER!A:C,3,FALSE),VLOOKUP(A224,ÜRÜNLER!A:B,2,FALSE)),"")</f>
        <v>iQ700 studioLine Ankastre Mikrodalga, 21L, Siyah</v>
      </c>
      <c r="C224" s="8"/>
      <c r="D224" s="8">
        <v>1</v>
      </c>
      <c r="E224" s="9"/>
      <c r="F224" s="9"/>
      <c r="G224" s="9"/>
      <c r="H224" s="9"/>
      <c r="I224" s="10"/>
      <c r="J224" s="10"/>
      <c r="K224" s="9"/>
      <c r="L224" s="9"/>
      <c r="M224" s="10"/>
      <c r="N224" s="119">
        <f t="shared" si="8"/>
        <v>1</v>
      </c>
      <c r="O224" s="120"/>
      <c r="P224" s="68"/>
      <c r="Q224" s="141">
        <v>54530.754017160434</v>
      </c>
      <c r="R224" s="139">
        <v>49077.678615444391</v>
      </c>
      <c r="S224" s="11">
        <v>51040.785760062165</v>
      </c>
      <c r="T224" s="11">
        <v>53003.892904679946</v>
      </c>
      <c r="U224" s="122"/>
      <c r="V224" s="114"/>
      <c r="W224" s="123">
        <v>500</v>
      </c>
    </row>
    <row r="225" spans="1:23">
      <c r="A225" s="72" t="s">
        <v>221</v>
      </c>
      <c r="B225" s="110" t="str">
        <f>IFERROR(HYPERLINK(VLOOKUP(A225,ÜRÜNLER!A:C,3,FALSE),VLOOKUP(A225,ÜRÜNLER!A:B,2,FALSE)),"")</f>
        <v>iQ300 Solo Mikrodalga, 20L, Siyah</v>
      </c>
      <c r="C225" s="8">
        <v>9</v>
      </c>
      <c r="D225" s="8"/>
      <c r="E225" s="9"/>
      <c r="F225" s="9">
        <v>3</v>
      </c>
      <c r="G225" s="9"/>
      <c r="H225" s="9"/>
      <c r="I225" s="10">
        <v>1</v>
      </c>
      <c r="J225" s="10"/>
      <c r="K225" s="9"/>
      <c r="L225" s="9">
        <v>1</v>
      </c>
      <c r="M225" s="10">
        <v>1</v>
      </c>
      <c r="N225" s="119">
        <f t="shared" si="8"/>
        <v>15</v>
      </c>
      <c r="O225" s="120">
        <v>1</v>
      </c>
      <c r="P225" s="68"/>
      <c r="Q225" s="126">
        <v>7515.0928761612995</v>
      </c>
      <c r="R225" s="152">
        <v>7289.6400898764605</v>
      </c>
      <c r="S225" s="11">
        <v>7581.2256934715188</v>
      </c>
      <c r="T225" s="11">
        <v>7872.811297066577</v>
      </c>
      <c r="U225" s="122"/>
      <c r="V225" s="114"/>
      <c r="W225" s="130"/>
    </row>
    <row r="226" spans="1:23">
      <c r="A226" s="72" t="s">
        <v>222</v>
      </c>
      <c r="B226" s="110" t="str">
        <f>IFERROR(HYPERLINK(VLOOKUP(A226,ÜRÜNLER!A:C,3,FALSE),VLOOKUP(A226,ÜRÜNLER!A:B,2,FALSE)),"")</f>
        <v>iQ300 Solo Mikrodalga, 20L, Beyaz</v>
      </c>
      <c r="C226" s="8">
        <v>11</v>
      </c>
      <c r="D226" s="8"/>
      <c r="E226" s="9"/>
      <c r="F226" s="9"/>
      <c r="G226" s="9"/>
      <c r="H226" s="9"/>
      <c r="I226" s="10">
        <v>1</v>
      </c>
      <c r="J226" s="10">
        <v>1</v>
      </c>
      <c r="K226" s="9">
        <v>1</v>
      </c>
      <c r="L226" s="9"/>
      <c r="M226" s="10">
        <v>1</v>
      </c>
      <c r="N226" s="119">
        <f t="shared" si="8"/>
        <v>15</v>
      </c>
      <c r="O226" s="120">
        <v>1</v>
      </c>
      <c r="P226" s="68"/>
      <c r="Q226" s="126">
        <v>6972.3318616699362</v>
      </c>
      <c r="R226" s="152">
        <v>6763.1619058198385</v>
      </c>
      <c r="S226" s="11">
        <v>7033.6883820526318</v>
      </c>
      <c r="T226" s="11">
        <v>7304.2148582854252</v>
      </c>
      <c r="U226" s="122"/>
      <c r="V226" s="114"/>
      <c r="W226" s="130"/>
    </row>
    <row r="227" spans="1:23">
      <c r="A227" s="72" t="s">
        <v>223</v>
      </c>
      <c r="B227" s="110" t="str">
        <f>IFERROR(HYPERLINK(VLOOKUP(A227,ÜRÜNLER!A:C,3,FALSE),VLOOKUP(A227,ÜRÜNLER!A:B,2,FALSE)),"")</f>
        <v>iQ300 Solo Mikrodalga, 20L, Siyah/Inox</v>
      </c>
      <c r="C227" s="8"/>
      <c r="D227" s="8"/>
      <c r="E227" s="9"/>
      <c r="F227" s="9">
        <v>2</v>
      </c>
      <c r="G227" s="9"/>
      <c r="H227" s="9"/>
      <c r="I227" s="10">
        <v>1</v>
      </c>
      <c r="J227" s="10"/>
      <c r="K227" s="9"/>
      <c r="L227" s="9"/>
      <c r="M227" s="10">
        <v>1</v>
      </c>
      <c r="N227" s="119">
        <f t="shared" si="8"/>
        <v>4</v>
      </c>
      <c r="O227" s="120">
        <v>11</v>
      </c>
      <c r="P227" s="68"/>
      <c r="Q227" s="126">
        <v>8327.9003012042613</v>
      </c>
      <c r="R227" s="152">
        <v>8078.0632921681336</v>
      </c>
      <c r="S227" s="11">
        <v>8401.1858238548593</v>
      </c>
      <c r="T227" s="11">
        <v>8724.3083555415833</v>
      </c>
      <c r="U227" s="122"/>
      <c r="V227" s="114"/>
      <c r="W227" s="130"/>
    </row>
    <row r="228" spans="1:23" ht="35.25" customHeight="1">
      <c r="A228" s="19" t="s">
        <v>224</v>
      </c>
      <c r="B228" s="110" t="str">
        <f>IFERROR(HYPERLINK(VLOOKUP(A228,ÜRÜNLER!A:C,3,FALSE),VLOOKUP(A228,ÜRÜNLER!A:B,2,FALSE)),"")</f>
        <v/>
      </c>
      <c r="C228" s="8"/>
      <c r="D228" s="8"/>
      <c r="E228" s="9"/>
      <c r="F228" s="9"/>
      <c r="G228" s="9"/>
      <c r="H228" s="9"/>
      <c r="I228" s="10"/>
      <c r="J228" s="10"/>
      <c r="K228" s="9"/>
      <c r="L228" s="9"/>
      <c r="M228" s="10"/>
      <c r="N228" s="119">
        <f>SUM(N210:N227)</f>
        <v>99</v>
      </c>
      <c r="O228" s="120"/>
      <c r="P228" s="68"/>
      <c r="Q228" s="121"/>
      <c r="R228" s="121"/>
      <c r="S228" s="11"/>
      <c r="T228" s="11"/>
      <c r="U228" s="122"/>
      <c r="V228" s="114"/>
      <c r="W228" s="130"/>
    </row>
    <row r="229" spans="1:23">
      <c r="A229" s="74" t="s">
        <v>228</v>
      </c>
      <c r="B229" s="110" t="str">
        <f>IFERROR(HYPERLINK(VLOOKUP(A229,ÜRÜNLER!A:C,3,FALSE),VLOOKUP(A229,ÜRÜNLER!A:B,2,FALSE)),"")</f>
        <v>iQ100 Eğimli Davlumbaz, 59cm, 360m3, Beyaz Cam</v>
      </c>
      <c r="C229" s="8"/>
      <c r="D229" s="8"/>
      <c r="E229" s="9"/>
      <c r="F229" s="9">
        <v>1</v>
      </c>
      <c r="G229" s="9"/>
      <c r="H229" s="9"/>
      <c r="I229" s="10"/>
      <c r="J229" s="10"/>
      <c r="K229" s="9"/>
      <c r="L229" s="9"/>
      <c r="M229" s="10"/>
      <c r="N229" s="119">
        <f t="shared" ref="N229:N278" si="9">M229+K229+L229+J229+I229+H229+G229+F229+E229+D229+C229</f>
        <v>1</v>
      </c>
      <c r="O229" s="120"/>
      <c r="P229" s="68" t="s">
        <v>1545</v>
      </c>
      <c r="Q229" s="126">
        <v>9567.2215549669108</v>
      </c>
      <c r="R229" s="114">
        <v>9567.2215549669108</v>
      </c>
      <c r="S229" s="11">
        <v>9949.9104171655872</v>
      </c>
      <c r="T229" s="11">
        <v>10332.599279364264</v>
      </c>
      <c r="U229" s="122"/>
      <c r="V229" s="114"/>
      <c r="W229" s="130"/>
    </row>
    <row r="230" spans="1:23">
      <c r="A230" s="74" t="s">
        <v>229</v>
      </c>
      <c r="B230" s="110" t="str">
        <f>IFERROR(HYPERLINK(VLOOKUP(A230,ÜRÜNLER!A:C,3,FALSE),VLOOKUP(A230,ÜRÜNLER!A:B,2,FALSE)),"")</f>
        <v>iQ100 Eğimli Davlumbaz, 59cm, 360m3, Siyah Cam</v>
      </c>
      <c r="C230" s="8"/>
      <c r="D230" s="8"/>
      <c r="E230" s="9"/>
      <c r="F230" s="9">
        <v>1</v>
      </c>
      <c r="G230" s="9"/>
      <c r="H230" s="9"/>
      <c r="I230" s="10"/>
      <c r="J230" s="10"/>
      <c r="K230" s="9"/>
      <c r="L230" s="9"/>
      <c r="M230" s="10">
        <v>1</v>
      </c>
      <c r="N230" s="119">
        <f t="shared" si="9"/>
        <v>2</v>
      </c>
      <c r="O230" s="120"/>
      <c r="P230" s="68" t="s">
        <v>1545</v>
      </c>
      <c r="Q230" s="126">
        <v>9567.2215549669108</v>
      </c>
      <c r="R230" s="114">
        <v>9567.2215549669108</v>
      </c>
      <c r="S230" s="11">
        <v>9949.9104171655872</v>
      </c>
      <c r="T230" s="11">
        <v>10332.599279364264</v>
      </c>
      <c r="U230" s="122"/>
      <c r="V230" s="114"/>
      <c r="W230" s="130"/>
    </row>
    <row r="231" spans="1:23">
      <c r="A231" s="74" t="s">
        <v>230</v>
      </c>
      <c r="B231" s="110" t="str">
        <f>IFERROR(HYPERLINK(VLOOKUP(A231,ÜRÜNLER!A:C,3,FALSE),VLOOKUP(A231,ÜRÜNLER!A:B,2,FALSE)),"")</f>
        <v>iQ100 Eğimli Davlumbaz, 59cm, 360m3, Siyah Cam</v>
      </c>
      <c r="C231" s="8">
        <v>1</v>
      </c>
      <c r="D231" s="8"/>
      <c r="E231" s="9"/>
      <c r="F231" s="9"/>
      <c r="G231" s="9"/>
      <c r="H231" s="9"/>
      <c r="I231" s="10"/>
      <c r="J231" s="10">
        <v>1</v>
      </c>
      <c r="K231" s="9"/>
      <c r="L231" s="9">
        <v>1</v>
      </c>
      <c r="M231" s="10"/>
      <c r="N231" s="119">
        <f t="shared" si="9"/>
        <v>3</v>
      </c>
      <c r="O231" s="120"/>
      <c r="P231" s="68" t="s">
        <v>1545</v>
      </c>
      <c r="Q231" s="126">
        <v>9567.2215549669108</v>
      </c>
      <c r="R231" s="114">
        <v>9567.2215549669108</v>
      </c>
      <c r="S231" s="11">
        <v>9949.9104171655872</v>
      </c>
      <c r="T231" s="11">
        <v>10332.599279364264</v>
      </c>
      <c r="U231" s="122"/>
      <c r="V231" s="114"/>
      <c r="W231" s="130"/>
    </row>
    <row r="232" spans="1:23">
      <c r="A232" s="14" t="s">
        <v>237</v>
      </c>
      <c r="B232" s="110" t="str">
        <f>IFERROR(HYPERLINK(VLOOKUP(A232,ÜRÜNLER!A:C,3,FALSE),VLOOKUP(A232,ÜRÜNLER!A:B,2,FALSE)),"")</f>
        <v>iQ100 Eğimli Davlumbaz, 60cm, 400m3, Beyaz Cam</v>
      </c>
      <c r="C232" s="8"/>
      <c r="D232" s="8"/>
      <c r="E232" s="9"/>
      <c r="F232" s="9"/>
      <c r="G232" s="9"/>
      <c r="H232" s="9"/>
      <c r="I232" s="10">
        <v>1</v>
      </c>
      <c r="J232" s="10"/>
      <c r="K232" s="9"/>
      <c r="L232" s="9"/>
      <c r="M232" s="10"/>
      <c r="N232" s="119">
        <f t="shared" si="9"/>
        <v>1</v>
      </c>
      <c r="O232" s="120">
        <v>12</v>
      </c>
      <c r="P232" s="68"/>
      <c r="Q232" s="126">
        <v>14859.061413714655</v>
      </c>
      <c r="R232" s="152">
        <v>14413.289571303216</v>
      </c>
      <c r="S232" s="11">
        <v>14989.821154155345</v>
      </c>
      <c r="T232" s="11">
        <v>15566.352737007473</v>
      </c>
      <c r="U232" s="122"/>
      <c r="V232" s="114"/>
      <c r="W232" s="130"/>
    </row>
    <row r="233" spans="1:23">
      <c r="A233" s="14" t="s">
        <v>238</v>
      </c>
      <c r="B233" s="110" t="str">
        <f>IFERROR(HYPERLINK(VLOOKUP(A233,ÜRÜNLER!A:C,3,FALSE),VLOOKUP(A233,ÜRÜNLER!A:B,2,FALSE)),"")</f>
        <v>iQ100 Eğimli Davlumbaz, 60cm, 400m3, Siyah Cam</v>
      </c>
      <c r="C233" s="8">
        <v>4</v>
      </c>
      <c r="D233" s="8"/>
      <c r="E233" s="9"/>
      <c r="F233" s="9"/>
      <c r="G233" s="9"/>
      <c r="H233" s="9"/>
      <c r="I233" s="10"/>
      <c r="J233" s="10">
        <v>1</v>
      </c>
      <c r="K233" s="9"/>
      <c r="L233" s="9"/>
      <c r="M233" s="10"/>
      <c r="N233" s="119">
        <f t="shared" si="9"/>
        <v>5</v>
      </c>
      <c r="O233" s="120">
        <v>10</v>
      </c>
      <c r="P233" s="68"/>
      <c r="Q233" s="126">
        <v>14859.061413714655</v>
      </c>
      <c r="R233" s="152">
        <v>14413.289571303216</v>
      </c>
      <c r="S233" s="11">
        <v>14989.821154155345</v>
      </c>
      <c r="T233" s="11">
        <v>15566.352737007473</v>
      </c>
      <c r="U233" s="122"/>
      <c r="V233" s="114"/>
      <c r="W233" s="130"/>
    </row>
    <row r="234" spans="1:23">
      <c r="A234" s="80" t="s">
        <v>239</v>
      </c>
      <c r="B234" s="110" t="str">
        <f>IFERROR(HYPERLINK(VLOOKUP(A234,ÜRÜNLER!A:C,3,FALSE),VLOOKUP(A234,ÜRÜNLER!A:B,2,FALSE)),"")</f>
        <v>iQ100 Eğimli Davlumbaz, 60cm, 400m3, Antrasit Gri Cam</v>
      </c>
      <c r="C234" s="8"/>
      <c r="D234" s="8"/>
      <c r="E234" s="9"/>
      <c r="F234" s="9">
        <v>1</v>
      </c>
      <c r="G234" s="9"/>
      <c r="H234" s="9"/>
      <c r="I234" s="10">
        <v>1</v>
      </c>
      <c r="J234" s="10"/>
      <c r="K234" s="9">
        <v>1</v>
      </c>
      <c r="L234" s="9"/>
      <c r="M234" s="10">
        <v>1</v>
      </c>
      <c r="N234" s="119">
        <f t="shared" si="9"/>
        <v>4</v>
      </c>
      <c r="O234" s="120">
        <v>26</v>
      </c>
      <c r="P234" s="68"/>
      <c r="Q234" s="126">
        <v>14859.061413714655</v>
      </c>
      <c r="R234" s="152">
        <v>14413.289571303216</v>
      </c>
      <c r="S234" s="11">
        <v>14989.821154155345</v>
      </c>
      <c r="T234" s="11">
        <v>15566.352737007473</v>
      </c>
      <c r="U234" s="122"/>
      <c r="V234" s="114"/>
      <c r="W234" s="130"/>
    </row>
    <row r="235" spans="1:23">
      <c r="A235" s="74" t="s">
        <v>225</v>
      </c>
      <c r="B235" s="110" t="str">
        <f>IFERROR(HYPERLINK(VLOOKUP(A235,ÜRÜNLER!A:C,3,FALSE),VLOOKUP(A235,ÜRÜNLER!A:B,2,FALSE)),"")</f>
        <v>iQ100 Düz Davlumbaz, 60cm, 380m3, Beyaz</v>
      </c>
      <c r="C235" s="8">
        <v>1</v>
      </c>
      <c r="D235" s="8"/>
      <c r="E235" s="9"/>
      <c r="F235" s="9"/>
      <c r="G235" s="9"/>
      <c r="H235" s="9"/>
      <c r="I235" s="10">
        <v>1</v>
      </c>
      <c r="J235" s="10"/>
      <c r="K235" s="9"/>
      <c r="L235" s="9">
        <v>1</v>
      </c>
      <c r="M235" s="10"/>
      <c r="N235" s="119">
        <f t="shared" si="9"/>
        <v>3</v>
      </c>
      <c r="O235" s="120"/>
      <c r="P235" s="68"/>
      <c r="Q235" s="121" t="s">
        <v>1788</v>
      </c>
      <c r="R235" s="114">
        <v>8000</v>
      </c>
      <c r="S235" s="11">
        <v>8320</v>
      </c>
      <c r="T235" s="11">
        <v>8640</v>
      </c>
      <c r="U235" s="122"/>
      <c r="V235" s="114"/>
      <c r="W235" s="123">
        <v>500</v>
      </c>
    </row>
    <row r="236" spans="1:23">
      <c r="A236" s="74" t="s">
        <v>226</v>
      </c>
      <c r="B236" s="110" t="str">
        <f>IFERROR(HYPERLINK(VLOOKUP(A236,ÜRÜNLER!A:C,3,FALSE),VLOOKUP(A236,ÜRÜNLER!A:B,2,FALSE)),"")</f>
        <v>iQ100 Düz Davlumbaz, 60cm, 380m3, Inox</v>
      </c>
      <c r="C236" s="8">
        <v>4</v>
      </c>
      <c r="D236" s="8"/>
      <c r="E236" s="9"/>
      <c r="F236" s="9"/>
      <c r="G236" s="9"/>
      <c r="H236" s="9"/>
      <c r="I236" s="10"/>
      <c r="J236" s="10"/>
      <c r="K236" s="9">
        <v>1</v>
      </c>
      <c r="L236" s="9"/>
      <c r="M236" s="10"/>
      <c r="N236" s="119">
        <f t="shared" si="9"/>
        <v>5</v>
      </c>
      <c r="O236" s="120"/>
      <c r="P236" s="154" t="s">
        <v>1546</v>
      </c>
      <c r="Q236" s="121" t="s">
        <v>1788</v>
      </c>
      <c r="R236" s="114">
        <v>9000</v>
      </c>
      <c r="S236" s="11">
        <v>9360</v>
      </c>
      <c r="T236" s="11">
        <v>9720</v>
      </c>
      <c r="U236" s="122"/>
      <c r="V236" s="114"/>
      <c r="W236" s="127">
        <v>250</v>
      </c>
    </row>
    <row r="237" spans="1:23">
      <c r="A237" s="74" t="s">
        <v>227</v>
      </c>
      <c r="B237" s="110" t="str">
        <f>IFERROR(HYPERLINK(VLOOKUP(A237,ÜRÜNLER!A:C,3,FALSE),VLOOKUP(A237,ÜRÜNLER!A:B,2,FALSE)),"")</f>
        <v>iQ100 Düz Davlumbaz, 60cm, 380m3, Siyah</v>
      </c>
      <c r="C237" s="8">
        <v>2</v>
      </c>
      <c r="D237" s="8"/>
      <c r="E237" s="9"/>
      <c r="F237" s="9">
        <v>1</v>
      </c>
      <c r="G237" s="9"/>
      <c r="H237" s="9"/>
      <c r="I237" s="10"/>
      <c r="J237" s="10"/>
      <c r="K237" s="9"/>
      <c r="L237" s="9">
        <v>2</v>
      </c>
      <c r="M237" s="10"/>
      <c r="N237" s="119">
        <f t="shared" si="9"/>
        <v>5</v>
      </c>
      <c r="O237" s="120"/>
      <c r="P237" s="68"/>
      <c r="Q237" s="121" t="s">
        <v>1788</v>
      </c>
      <c r="R237" s="114">
        <v>9000</v>
      </c>
      <c r="S237" s="11">
        <v>9360</v>
      </c>
      <c r="T237" s="11">
        <v>9720</v>
      </c>
      <c r="U237" s="122"/>
      <c r="V237" s="114"/>
      <c r="W237" s="127">
        <v>250</v>
      </c>
    </row>
    <row r="238" spans="1:23">
      <c r="A238" s="74" t="s">
        <v>231</v>
      </c>
      <c r="B238" s="110" t="str">
        <f>IFERROR(HYPERLINK(VLOOKUP(A238,ÜRÜNLER!A:C,3,FALSE),VLOOKUP(A238,ÜRÜNLER!A:B,2,FALSE)),"")</f>
        <v>iQ100 Düz Davlumbaz, 60cm, 612m3, Paslanmaz Çelik</v>
      </c>
      <c r="C238" s="8">
        <v>5</v>
      </c>
      <c r="D238" s="8"/>
      <c r="E238" s="9"/>
      <c r="F238" s="9">
        <v>1</v>
      </c>
      <c r="G238" s="9"/>
      <c r="H238" s="9"/>
      <c r="I238" s="10">
        <v>1</v>
      </c>
      <c r="J238" s="10"/>
      <c r="K238" s="9"/>
      <c r="L238" s="9"/>
      <c r="M238" s="10"/>
      <c r="N238" s="119">
        <f t="shared" si="9"/>
        <v>7</v>
      </c>
      <c r="O238" s="120"/>
      <c r="P238" s="68"/>
      <c r="Q238" s="126">
        <v>17646.76623983535</v>
      </c>
      <c r="R238" s="116">
        <v>16764.427927843582</v>
      </c>
      <c r="S238" s="11">
        <v>17435.005044957325</v>
      </c>
      <c r="T238" s="11">
        <v>18105.58216207107</v>
      </c>
      <c r="U238" s="122"/>
      <c r="V238" s="114"/>
      <c r="W238" s="130"/>
    </row>
    <row r="239" spans="1:23">
      <c r="A239" s="80" t="s">
        <v>245</v>
      </c>
      <c r="B239" s="110" t="str">
        <f>IFERROR(HYPERLINK(VLOOKUP(A239,ÜRÜNLER!A:C,3,FALSE),VLOOKUP(A239,ÜRÜNLER!A:B,2,FALSE)),"")</f>
        <v>iQ300 Düz Davlumbaz, 60cm, 649m3, Antrasit Gri Cam</v>
      </c>
      <c r="C239" s="8">
        <v>5</v>
      </c>
      <c r="D239" s="8"/>
      <c r="E239" s="9"/>
      <c r="F239" s="9"/>
      <c r="G239" s="9"/>
      <c r="H239" s="9"/>
      <c r="I239" s="10"/>
      <c r="J239" s="10"/>
      <c r="K239" s="9">
        <v>1</v>
      </c>
      <c r="L239" s="9">
        <v>1</v>
      </c>
      <c r="M239" s="10"/>
      <c r="N239" s="119">
        <f t="shared" si="9"/>
        <v>7</v>
      </c>
      <c r="O239" s="120">
        <v>1</v>
      </c>
      <c r="P239" s="68"/>
      <c r="Q239" s="126">
        <v>20797.868299448692</v>
      </c>
      <c r="R239" s="128">
        <v>18718.081469503821</v>
      </c>
      <c r="S239" s="11">
        <v>19466.804728283973</v>
      </c>
      <c r="T239" s="11">
        <v>20215.527987064128</v>
      </c>
      <c r="U239" s="122"/>
      <c r="V239" s="114"/>
      <c r="W239" s="130"/>
    </row>
    <row r="240" spans="1:23">
      <c r="A240" s="74" t="s">
        <v>233</v>
      </c>
      <c r="B240" s="110" t="str">
        <f>IFERROR(HYPERLINK(VLOOKUP(A240,ÜRÜNLER!A:C,3,FALSE),VLOOKUP(A240,ÜRÜNLER!A:B,2,FALSE)),"")</f>
        <v>iQ300 Düz Davlumbaz, 60cm, 649m3, Beyaz Cam</v>
      </c>
      <c r="C240" s="8">
        <v>10</v>
      </c>
      <c r="D240" s="8"/>
      <c r="E240" s="9"/>
      <c r="F240" s="9">
        <v>1</v>
      </c>
      <c r="G240" s="9"/>
      <c r="H240" s="9"/>
      <c r="I240" s="10"/>
      <c r="J240" s="10">
        <v>1</v>
      </c>
      <c r="K240" s="9"/>
      <c r="L240" s="9">
        <v>1</v>
      </c>
      <c r="M240" s="10"/>
      <c r="N240" s="119">
        <f t="shared" si="9"/>
        <v>13</v>
      </c>
      <c r="O240" s="120"/>
      <c r="P240" s="68"/>
      <c r="Q240" s="126">
        <v>20797.868299448692</v>
      </c>
      <c r="R240" s="143">
        <v>19342.017518487282</v>
      </c>
      <c r="S240" s="11">
        <v>20115.698219226775</v>
      </c>
      <c r="T240" s="11">
        <v>20889.378919966264</v>
      </c>
      <c r="U240" s="122"/>
      <c r="V240" s="114"/>
      <c r="W240" s="130"/>
    </row>
    <row r="241" spans="1:23">
      <c r="A241" s="74" t="s">
        <v>234</v>
      </c>
      <c r="B241" s="110" t="str">
        <f>IFERROR(HYPERLINK(VLOOKUP(A241,ÜRÜNLER!A:C,3,FALSE),VLOOKUP(A241,ÜRÜNLER!A:B,2,FALSE)),"")</f>
        <v>iQ300 Düz Davlumbaz, 60cm, 649m3, Siyah Cam</v>
      </c>
      <c r="C241" s="8"/>
      <c r="D241" s="8"/>
      <c r="E241" s="9"/>
      <c r="F241" s="9"/>
      <c r="G241" s="9"/>
      <c r="H241" s="9"/>
      <c r="I241" s="10">
        <v>2</v>
      </c>
      <c r="J241" s="10"/>
      <c r="K241" s="9"/>
      <c r="L241" s="9">
        <v>1</v>
      </c>
      <c r="M241" s="10"/>
      <c r="N241" s="119">
        <f t="shared" si="9"/>
        <v>3</v>
      </c>
      <c r="O241" s="120">
        <v>1</v>
      </c>
      <c r="P241" s="68"/>
      <c r="Q241" s="126">
        <v>20797.868299448692</v>
      </c>
      <c r="R241" s="131">
        <v>19807.493618522563</v>
      </c>
      <c r="S241" s="11">
        <v>20599.793363263467</v>
      </c>
      <c r="T241" s="11">
        <v>21392.093108004367</v>
      </c>
      <c r="U241" s="122"/>
      <c r="V241" s="114"/>
      <c r="W241" s="130"/>
    </row>
    <row r="242" spans="1:23">
      <c r="A242" s="78" t="s">
        <v>235</v>
      </c>
      <c r="B242" s="110" t="str">
        <f>IFERROR(HYPERLINK(VLOOKUP(A242,ÜRÜNLER!A:C,3,FALSE),VLOOKUP(A242,ÜRÜNLER!A:B,2,FALSE)),"")</f>
        <v>iQ300 Eğimli Davlumbaz, 60cm, 593m3, Siyah Cam</v>
      </c>
      <c r="C242" s="8"/>
      <c r="D242" s="8"/>
      <c r="E242" s="9"/>
      <c r="F242" s="9">
        <v>1</v>
      </c>
      <c r="G242" s="9"/>
      <c r="H242" s="9"/>
      <c r="I242" s="10"/>
      <c r="J242" s="10"/>
      <c r="K242" s="9"/>
      <c r="L242" s="9"/>
      <c r="M242" s="10"/>
      <c r="N242" s="119">
        <f t="shared" si="9"/>
        <v>1</v>
      </c>
      <c r="O242" s="120"/>
      <c r="P242" s="68"/>
      <c r="Q242" s="121" t="s">
        <v>1788</v>
      </c>
      <c r="R242" s="114">
        <v>13000</v>
      </c>
      <c r="S242" s="11">
        <v>13520</v>
      </c>
      <c r="T242" s="11">
        <v>14040</v>
      </c>
      <c r="U242" s="122"/>
      <c r="V242" s="114"/>
      <c r="W242" s="130">
        <v>250</v>
      </c>
    </row>
    <row r="243" spans="1:23">
      <c r="A243" s="14" t="s">
        <v>240</v>
      </c>
      <c r="B243" s="110" t="str">
        <f>IFERROR(HYPERLINK(VLOOKUP(A243,ÜRÜNLER!A:C,3,FALSE),VLOOKUP(A243,ÜRÜNLER!A:B,2,FALSE)),"")</f>
        <v>iQ300 Eğimli Davlumbaz, 60cm, 510m3, Beyaz Cam</v>
      </c>
      <c r="C243" s="8">
        <v>4</v>
      </c>
      <c r="D243" s="8"/>
      <c r="E243" s="9"/>
      <c r="F243" s="9"/>
      <c r="G243" s="9"/>
      <c r="H243" s="9"/>
      <c r="I243" s="10">
        <v>1</v>
      </c>
      <c r="J243" s="10"/>
      <c r="K243" s="9"/>
      <c r="L243" s="9"/>
      <c r="M243" s="10">
        <v>1</v>
      </c>
      <c r="N243" s="119">
        <f t="shared" si="9"/>
        <v>6</v>
      </c>
      <c r="O243" s="120">
        <v>11</v>
      </c>
      <c r="P243" s="68"/>
      <c r="Q243" s="126">
        <v>18598.465925781686</v>
      </c>
      <c r="R243" s="131">
        <v>18598.465925781686</v>
      </c>
      <c r="S243" s="11">
        <v>19342.404562812953</v>
      </c>
      <c r="T243" s="11">
        <v>20086.343199844221</v>
      </c>
      <c r="U243" s="122"/>
      <c r="V243" s="114"/>
      <c r="W243" s="130"/>
    </row>
    <row r="244" spans="1:23">
      <c r="A244" s="78" t="s">
        <v>241</v>
      </c>
      <c r="B244" s="110" t="str">
        <f>IFERROR(HYPERLINK(VLOOKUP(A244,ÜRÜNLER!A:C,3,FALSE),VLOOKUP(A244,ÜRÜNLER!A:B,2,FALSE)),"")</f>
        <v>iQ300 Eğimli Davlumbaz, 60cm, 510m3, Siyah Cam</v>
      </c>
      <c r="C244" s="8"/>
      <c r="D244" s="8"/>
      <c r="E244" s="9"/>
      <c r="F244" s="9"/>
      <c r="G244" s="9"/>
      <c r="H244" s="9"/>
      <c r="I244" s="10"/>
      <c r="J244" s="10"/>
      <c r="K244" s="9">
        <v>1</v>
      </c>
      <c r="L244" s="9">
        <v>1</v>
      </c>
      <c r="M244" s="10"/>
      <c r="N244" s="119">
        <f t="shared" si="9"/>
        <v>2</v>
      </c>
      <c r="O244" s="120">
        <v>26</v>
      </c>
      <c r="P244" s="68"/>
      <c r="Q244" s="126">
        <v>18598.465925781686</v>
      </c>
      <c r="R244" s="131">
        <v>18598.465925781686</v>
      </c>
      <c r="S244" s="11">
        <v>19342.404562812953</v>
      </c>
      <c r="T244" s="11">
        <v>20086.343199844221</v>
      </c>
      <c r="U244" s="122"/>
      <c r="V244" s="114"/>
      <c r="W244" s="130"/>
    </row>
    <row r="245" spans="1:23">
      <c r="A245" s="80" t="s">
        <v>242</v>
      </c>
      <c r="B245" s="110" t="str">
        <f>IFERROR(HYPERLINK(VLOOKUP(A245,ÜRÜNLER!A:C,3,FALSE),VLOOKUP(A245,ÜRÜNLER!A:B,2,FALSE)),"")</f>
        <v>iQ300 Eğimli Davlumbaz, 60cm, 510m3, Antrasit Gri Cam</v>
      </c>
      <c r="C245" s="8">
        <v>13</v>
      </c>
      <c r="D245" s="8"/>
      <c r="E245" s="9"/>
      <c r="F245" s="9"/>
      <c r="G245" s="9"/>
      <c r="H245" s="9"/>
      <c r="I245" s="10">
        <v>1</v>
      </c>
      <c r="J245" s="10"/>
      <c r="K245" s="9"/>
      <c r="L245" s="9"/>
      <c r="M245" s="10"/>
      <c r="N245" s="119">
        <f t="shared" si="9"/>
        <v>14</v>
      </c>
      <c r="O245" s="120">
        <v>11</v>
      </c>
      <c r="P245" s="68"/>
      <c r="Q245" s="126">
        <v>18598.465925781686</v>
      </c>
      <c r="R245" s="131">
        <v>18598.465925781686</v>
      </c>
      <c r="S245" s="11">
        <v>19342.404562812953</v>
      </c>
      <c r="T245" s="11">
        <v>20086.343199844221</v>
      </c>
      <c r="U245" s="122"/>
      <c r="V245" s="114"/>
      <c r="W245" s="130"/>
    </row>
    <row r="246" spans="1:23">
      <c r="A246" s="103" t="s">
        <v>1636</v>
      </c>
      <c r="B246" s="110" t="str">
        <f>IFERROR(HYPERLINK(VLOOKUP(A246,ÜRÜNLER!A:C,3,FALSE),VLOOKUP(A246,ÜRÜNLER!A:B,2,FALSE)),"")</f>
        <v>iQ300 Düz Davlumbaz, 60cm, 582m3, Magnet Silver</v>
      </c>
      <c r="C246" s="8">
        <v>1</v>
      </c>
      <c r="D246" s="8"/>
      <c r="E246" s="9"/>
      <c r="F246" s="9"/>
      <c r="G246" s="9"/>
      <c r="H246" s="9"/>
      <c r="I246" s="10"/>
      <c r="J246" s="10"/>
      <c r="K246" s="9"/>
      <c r="L246" s="9"/>
      <c r="M246" s="10"/>
      <c r="N246" s="119">
        <f t="shared" si="9"/>
        <v>1</v>
      </c>
      <c r="O246" s="120"/>
      <c r="P246" s="68"/>
      <c r="Q246" s="126">
        <v>18296.350661364198</v>
      </c>
      <c r="R246" s="131">
        <v>18296.350661364198</v>
      </c>
      <c r="S246" s="11">
        <v>19028.204687818765</v>
      </c>
      <c r="T246" s="11">
        <v>19760.058714273335</v>
      </c>
      <c r="U246" s="122"/>
      <c r="V246" s="114"/>
      <c r="W246" s="127">
        <v>250</v>
      </c>
    </row>
    <row r="247" spans="1:23">
      <c r="A247" s="74" t="s">
        <v>243</v>
      </c>
      <c r="B247" s="110" t="str">
        <f>IFERROR(HYPERLINK(VLOOKUP(A247,ÜRÜNLER!A:C,3,FALSE),VLOOKUP(A247,ÜRÜNLER!A:B,2,FALSE)),"")</f>
        <v>iQ300 Düz Davlumbaz, 60cm, 582m3, Beyaz/Inox</v>
      </c>
      <c r="C247" s="8">
        <v>14</v>
      </c>
      <c r="D247" s="8"/>
      <c r="E247" s="9"/>
      <c r="F247" s="9">
        <v>2</v>
      </c>
      <c r="G247" s="9"/>
      <c r="H247" s="9"/>
      <c r="I247" s="10"/>
      <c r="J247" s="10">
        <v>1</v>
      </c>
      <c r="K247" s="9"/>
      <c r="L247" s="9"/>
      <c r="M247" s="10"/>
      <c r="N247" s="119">
        <f t="shared" si="9"/>
        <v>17</v>
      </c>
      <c r="O247" s="120">
        <v>10</v>
      </c>
      <c r="P247" s="68"/>
      <c r="Q247" s="126">
        <v>19211.168194432408</v>
      </c>
      <c r="R247" s="128">
        <v>17290.051374989169</v>
      </c>
      <c r="S247" s="11">
        <v>17981.653429988735</v>
      </c>
      <c r="T247" s="11">
        <v>18673.255484988302</v>
      </c>
      <c r="U247" s="122"/>
      <c r="V247" s="114"/>
      <c r="W247" s="127">
        <v>250</v>
      </c>
    </row>
    <row r="248" spans="1:23">
      <c r="A248" s="77" t="s">
        <v>244</v>
      </c>
      <c r="B248" s="110" t="str">
        <f>IFERROR(HYPERLINK(VLOOKUP(A248,ÜRÜNLER!A:C,3,FALSE),VLOOKUP(A248,ÜRÜNLER!A:B,2,FALSE)),"")</f>
        <v>iQ300 Düz Davlumbaz, 60cm, 582m3, Siyah/Inox</v>
      </c>
      <c r="C248" s="8">
        <v>15</v>
      </c>
      <c r="D248" s="8"/>
      <c r="E248" s="9"/>
      <c r="F248" s="9"/>
      <c r="G248" s="9"/>
      <c r="H248" s="9"/>
      <c r="I248" s="10"/>
      <c r="J248" s="10">
        <v>1</v>
      </c>
      <c r="K248" s="9"/>
      <c r="L248" s="9">
        <v>3</v>
      </c>
      <c r="M248" s="10">
        <v>1</v>
      </c>
      <c r="N248" s="119">
        <f t="shared" si="9"/>
        <v>20</v>
      </c>
      <c r="O248" s="120">
        <v>23</v>
      </c>
      <c r="P248" s="68"/>
      <c r="Q248" s="126">
        <v>19211.168194432408</v>
      </c>
      <c r="R248" s="128">
        <v>17290.051374989169</v>
      </c>
      <c r="S248" s="11">
        <v>17981.653429988735</v>
      </c>
      <c r="T248" s="11">
        <v>18673.255484988302</v>
      </c>
      <c r="U248" s="122"/>
      <c r="V248" s="114"/>
      <c r="W248" s="130"/>
    </row>
    <row r="249" spans="1:23">
      <c r="A249" s="74" t="s">
        <v>246</v>
      </c>
      <c r="B249" s="110" t="str">
        <f>IFERROR(HYPERLINK(VLOOKUP(A249,ÜRÜNLER!A:C,3,FALSE),VLOOKUP(A249,ÜRÜNLER!A:B,2,FALSE)),"")</f>
        <v>iQ500 Düz Davlumbaz, 60cm, 645m3, Beyaz Cam</v>
      </c>
      <c r="C249" s="8">
        <v>14</v>
      </c>
      <c r="D249" s="8"/>
      <c r="E249" s="9"/>
      <c r="F249" s="9"/>
      <c r="G249" s="9"/>
      <c r="H249" s="9"/>
      <c r="I249" s="10">
        <v>1</v>
      </c>
      <c r="J249" s="10"/>
      <c r="K249" s="9"/>
      <c r="L249" s="9"/>
      <c r="M249" s="10"/>
      <c r="N249" s="119">
        <f t="shared" si="9"/>
        <v>15</v>
      </c>
      <c r="O249" s="120"/>
      <c r="P249" s="68"/>
      <c r="Q249" s="121" t="s">
        <v>1788</v>
      </c>
      <c r="R249" s="116">
        <v>16000</v>
      </c>
      <c r="S249" s="11">
        <v>16640</v>
      </c>
      <c r="T249" s="11">
        <v>17280</v>
      </c>
      <c r="U249" s="122"/>
      <c r="V249" s="114"/>
      <c r="W249" s="127">
        <v>250</v>
      </c>
    </row>
    <row r="250" spans="1:23">
      <c r="A250" s="77" t="s">
        <v>247</v>
      </c>
      <c r="B250" s="110" t="str">
        <f>IFERROR(HYPERLINK(VLOOKUP(A250,ÜRÜNLER!A:C,3,FALSE),VLOOKUP(A250,ÜRÜNLER!A:B,2,FALSE)),"")</f>
        <v>iQ500 Düz Davlumbaz, 60cm, 645m3, Siyah Cam</v>
      </c>
      <c r="C250" s="8"/>
      <c r="D250" s="8"/>
      <c r="E250" s="9"/>
      <c r="F250" s="9">
        <v>1</v>
      </c>
      <c r="G250" s="9"/>
      <c r="H250" s="9"/>
      <c r="I250" s="10"/>
      <c r="J250" s="10"/>
      <c r="K250" s="9"/>
      <c r="L250" s="9"/>
      <c r="M250" s="10"/>
      <c r="N250" s="119">
        <f t="shared" si="9"/>
        <v>1</v>
      </c>
      <c r="O250" s="120"/>
      <c r="P250" s="68"/>
      <c r="Q250" s="121" t="s">
        <v>1788</v>
      </c>
      <c r="R250" s="116">
        <v>17000</v>
      </c>
      <c r="S250" s="11">
        <v>17680</v>
      </c>
      <c r="T250" s="11">
        <v>18360</v>
      </c>
      <c r="U250" s="122"/>
      <c r="V250" s="114"/>
      <c r="W250" s="149">
        <v>500</v>
      </c>
    </row>
    <row r="251" spans="1:23">
      <c r="A251" s="83" t="s">
        <v>251</v>
      </c>
      <c r="B251" s="110" t="str">
        <f>IFERROR(HYPERLINK(VLOOKUP(A251,ÜRÜNLER!A:C,3,FALSE),VLOOKUP(A251,ÜRÜNLER!A:B,2,FALSE)),"")</f>
        <v>iQ500 Eğimli Davlumbaz, 60cm, 510m3, Beyaz Cam</v>
      </c>
      <c r="C251" s="8">
        <v>5</v>
      </c>
      <c r="D251" s="8"/>
      <c r="E251" s="9"/>
      <c r="F251" s="9"/>
      <c r="G251" s="9"/>
      <c r="H251" s="9"/>
      <c r="I251" s="10"/>
      <c r="J251" s="10"/>
      <c r="K251" s="9">
        <v>1</v>
      </c>
      <c r="L251" s="9"/>
      <c r="M251" s="10"/>
      <c r="N251" s="119">
        <f t="shared" si="9"/>
        <v>6</v>
      </c>
      <c r="O251" s="120">
        <v>1</v>
      </c>
      <c r="P251" s="68"/>
      <c r="Q251" s="126">
        <v>21166.719792593096</v>
      </c>
      <c r="R251" s="152">
        <v>20531.718198815302</v>
      </c>
      <c r="S251" s="11">
        <v>21352.986926767913</v>
      </c>
      <c r="T251" s="11">
        <v>22174.255654720528</v>
      </c>
      <c r="U251" s="122"/>
      <c r="V251" s="114"/>
      <c r="W251" s="130"/>
    </row>
    <row r="252" spans="1:23">
      <c r="A252" s="77" t="s">
        <v>252</v>
      </c>
      <c r="B252" s="110" t="str">
        <f>IFERROR(HYPERLINK(VLOOKUP(A252,ÜRÜNLER!A:C,3,FALSE),VLOOKUP(A252,ÜRÜNLER!A:B,2,FALSE)),"")</f>
        <v>iQ500 Eğimli Davlumbaz, 60cm, 700m3, Siyah Cam</v>
      </c>
      <c r="C252" s="8">
        <v>12</v>
      </c>
      <c r="D252" s="8"/>
      <c r="E252" s="9"/>
      <c r="F252" s="9">
        <v>1</v>
      </c>
      <c r="G252" s="9"/>
      <c r="H252" s="9"/>
      <c r="I252" s="10"/>
      <c r="J252" s="10"/>
      <c r="K252" s="9"/>
      <c r="L252" s="9">
        <v>1</v>
      </c>
      <c r="M252" s="10"/>
      <c r="N252" s="119">
        <f t="shared" si="9"/>
        <v>14</v>
      </c>
      <c r="O252" s="120"/>
      <c r="P252" s="68"/>
      <c r="Q252" s="126">
        <v>21166.719792593096</v>
      </c>
      <c r="R252" s="152">
        <v>20531.718198815302</v>
      </c>
      <c r="S252" s="11">
        <v>21352.986926767913</v>
      </c>
      <c r="T252" s="11">
        <v>22174.255654720528</v>
      </c>
      <c r="U252" s="122"/>
      <c r="V252" s="114"/>
      <c r="W252" s="130"/>
    </row>
    <row r="253" spans="1:23">
      <c r="A253" s="77" t="s">
        <v>248</v>
      </c>
      <c r="B253" s="110" t="str">
        <f>IFERROR(HYPERLINK(VLOOKUP(A253,ÜRÜNLER!A:C,3,FALSE),VLOOKUP(A253,ÜRÜNLER!A:B,2,FALSE)),"")</f>
        <v>iQ500 Eğimli Davlumbaz, 60cm, 510m3, Siyah Cam</v>
      </c>
      <c r="C253" s="8">
        <v>18</v>
      </c>
      <c r="D253" s="8"/>
      <c r="E253" s="9"/>
      <c r="F253" s="9"/>
      <c r="G253" s="9"/>
      <c r="H253" s="9"/>
      <c r="I253" s="10"/>
      <c r="J253" s="10"/>
      <c r="K253" s="9"/>
      <c r="L253" s="9"/>
      <c r="M253" s="10">
        <v>1</v>
      </c>
      <c r="N253" s="119">
        <f t="shared" si="9"/>
        <v>19</v>
      </c>
      <c r="O253" s="120">
        <v>1</v>
      </c>
      <c r="P253" s="68"/>
      <c r="Q253" s="126">
        <v>21166.719792593096</v>
      </c>
      <c r="R253" s="152">
        <v>20531.718198815302</v>
      </c>
      <c r="S253" s="11">
        <v>21352.986926767913</v>
      </c>
      <c r="T253" s="11">
        <v>22174.255654720528</v>
      </c>
      <c r="U253" s="122"/>
      <c r="V253" s="114"/>
      <c r="W253" s="130"/>
    </row>
    <row r="254" spans="1:23">
      <c r="A254" s="80" t="s">
        <v>249</v>
      </c>
      <c r="B254" s="110" t="str">
        <f>IFERROR(HYPERLINK(VLOOKUP(A254,ÜRÜNLER!A:C,3,FALSE),VLOOKUP(A254,ÜRÜNLER!A:B,2,FALSE)),"")</f>
        <v>iQ500 Eğimli Davlumbaz, 60cm, 510m3, Antrasit Gri Cam</v>
      </c>
      <c r="C254" s="8"/>
      <c r="D254" s="8"/>
      <c r="E254" s="9"/>
      <c r="F254" s="9"/>
      <c r="G254" s="9"/>
      <c r="H254" s="9"/>
      <c r="I254" s="10"/>
      <c r="J254" s="10"/>
      <c r="K254" s="9"/>
      <c r="L254" s="9">
        <v>1</v>
      </c>
      <c r="M254" s="10"/>
      <c r="N254" s="119">
        <f t="shared" si="9"/>
        <v>1</v>
      </c>
      <c r="O254" s="120">
        <v>22</v>
      </c>
      <c r="P254" s="68"/>
      <c r="Q254" s="126">
        <v>21166.719792593096</v>
      </c>
      <c r="R254" s="131">
        <v>21166.719792593096</v>
      </c>
      <c r="S254" s="11">
        <v>22013.388584296819</v>
      </c>
      <c r="T254" s="11">
        <v>22860.057376000543</v>
      </c>
      <c r="U254" s="122"/>
      <c r="V254" s="114"/>
      <c r="W254" s="130"/>
    </row>
    <row r="255" spans="1:23">
      <c r="A255" s="74" t="s">
        <v>250</v>
      </c>
      <c r="B255" s="110" t="str">
        <f>IFERROR(HYPERLINK(VLOOKUP(A255,ÜRÜNLER!A:C,3,FALSE),VLOOKUP(A255,ÜRÜNLER!A:B,2,FALSE)),"")</f>
        <v>iQ500 Eğimli Davlumbaz, 60cm, 578m3, Siyah Cam</v>
      </c>
      <c r="C255" s="8"/>
      <c r="D255" s="8"/>
      <c r="E255" s="9"/>
      <c r="F255" s="9"/>
      <c r="G255" s="9"/>
      <c r="H255" s="9"/>
      <c r="I255" s="10"/>
      <c r="J255" s="10"/>
      <c r="K255" s="9"/>
      <c r="L255" s="9">
        <v>1</v>
      </c>
      <c r="M255" s="10">
        <v>1</v>
      </c>
      <c r="N255" s="119">
        <f t="shared" si="9"/>
        <v>2</v>
      </c>
      <c r="O255" s="120"/>
      <c r="P255" s="68"/>
      <c r="Q255" s="121" t="s">
        <v>1788</v>
      </c>
      <c r="R255" s="114">
        <v>19000</v>
      </c>
      <c r="S255" s="11">
        <v>19760</v>
      </c>
      <c r="T255" s="11">
        <v>20520</v>
      </c>
      <c r="U255" s="122"/>
      <c r="V255" s="114"/>
      <c r="W255" s="149">
        <v>500</v>
      </c>
    </row>
    <row r="256" spans="1:23">
      <c r="A256" s="77" t="s">
        <v>1504</v>
      </c>
      <c r="B256" s="110" t="str">
        <f>IFERROR(HYPERLINK(VLOOKUP(A256,ÜRÜNLER!A:C,3,FALSE),VLOOKUP(A256,ÜRÜNLER!A:B,2,FALSE)),"")</f>
        <v>iQ700 Eğimli Davlumbaz, 60cm, 616m3, Siyah Cam</v>
      </c>
      <c r="C256" s="8">
        <v>10</v>
      </c>
      <c r="D256" s="8"/>
      <c r="E256" s="9"/>
      <c r="F256" s="9"/>
      <c r="G256" s="9"/>
      <c r="H256" s="9"/>
      <c r="I256" s="10">
        <v>1</v>
      </c>
      <c r="J256" s="10">
        <v>1</v>
      </c>
      <c r="K256" s="9">
        <v>1</v>
      </c>
      <c r="L256" s="9"/>
      <c r="M256" s="10"/>
      <c r="N256" s="119">
        <f t="shared" si="9"/>
        <v>13</v>
      </c>
      <c r="O256" s="120"/>
      <c r="P256" s="68"/>
      <c r="Q256" s="126">
        <v>34632.177194004187</v>
      </c>
      <c r="R256" s="152">
        <v>33593.211878184062</v>
      </c>
      <c r="S256" s="11">
        <v>34936.940353311424</v>
      </c>
      <c r="T256" s="11">
        <v>36280.668828438786</v>
      </c>
      <c r="U256" s="122"/>
      <c r="V256" s="114"/>
      <c r="W256" s="130"/>
    </row>
    <row r="257" spans="1:23">
      <c r="A257" s="74" t="s">
        <v>254</v>
      </c>
      <c r="B257" s="110" t="str">
        <f>IFERROR(HYPERLINK(VLOOKUP(A257,ÜRÜNLER!A:C,3,FALSE),VLOOKUP(A257,ÜRÜNLER!A:B,2,FALSE)),"")</f>
        <v>iQ700 Eğimli Davlumbaz, 90cm, 441m3, Siyah Cam</v>
      </c>
      <c r="C257" s="8">
        <v>1</v>
      </c>
      <c r="D257" s="8"/>
      <c r="E257" s="9"/>
      <c r="F257" s="9"/>
      <c r="G257" s="9"/>
      <c r="H257" s="9"/>
      <c r="I257" s="10"/>
      <c r="J257" s="10"/>
      <c r="K257" s="9"/>
      <c r="L257" s="9"/>
      <c r="M257" s="10"/>
      <c r="N257" s="119">
        <f t="shared" si="9"/>
        <v>1</v>
      </c>
      <c r="O257" s="120">
        <v>2</v>
      </c>
      <c r="P257" s="68"/>
      <c r="Q257" s="126">
        <v>63354.790117035249</v>
      </c>
      <c r="R257" s="152">
        <v>61454.146413524191</v>
      </c>
      <c r="S257" s="11">
        <v>63912.312270065158</v>
      </c>
      <c r="T257" s="11">
        <v>66370.478126606133</v>
      </c>
      <c r="U257" s="122"/>
      <c r="V257" s="114"/>
      <c r="W257" s="130"/>
    </row>
    <row r="258" spans="1:23">
      <c r="A258" s="74" t="s">
        <v>255</v>
      </c>
      <c r="B258" s="110" t="str">
        <f>IFERROR(HYPERLINK(VLOOKUP(A258,ÜRÜNLER!A:C,3,FALSE),VLOOKUP(A258,ÜRÜNLER!A:B,2,FALSE)),"")</f>
        <v>iQ700 studioLine Eğimli Davlumbaz, 90cm, 441m3, Siyah Cam</v>
      </c>
      <c r="C258" s="8"/>
      <c r="D258" s="8">
        <v>1</v>
      </c>
      <c r="E258" s="9"/>
      <c r="F258" s="9"/>
      <c r="G258" s="9"/>
      <c r="H258" s="9"/>
      <c r="I258" s="10"/>
      <c r="J258" s="10"/>
      <c r="K258" s="9"/>
      <c r="L258" s="9">
        <v>1</v>
      </c>
      <c r="M258" s="10"/>
      <c r="N258" s="119">
        <f t="shared" si="9"/>
        <v>2</v>
      </c>
      <c r="O258" s="120"/>
      <c r="P258" s="68"/>
      <c r="Q258" s="141">
        <v>94988.006737169926</v>
      </c>
      <c r="R258" s="141">
        <v>85489.206063452933</v>
      </c>
      <c r="S258" s="11">
        <v>88908.774305991057</v>
      </c>
      <c r="T258" s="11">
        <v>92328.342548529166</v>
      </c>
      <c r="U258" s="122"/>
      <c r="V258" s="114"/>
      <c r="W258" s="127">
        <v>250</v>
      </c>
    </row>
    <row r="259" spans="1:23">
      <c r="A259" s="74" t="s">
        <v>256</v>
      </c>
      <c r="B259" s="110" t="str">
        <f>IFERROR(HYPERLINK(VLOOKUP(A259,ÜRÜNLER!A:C,3,FALSE),VLOOKUP(A259,ÜRÜNLER!A:B,2,FALSE)),"")</f>
        <v>iQ100 Düz Davlumbaz, 90cm, 616m3, Inox</v>
      </c>
      <c r="C259" s="8"/>
      <c r="D259" s="8"/>
      <c r="E259" s="9"/>
      <c r="F259" s="9"/>
      <c r="G259" s="9"/>
      <c r="H259" s="9"/>
      <c r="I259" s="10"/>
      <c r="J259" s="10">
        <v>1</v>
      </c>
      <c r="K259" s="9"/>
      <c r="L259" s="9"/>
      <c r="M259" s="10"/>
      <c r="N259" s="119">
        <f t="shared" si="9"/>
        <v>1</v>
      </c>
      <c r="O259" s="120">
        <v>1</v>
      </c>
      <c r="P259" s="68"/>
      <c r="Q259" s="126">
        <v>26283.389872894157</v>
      </c>
      <c r="R259" s="152">
        <v>25494.888176707333</v>
      </c>
      <c r="S259" s="11">
        <v>26514.683703775627</v>
      </c>
      <c r="T259" s="11">
        <v>27534.479230843921</v>
      </c>
      <c r="U259" s="122"/>
      <c r="V259" s="114"/>
      <c r="W259" s="130"/>
    </row>
    <row r="260" spans="1:23">
      <c r="A260" s="84" t="s">
        <v>257</v>
      </c>
      <c r="B260" s="110" t="str">
        <f>IFERROR(HYPERLINK(VLOOKUP(A260,ÜRÜNLER!A:C,3,FALSE),VLOOKUP(A260,ÜRÜNLER!A:B,2,FALSE)),"")</f>
        <v>iQ300 Düz Davlumbaz, 90cm, 649m3, Antrasit Gri Cam</v>
      </c>
      <c r="C260" s="8">
        <v>4</v>
      </c>
      <c r="D260" s="8"/>
      <c r="E260" s="9"/>
      <c r="F260" s="9"/>
      <c r="G260" s="9"/>
      <c r="H260" s="9"/>
      <c r="I260" s="10"/>
      <c r="J260" s="10"/>
      <c r="K260" s="9"/>
      <c r="L260" s="9"/>
      <c r="M260" s="10"/>
      <c r="N260" s="119">
        <f t="shared" si="9"/>
        <v>4</v>
      </c>
      <c r="O260" s="120"/>
      <c r="P260" s="68"/>
      <c r="Q260" s="126">
        <v>27453.160934229298</v>
      </c>
      <c r="R260" s="152">
        <v>26629.566106202419</v>
      </c>
      <c r="S260" s="11">
        <v>27694.748750450515</v>
      </c>
      <c r="T260" s="11">
        <v>28759.931394698611</v>
      </c>
      <c r="U260" s="122"/>
      <c r="V260" s="114"/>
      <c r="W260" s="130"/>
    </row>
    <row r="261" spans="1:23">
      <c r="A261" s="82" t="s">
        <v>258</v>
      </c>
      <c r="B261" s="110" t="str">
        <f>IFERROR(HYPERLINK(VLOOKUP(A261,ÜRÜNLER!A:C,3,FALSE),VLOOKUP(A261,ÜRÜNLER!A:B,2,FALSE)),"")</f>
        <v>iQ300 Düz Davlumbaz, 90cm, 649m3, Beyaz Cam</v>
      </c>
      <c r="C261" s="8">
        <v>18</v>
      </c>
      <c r="D261" s="8"/>
      <c r="E261" s="9"/>
      <c r="F261" s="9"/>
      <c r="G261" s="9"/>
      <c r="H261" s="9"/>
      <c r="I261" s="10"/>
      <c r="J261" s="10"/>
      <c r="K261" s="9"/>
      <c r="L261" s="9"/>
      <c r="M261" s="10"/>
      <c r="N261" s="119">
        <f t="shared" si="9"/>
        <v>18</v>
      </c>
      <c r="O261" s="120"/>
      <c r="P261" s="68"/>
      <c r="Q261" s="126">
        <v>27453.160934229298</v>
      </c>
      <c r="R261" s="143">
        <v>25531.439668833245</v>
      </c>
      <c r="S261" s="11">
        <v>26552.697255586576</v>
      </c>
      <c r="T261" s="11">
        <v>27573.954842339906</v>
      </c>
      <c r="U261" s="122"/>
      <c r="V261" s="114"/>
      <c r="W261" s="130"/>
    </row>
    <row r="262" spans="1:23">
      <c r="A262" s="103" t="s">
        <v>1522</v>
      </c>
      <c r="B262" s="110" t="str">
        <f>IFERROR(HYPERLINK(VLOOKUP(A262,ÜRÜNLER!A:C,3,FALSE),VLOOKUP(A262,ÜRÜNLER!A:B,2,FALSE)),"")</f>
        <v>iQ300 Düz Davlumbaz, 90cm, 649m3, Beyaz Cam</v>
      </c>
      <c r="C262" s="8"/>
      <c r="D262" s="8"/>
      <c r="E262" s="9"/>
      <c r="F262" s="9"/>
      <c r="G262" s="9"/>
      <c r="H262" s="9"/>
      <c r="I262" s="10"/>
      <c r="J262" s="10"/>
      <c r="K262" s="9"/>
      <c r="L262" s="9"/>
      <c r="M262" s="10"/>
      <c r="N262" s="119">
        <f t="shared" si="9"/>
        <v>0</v>
      </c>
      <c r="O262" s="120"/>
      <c r="P262" s="68"/>
      <c r="Q262" s="126">
        <v>27453.160934229298</v>
      </c>
      <c r="R262" s="152">
        <v>26629.566106202419</v>
      </c>
      <c r="S262" s="11">
        <v>27694.748750450515</v>
      </c>
      <c r="T262" s="11">
        <v>28759.931394698611</v>
      </c>
      <c r="U262" s="122"/>
      <c r="V262" s="114"/>
      <c r="W262" s="127">
        <v>250</v>
      </c>
    </row>
    <row r="263" spans="1:23">
      <c r="A263" s="80" t="s">
        <v>259</v>
      </c>
      <c r="B263" s="110" t="str">
        <f>IFERROR(HYPERLINK(VLOOKUP(A263,ÜRÜNLER!A:C,3,FALSE),VLOOKUP(A263,ÜRÜNLER!A:B,2,FALSE)),"")</f>
        <v>iQ300 Düz Davlumbaz, 90cm, 649m3, Titanyum Gri Cam</v>
      </c>
      <c r="C263" s="8">
        <v>3</v>
      </c>
      <c r="D263" s="8"/>
      <c r="E263" s="9"/>
      <c r="F263" s="9"/>
      <c r="G263" s="9"/>
      <c r="H263" s="9"/>
      <c r="I263" s="10">
        <v>1</v>
      </c>
      <c r="J263" s="10"/>
      <c r="K263" s="9"/>
      <c r="L263" s="9"/>
      <c r="M263" s="10"/>
      <c r="N263" s="119">
        <f t="shared" si="9"/>
        <v>4</v>
      </c>
      <c r="O263" s="120"/>
      <c r="P263" s="68"/>
      <c r="Q263" s="121" t="s">
        <v>1788</v>
      </c>
      <c r="R263" s="114">
        <v>25000</v>
      </c>
      <c r="S263" s="11">
        <v>26000</v>
      </c>
      <c r="T263" s="11">
        <v>27000</v>
      </c>
      <c r="U263" s="122"/>
      <c r="V263" s="114"/>
      <c r="W263" s="130"/>
    </row>
    <row r="264" spans="1:23">
      <c r="A264" s="74" t="s">
        <v>260</v>
      </c>
      <c r="B264" s="110" t="str">
        <f>IFERROR(HYPERLINK(VLOOKUP(A264,ÜRÜNLER!A:C,3,FALSE),VLOOKUP(A264,ÜRÜNLER!A:B,2,FALSE)),"")</f>
        <v>iQ300 Eğimli Davlumbaz, 90cm, 629m3, Beyaz Cam</v>
      </c>
      <c r="C264" s="8">
        <v>20</v>
      </c>
      <c r="D264" s="8"/>
      <c r="E264" s="9"/>
      <c r="F264" s="9"/>
      <c r="G264" s="9"/>
      <c r="H264" s="9"/>
      <c r="I264" s="10">
        <v>1</v>
      </c>
      <c r="J264" s="10">
        <v>1</v>
      </c>
      <c r="K264" s="9">
        <v>1</v>
      </c>
      <c r="L264" s="9">
        <v>1</v>
      </c>
      <c r="M264" s="10"/>
      <c r="N264" s="119">
        <f t="shared" si="9"/>
        <v>24</v>
      </c>
      <c r="O264" s="120"/>
      <c r="P264" s="68"/>
      <c r="Q264" s="121" t="s">
        <v>1788</v>
      </c>
      <c r="R264" s="114">
        <v>20000</v>
      </c>
      <c r="S264" s="11">
        <v>20800</v>
      </c>
      <c r="T264" s="11">
        <v>21600</v>
      </c>
      <c r="U264" s="122"/>
      <c r="V264" s="114"/>
      <c r="W264" s="127">
        <v>250</v>
      </c>
    </row>
    <row r="265" spans="1:23">
      <c r="A265" s="103" t="s">
        <v>1409</v>
      </c>
      <c r="B265" s="110" t="str">
        <f>IFERROR(HYPERLINK(VLOOKUP(A265,ÜRÜNLER!A:C,3,FALSE),VLOOKUP(A265,ÜRÜNLER!A:B,2,FALSE)),"")</f>
        <v>iQ300 Eğimli Davlumbaz, 90cm, 629m3, Siyah Cam</v>
      </c>
      <c r="C265" s="8"/>
      <c r="D265" s="8"/>
      <c r="E265" s="9"/>
      <c r="F265" s="9"/>
      <c r="G265" s="9"/>
      <c r="H265" s="9"/>
      <c r="I265" s="10"/>
      <c r="J265" s="10"/>
      <c r="K265" s="9">
        <v>1</v>
      </c>
      <c r="L265" s="9"/>
      <c r="M265" s="10"/>
      <c r="N265" s="119">
        <f t="shared" si="9"/>
        <v>1</v>
      </c>
      <c r="O265" s="120"/>
      <c r="P265" s="68"/>
      <c r="Q265" s="121" t="s">
        <v>1788</v>
      </c>
      <c r="R265" s="114">
        <v>25000</v>
      </c>
      <c r="S265" s="11">
        <v>26000</v>
      </c>
      <c r="T265" s="11">
        <v>27000</v>
      </c>
      <c r="U265" s="122"/>
      <c r="V265" s="114"/>
      <c r="W265" s="123">
        <v>500</v>
      </c>
    </row>
    <row r="266" spans="1:23">
      <c r="A266" s="74" t="s">
        <v>261</v>
      </c>
      <c r="B266" s="110" t="str">
        <f>IFERROR(HYPERLINK(VLOOKUP(A266,ÜRÜNLER!A:C,3,FALSE),VLOOKUP(A266,ÜRÜNLER!A:B,2,FALSE)),"")</f>
        <v>iQ300 Düz Davlumbaz, 90cm, 468m3, Inox</v>
      </c>
      <c r="C266" s="8">
        <v>4</v>
      </c>
      <c r="D266" s="8"/>
      <c r="E266" s="9"/>
      <c r="F266" s="9"/>
      <c r="G266" s="9"/>
      <c r="H266" s="9"/>
      <c r="I266" s="10"/>
      <c r="J266" s="10"/>
      <c r="K266" s="9"/>
      <c r="L266" s="9"/>
      <c r="M266" s="10"/>
      <c r="N266" s="119">
        <f t="shared" si="9"/>
        <v>4</v>
      </c>
      <c r="O266" s="120"/>
      <c r="P266" s="68"/>
      <c r="Q266" s="126">
        <v>39195.714086911241</v>
      </c>
      <c r="R266" s="152">
        <v>38019.842664303906</v>
      </c>
      <c r="S266" s="11">
        <v>39540.636370876062</v>
      </c>
      <c r="T266" s="11">
        <v>41061.430077448218</v>
      </c>
      <c r="U266" s="122"/>
      <c r="V266" s="114"/>
      <c r="W266" s="130"/>
    </row>
    <row r="267" spans="1:23">
      <c r="A267" s="74" t="s">
        <v>262</v>
      </c>
      <c r="B267" s="110" t="str">
        <f>IFERROR(HYPERLINK(VLOOKUP(A267,ÜRÜNLER!A:C,3,FALSE),VLOOKUP(A267,ÜRÜNLER!A:B,2,FALSE)),"")</f>
        <v>iQ500 Düz Davlumbaz, 90cm, 394m3, Siyah Cam</v>
      </c>
      <c r="C267" s="8">
        <v>2</v>
      </c>
      <c r="D267" s="8"/>
      <c r="E267" s="9"/>
      <c r="F267" s="9"/>
      <c r="G267" s="9"/>
      <c r="H267" s="9"/>
      <c r="I267" s="10"/>
      <c r="J267" s="10"/>
      <c r="K267" s="9"/>
      <c r="L267" s="9"/>
      <c r="M267" s="10"/>
      <c r="N267" s="119">
        <f t="shared" si="9"/>
        <v>2</v>
      </c>
      <c r="O267" s="120"/>
      <c r="P267" s="68"/>
      <c r="Q267" s="121" t="s">
        <v>1788</v>
      </c>
      <c r="R267" s="114">
        <v>51000</v>
      </c>
      <c r="S267" s="11">
        <v>53040</v>
      </c>
      <c r="T267" s="11">
        <v>55080</v>
      </c>
      <c r="U267" s="122"/>
      <c r="V267" s="114"/>
      <c r="W267" s="127">
        <v>250</v>
      </c>
    </row>
    <row r="268" spans="1:23">
      <c r="A268" s="74" t="s">
        <v>264</v>
      </c>
      <c r="B268" s="110" t="str">
        <f>IFERROR(HYPERLINK(VLOOKUP(A268,ÜRÜNLER!A:C,3,FALSE),VLOOKUP(A268,ÜRÜNLER!A:B,2,FALSE)),"")</f>
        <v>iQ700 Düz Davlumbaz, 90cm, 394m3, Siyah Cam</v>
      </c>
      <c r="C268" s="8"/>
      <c r="D268" s="8"/>
      <c r="E268" s="9"/>
      <c r="F268" s="9"/>
      <c r="G268" s="9"/>
      <c r="H268" s="9"/>
      <c r="I268" s="10"/>
      <c r="J268" s="10">
        <v>1</v>
      </c>
      <c r="K268" s="9"/>
      <c r="L268" s="9"/>
      <c r="M268" s="10"/>
      <c r="N268" s="119">
        <f t="shared" si="9"/>
        <v>1</v>
      </c>
      <c r="O268" s="120"/>
      <c r="P268" s="68"/>
      <c r="Q268" s="121" t="s">
        <v>1788</v>
      </c>
      <c r="R268" s="114">
        <v>56000</v>
      </c>
      <c r="S268" s="11">
        <v>58240</v>
      </c>
      <c r="T268" s="11">
        <v>60480</v>
      </c>
      <c r="U268" s="122"/>
      <c r="V268" s="114"/>
      <c r="W268" s="123">
        <v>1000</v>
      </c>
    </row>
    <row r="269" spans="1:23">
      <c r="A269" s="83" t="s">
        <v>265</v>
      </c>
      <c r="B269" s="110" t="str">
        <f>IFERROR(HYPERLINK(VLOOKUP(A269,ÜRÜNLER!A:C,3,FALSE),VLOOKUP(A269,ÜRÜNLER!A:B,2,FALSE)),"")</f>
        <v>iQ500 Eğimli Davlumbaz, 90cm, 510m3, Beyaz Cam</v>
      </c>
      <c r="C269" s="8">
        <v>4</v>
      </c>
      <c r="D269" s="8"/>
      <c r="E269" s="9"/>
      <c r="F269" s="9"/>
      <c r="G269" s="9"/>
      <c r="H269" s="9"/>
      <c r="I269" s="10"/>
      <c r="J269" s="10"/>
      <c r="K269" s="9"/>
      <c r="L269" s="9"/>
      <c r="M269" s="10"/>
      <c r="N269" s="119">
        <f t="shared" si="9"/>
        <v>4</v>
      </c>
      <c r="O269" s="120"/>
      <c r="P269" s="68"/>
      <c r="Q269" s="126">
        <v>31914.311669782874</v>
      </c>
      <c r="R269" s="152">
        <v>30956.882319689386</v>
      </c>
      <c r="S269" s="11">
        <v>32195.157612476964</v>
      </c>
      <c r="T269" s="11">
        <v>33433.432905264533</v>
      </c>
      <c r="U269" s="122"/>
      <c r="V269" s="114"/>
      <c r="W269" s="130"/>
    </row>
    <row r="270" spans="1:23">
      <c r="A270" s="77" t="s">
        <v>266</v>
      </c>
      <c r="B270" s="110" t="str">
        <f>IFERROR(HYPERLINK(VLOOKUP(A270,ÜRÜNLER!A:C,3,FALSE),VLOOKUP(A270,ÜRÜNLER!A:B,2,FALSE)),"")</f>
        <v>iQ500 Eğimli Davlumbaz, 90cm, 510m3, Siyah Cam</v>
      </c>
      <c r="C270" s="8">
        <v>1</v>
      </c>
      <c r="D270" s="8"/>
      <c r="E270" s="9"/>
      <c r="F270" s="9"/>
      <c r="G270" s="9"/>
      <c r="H270" s="9"/>
      <c r="I270" s="10"/>
      <c r="J270" s="10"/>
      <c r="K270" s="9"/>
      <c r="L270" s="9"/>
      <c r="M270" s="10"/>
      <c r="N270" s="119">
        <f t="shared" si="9"/>
        <v>1</v>
      </c>
      <c r="O270" s="120">
        <v>1</v>
      </c>
      <c r="P270" s="68"/>
      <c r="Q270" s="126">
        <v>31914.311669782874</v>
      </c>
      <c r="R270" s="152">
        <v>30956.882319689386</v>
      </c>
      <c r="S270" s="11">
        <v>32195.157612476964</v>
      </c>
      <c r="T270" s="11">
        <v>33433.432905264533</v>
      </c>
      <c r="U270" s="122"/>
      <c r="V270" s="114"/>
      <c r="W270" s="130"/>
    </row>
    <row r="271" spans="1:23">
      <c r="A271" s="80" t="s">
        <v>267</v>
      </c>
      <c r="B271" s="110" t="str">
        <f>IFERROR(HYPERLINK(VLOOKUP(A271,ÜRÜNLER!A:C,3,FALSE),VLOOKUP(A271,ÜRÜNLER!A:B,2,FALSE)),"")</f>
        <v>iQ500 Eğimli Davlumbaz, 90cm, 510m3, Antrasit Gri Cam</v>
      </c>
      <c r="C271" s="8">
        <v>4</v>
      </c>
      <c r="D271" s="8"/>
      <c r="E271" s="9"/>
      <c r="F271" s="9"/>
      <c r="G271" s="9"/>
      <c r="H271" s="9"/>
      <c r="I271" s="10"/>
      <c r="J271" s="10"/>
      <c r="K271" s="9"/>
      <c r="L271" s="9"/>
      <c r="M271" s="10"/>
      <c r="N271" s="119">
        <f t="shared" si="9"/>
        <v>4</v>
      </c>
      <c r="O271" s="120"/>
      <c r="P271" s="68"/>
      <c r="Q271" s="126">
        <v>31914.311669782874</v>
      </c>
      <c r="R271" s="152">
        <v>30956.882319689386</v>
      </c>
      <c r="S271" s="11">
        <v>32195.157612476964</v>
      </c>
      <c r="T271" s="11">
        <v>33433.432905264533</v>
      </c>
      <c r="U271" s="122"/>
      <c r="V271" s="114"/>
      <c r="W271" s="130"/>
    </row>
    <row r="272" spans="1:23">
      <c r="A272" s="74" t="s">
        <v>268</v>
      </c>
      <c r="B272" s="110" t="str">
        <f>IFERROR(HYPERLINK(VLOOKUP(A272,ÜRÜNLER!A:C,3,FALSE),VLOOKUP(A272,ÜRÜNLER!A:B,2,FALSE)),"")</f>
        <v>iQ500 Düz Davlumbaz, 90cm, 430m3, Inox</v>
      </c>
      <c r="C272" s="8">
        <v>2</v>
      </c>
      <c r="D272" s="8"/>
      <c r="E272" s="9"/>
      <c r="F272" s="9"/>
      <c r="G272" s="9"/>
      <c r="H272" s="9"/>
      <c r="I272" s="10"/>
      <c r="J272" s="10"/>
      <c r="K272" s="9"/>
      <c r="L272" s="9"/>
      <c r="M272" s="10"/>
      <c r="N272" s="119">
        <f t="shared" si="9"/>
        <v>2</v>
      </c>
      <c r="O272" s="120"/>
      <c r="P272" s="68"/>
      <c r="Q272" s="121" t="s">
        <v>1788</v>
      </c>
      <c r="R272" s="114">
        <v>26000</v>
      </c>
      <c r="S272" s="11">
        <v>27040</v>
      </c>
      <c r="T272" s="11">
        <v>28080</v>
      </c>
      <c r="U272" s="122"/>
      <c r="V272" s="114"/>
      <c r="W272" s="127">
        <v>250</v>
      </c>
    </row>
    <row r="273" spans="1:23">
      <c r="A273" s="74" t="s">
        <v>269</v>
      </c>
      <c r="B273" s="110" t="str">
        <f>IFERROR(HYPERLINK(VLOOKUP(A273,ÜRÜNLER!A:C,3,FALSE),VLOOKUP(A273,ÜRÜNLER!A:B,2,FALSE)),"")</f>
        <v>iQ500 Eğimli Davlumbaz, 90cm, 370m3, Cam Dekorlu Inox</v>
      </c>
      <c r="C273" s="8">
        <v>7</v>
      </c>
      <c r="D273" s="8"/>
      <c r="E273" s="9"/>
      <c r="F273" s="9"/>
      <c r="G273" s="9"/>
      <c r="H273" s="9"/>
      <c r="I273" s="10"/>
      <c r="J273" s="10"/>
      <c r="K273" s="9"/>
      <c r="L273" s="9"/>
      <c r="M273" s="10"/>
      <c r="N273" s="119">
        <f t="shared" si="9"/>
        <v>7</v>
      </c>
      <c r="O273" s="120"/>
      <c r="P273" s="68"/>
      <c r="Q273" s="121" t="s">
        <v>1788</v>
      </c>
      <c r="R273" s="114">
        <v>26000</v>
      </c>
      <c r="S273" s="11">
        <v>27040</v>
      </c>
      <c r="T273" s="11">
        <v>28080</v>
      </c>
      <c r="U273" s="122"/>
      <c r="V273" s="114"/>
      <c r="W273" s="127">
        <v>250</v>
      </c>
    </row>
    <row r="274" spans="1:23">
      <c r="A274" s="74" t="s">
        <v>270</v>
      </c>
      <c r="B274" s="110" t="str">
        <f>IFERROR(HYPERLINK(VLOOKUP(A274,ÜRÜNLER!A:C,3,FALSE),VLOOKUP(A274,ÜRÜNLER!A:B,2,FALSE)),"")</f>
        <v>iQ500 Eğimli Davlumbaz, 90cm, 468m3, Siyah Cam</v>
      </c>
      <c r="C274" s="8"/>
      <c r="D274" s="8"/>
      <c r="E274" s="9"/>
      <c r="F274" s="9"/>
      <c r="G274" s="9"/>
      <c r="H274" s="9">
        <v>1</v>
      </c>
      <c r="I274" s="10"/>
      <c r="J274" s="10"/>
      <c r="K274" s="9"/>
      <c r="L274" s="9"/>
      <c r="M274" s="10"/>
      <c r="N274" s="119">
        <f t="shared" si="9"/>
        <v>1</v>
      </c>
      <c r="O274" s="120"/>
      <c r="P274" s="68"/>
      <c r="Q274" s="121" t="s">
        <v>1788</v>
      </c>
      <c r="R274" s="141">
        <v>65000</v>
      </c>
      <c r="S274" s="11">
        <v>67600</v>
      </c>
      <c r="T274" s="11">
        <v>70200</v>
      </c>
      <c r="U274" s="122"/>
      <c r="V274" s="114"/>
      <c r="W274" s="123">
        <v>1000</v>
      </c>
    </row>
    <row r="275" spans="1:23">
      <c r="A275" s="74" t="s">
        <v>272</v>
      </c>
      <c r="B275" s="110" t="str">
        <f>IFERROR(HYPERLINK(VLOOKUP(A275,ÜRÜNLER!A:C,3,FALSE),VLOOKUP(A275,ÜRÜNLER!A:B,2,FALSE)),"")</f>
        <v>iQ700 studioLine Tezgaha Entegre Davlumbaz, 80cm, Siyah/Cam</v>
      </c>
      <c r="C275" s="8"/>
      <c r="D275" s="8">
        <v>1</v>
      </c>
      <c r="E275" s="9"/>
      <c r="F275" s="9"/>
      <c r="G275" s="9"/>
      <c r="H275" s="9">
        <v>1</v>
      </c>
      <c r="I275" s="10"/>
      <c r="J275" s="10"/>
      <c r="K275" s="9"/>
      <c r="L275" s="9"/>
      <c r="M275" s="10"/>
      <c r="N275" s="119">
        <f t="shared" si="9"/>
        <v>2</v>
      </c>
      <c r="O275" s="120"/>
      <c r="P275" s="68"/>
      <c r="Q275" s="141">
        <v>169958.88822324324</v>
      </c>
      <c r="R275" s="141">
        <v>152962.99940091892</v>
      </c>
      <c r="S275" s="11">
        <v>159081.51937695569</v>
      </c>
      <c r="T275" s="11">
        <v>165200.03935299243</v>
      </c>
      <c r="U275" s="122"/>
      <c r="V275" s="114"/>
      <c r="W275" s="127">
        <v>250</v>
      </c>
    </row>
    <row r="276" spans="1:23">
      <c r="A276" s="74" t="s">
        <v>273</v>
      </c>
      <c r="B276" s="110" t="str">
        <f>IFERROR(HYPERLINK(VLOOKUP(A276,ÜRÜNLER!A:C,3,FALSE),VLOOKUP(A276,ÜRÜNLER!A:B,2,FALSE)),"")</f>
        <v>iQ300 Ada Tipi Davlumbaz, 90cm, 438m3, Inox</v>
      </c>
      <c r="C276" s="8">
        <v>2</v>
      </c>
      <c r="D276" s="8"/>
      <c r="E276" s="9"/>
      <c r="F276" s="9"/>
      <c r="G276" s="9"/>
      <c r="H276" s="9"/>
      <c r="I276" s="10">
        <v>1</v>
      </c>
      <c r="J276" s="10"/>
      <c r="K276" s="9"/>
      <c r="L276" s="9">
        <v>2</v>
      </c>
      <c r="M276" s="10"/>
      <c r="N276" s="119">
        <f t="shared" si="9"/>
        <v>5</v>
      </c>
      <c r="O276" s="120"/>
      <c r="P276" s="68"/>
      <c r="Q276" s="126">
        <v>60490.854623537656</v>
      </c>
      <c r="R276" s="152">
        <v>58676.128984831528</v>
      </c>
      <c r="S276" s="11">
        <v>61023.174144224788</v>
      </c>
      <c r="T276" s="11">
        <v>63370.219303618054</v>
      </c>
      <c r="U276" s="122"/>
      <c r="V276" s="114"/>
      <c r="W276" s="130"/>
    </row>
    <row r="277" spans="1:23">
      <c r="A277" s="74" t="s">
        <v>274</v>
      </c>
      <c r="B277" s="110" t="str">
        <f>IFERROR(HYPERLINK(VLOOKUP(A277,ÜRÜNLER!A:C,3,FALSE),VLOOKUP(A277,ÜRÜNLER!A:B,2,FALSE)),"")</f>
        <v>iQ500 studioLine Ada Tipi Davlumbaz, 90cm, Inox</v>
      </c>
      <c r="C277" s="8"/>
      <c r="D277" s="8">
        <v>2</v>
      </c>
      <c r="E277" s="9"/>
      <c r="F277" s="9"/>
      <c r="G277" s="9"/>
      <c r="H277" s="9">
        <v>1</v>
      </c>
      <c r="I277" s="10"/>
      <c r="J277" s="10"/>
      <c r="K277" s="9"/>
      <c r="L277" s="9"/>
      <c r="M277" s="10"/>
      <c r="N277" s="119">
        <f t="shared" si="9"/>
        <v>3</v>
      </c>
      <c r="O277" s="120"/>
      <c r="P277" s="68"/>
      <c r="Q277" s="141">
        <v>101659.36988634142</v>
      </c>
      <c r="R277" s="141">
        <v>91493.432897707273</v>
      </c>
      <c r="S277" s="11">
        <v>95153.170213615565</v>
      </c>
      <c r="T277" s="11">
        <v>98812.907529523858</v>
      </c>
      <c r="U277" s="122"/>
      <c r="V277" s="114"/>
      <c r="W277" s="127">
        <v>250</v>
      </c>
    </row>
    <row r="278" spans="1:23">
      <c r="A278" s="74" t="s">
        <v>271</v>
      </c>
      <c r="B278" s="110" t="str">
        <f>IFERROR(HYPERLINK(VLOOKUP(A278,ÜRÜNLER!A:C,3,FALSE),VLOOKUP(A278,ÜRÜNLER!A:B,2,FALSE)),"")</f>
        <v>iQ700 studioLine Tavan Tipi Davlumbaz, 105cm, Siyah</v>
      </c>
      <c r="C278" s="8"/>
      <c r="D278" s="8">
        <v>6</v>
      </c>
      <c r="E278" s="9"/>
      <c r="F278" s="9"/>
      <c r="G278" s="9"/>
      <c r="H278" s="9">
        <v>1</v>
      </c>
      <c r="I278" s="10"/>
      <c r="J278" s="10"/>
      <c r="K278" s="9"/>
      <c r="L278" s="9"/>
      <c r="M278" s="10"/>
      <c r="N278" s="119">
        <f t="shared" si="9"/>
        <v>7</v>
      </c>
      <c r="O278" s="120"/>
      <c r="P278" s="68"/>
      <c r="Q278" s="141">
        <v>300095.24017008184</v>
      </c>
      <c r="R278" s="155">
        <v>250000</v>
      </c>
      <c r="S278" s="11">
        <v>260000</v>
      </c>
      <c r="T278" s="11">
        <v>270000</v>
      </c>
      <c r="U278" s="122"/>
      <c r="V278" s="114"/>
      <c r="W278" s="127">
        <v>250</v>
      </c>
    </row>
    <row r="279" spans="1:23" ht="33.75" customHeight="1">
      <c r="A279" s="19" t="s">
        <v>1749</v>
      </c>
      <c r="B279" s="110" t="str">
        <f>IFERROR(HYPERLINK(VLOOKUP(A279,ÜRÜNLER!A:C,3,FALSE),VLOOKUP(A279,ÜRÜNLER!A:B,2,FALSE)),"")</f>
        <v/>
      </c>
      <c r="C279" s="8"/>
      <c r="D279" s="8"/>
      <c r="E279" s="9"/>
      <c r="F279" s="9"/>
      <c r="G279" s="9"/>
      <c r="H279" s="9"/>
      <c r="I279" s="10"/>
      <c r="J279" s="10"/>
      <c r="K279" s="9"/>
      <c r="L279" s="9"/>
      <c r="M279" s="10"/>
      <c r="N279" s="119">
        <f>SUM(N229:N278)</f>
        <v>289</v>
      </c>
      <c r="O279" s="120"/>
      <c r="P279" s="9"/>
      <c r="Q279" s="121"/>
      <c r="R279" s="114"/>
      <c r="S279" s="11"/>
      <c r="T279" s="11"/>
      <c r="U279" s="122"/>
      <c r="V279" s="114"/>
      <c r="W279" s="130"/>
    </row>
    <row r="280" spans="1:23">
      <c r="A280" s="14" t="s">
        <v>278</v>
      </c>
      <c r="B280" s="110" t="str">
        <f>IFERROR(HYPERLINK(VLOOKUP(A280,ÜRÜNLER!A:C,3,FALSE),VLOOKUP(A280,ÜRÜNLER!A:B,2,FALSE)),"")</f>
        <v>iQ100 Gömme Aspiratör, 53cm, 302m3, Gri</v>
      </c>
      <c r="C280" s="8">
        <v>3</v>
      </c>
      <c r="D280" s="8"/>
      <c r="E280" s="9"/>
      <c r="F280" s="9">
        <v>2</v>
      </c>
      <c r="G280" s="9"/>
      <c r="H280" s="9"/>
      <c r="I280" s="10"/>
      <c r="J280" s="10"/>
      <c r="K280" s="9"/>
      <c r="L280" s="9"/>
      <c r="M280" s="10"/>
      <c r="N280" s="119">
        <f t="shared" ref="N280:N290" si="10">M280+K280+L280+J280+I280+H280+G280+F280+E280+D280+C280</f>
        <v>5</v>
      </c>
      <c r="O280" s="120">
        <v>11</v>
      </c>
      <c r="P280" s="68"/>
      <c r="Q280" s="126">
        <v>11588.01382984625</v>
      </c>
      <c r="R280" s="152">
        <v>11240.373414950862</v>
      </c>
      <c r="S280" s="11">
        <v>11689.988351548896</v>
      </c>
      <c r="T280" s="11">
        <v>12139.603288146931</v>
      </c>
      <c r="U280" s="122"/>
      <c r="V280" s="114"/>
      <c r="W280" s="130"/>
    </row>
    <row r="281" spans="1:23">
      <c r="A281" s="15" t="s">
        <v>277</v>
      </c>
      <c r="B281" s="110" t="str">
        <f>IFERROR(HYPERLINK(VLOOKUP(A281,ÜRÜNLER!A:C,3,FALSE),VLOOKUP(A281,ÜRÜNLER!A:B,2,FALSE)),"")</f>
        <v>iQ500 Gömme Aspiratör, 52cm, 570m3, Inox</v>
      </c>
      <c r="C281" s="8"/>
      <c r="D281" s="8"/>
      <c r="E281" s="9"/>
      <c r="F281" s="9"/>
      <c r="G281" s="9"/>
      <c r="H281" s="9"/>
      <c r="I281" s="10"/>
      <c r="J281" s="10"/>
      <c r="K281" s="9"/>
      <c r="L281" s="9"/>
      <c r="M281" s="10"/>
      <c r="N281" s="119">
        <f t="shared" si="10"/>
        <v>0</v>
      </c>
      <c r="O281" s="120">
        <v>4</v>
      </c>
      <c r="P281" s="68"/>
      <c r="Q281" s="126">
        <v>30701.396746168586</v>
      </c>
      <c r="R281" s="152">
        <v>29780.354843783527</v>
      </c>
      <c r="S281" s="11">
        <v>30971.569037534868</v>
      </c>
      <c r="T281" s="11">
        <v>32162.783231286208</v>
      </c>
      <c r="U281" s="122"/>
      <c r="V281" s="114"/>
      <c r="W281" s="130"/>
    </row>
    <row r="282" spans="1:23">
      <c r="A282" s="14" t="s">
        <v>1637</v>
      </c>
      <c r="B282" s="110" t="str">
        <f>IFERROR(HYPERLINK(VLOOKUP(A282,ÜRÜNLER!A:C,3,FALSE),VLOOKUP(A282,ÜRÜNLER!A:B,2,FALSE)),"")</f>
        <v>iQ100 Gömme Aspiratör, 73cm, 302m3, Gri</v>
      </c>
      <c r="C282" s="8">
        <v>3</v>
      </c>
      <c r="D282" s="8"/>
      <c r="E282" s="9"/>
      <c r="F282" s="9"/>
      <c r="G282" s="9"/>
      <c r="H282" s="9"/>
      <c r="I282" s="10"/>
      <c r="J282" s="10"/>
      <c r="K282" s="9"/>
      <c r="L282" s="9"/>
      <c r="M282" s="10"/>
      <c r="N282" s="119">
        <f t="shared" si="10"/>
        <v>3</v>
      </c>
      <c r="O282" s="120">
        <v>1</v>
      </c>
      <c r="P282" s="68"/>
      <c r="Q282" s="126">
        <v>13394.970915059126</v>
      </c>
      <c r="R282" s="152">
        <v>12993.121787607352</v>
      </c>
      <c r="S282" s="11">
        <v>13512.846659111645</v>
      </c>
      <c r="T282" s="11">
        <v>14032.57153061594</v>
      </c>
      <c r="U282" s="122"/>
      <c r="V282" s="114"/>
      <c r="W282" s="130"/>
    </row>
    <row r="283" spans="1:23">
      <c r="A283" s="14" t="s">
        <v>1517</v>
      </c>
      <c r="B283" s="110" t="str">
        <f>IFERROR(HYPERLINK(VLOOKUP(A283,ÜRÜNLER!A:C,3,FALSE),VLOOKUP(A283,ÜRÜNLER!A:B,2,FALSE)),"")</f>
        <v>iQ300 Gömme Aspiratör, 75cm, 379m3, Metalik Gümüş</v>
      </c>
      <c r="C283" s="8"/>
      <c r="D283" s="8"/>
      <c r="E283" s="9"/>
      <c r="F283" s="9"/>
      <c r="G283" s="9"/>
      <c r="H283" s="9"/>
      <c r="I283" s="10">
        <v>1</v>
      </c>
      <c r="J283" s="10"/>
      <c r="K283" s="9"/>
      <c r="L283" s="9"/>
      <c r="M283" s="10"/>
      <c r="N283" s="119">
        <f t="shared" si="10"/>
        <v>1</v>
      </c>
      <c r="O283" s="120"/>
      <c r="P283" s="68"/>
      <c r="Q283" s="121" t="s">
        <v>1788</v>
      </c>
      <c r="R283" s="114">
        <v>35000</v>
      </c>
      <c r="S283" s="11">
        <v>36400</v>
      </c>
      <c r="T283" s="11">
        <v>37800</v>
      </c>
      <c r="U283" s="122"/>
      <c r="V283" s="114"/>
      <c r="W283" s="149">
        <v>1000</v>
      </c>
    </row>
    <row r="284" spans="1:23">
      <c r="A284" s="14" t="s">
        <v>280</v>
      </c>
      <c r="B284" s="110" t="str">
        <f>IFERROR(HYPERLINK(VLOOKUP(A284,ÜRÜNLER!A:C,3,FALSE),VLOOKUP(A284,ÜRÜNLER!A:B,2,FALSE)),"")</f>
        <v>iQ500 Gömme Aspiratör, 86cm, 600m3, Inox</v>
      </c>
      <c r="C284" s="8">
        <v>1</v>
      </c>
      <c r="D284" s="8"/>
      <c r="E284" s="9"/>
      <c r="F284" s="9">
        <v>1</v>
      </c>
      <c r="G284" s="9"/>
      <c r="H284" s="9"/>
      <c r="I284" s="10"/>
      <c r="J284" s="10"/>
      <c r="K284" s="9"/>
      <c r="L284" s="9"/>
      <c r="M284" s="10"/>
      <c r="N284" s="119">
        <f t="shared" si="10"/>
        <v>2</v>
      </c>
      <c r="O284" s="120">
        <v>1</v>
      </c>
      <c r="P284" s="68"/>
      <c r="Q284" s="126">
        <v>41753.899574789284</v>
      </c>
      <c r="R284" s="152">
        <v>40501.282587545604</v>
      </c>
      <c r="S284" s="11">
        <v>42121.333891047427</v>
      </c>
      <c r="T284" s="11">
        <v>43741.38519454925</v>
      </c>
      <c r="U284" s="122"/>
      <c r="V284" s="114"/>
      <c r="W284" s="130"/>
    </row>
    <row r="285" spans="1:23">
      <c r="A285" s="78" t="s">
        <v>279</v>
      </c>
      <c r="B285" s="110" t="str">
        <f>IFERROR(HYPERLINK(VLOOKUP(A285,ÜRÜNLER!A:C,3,FALSE),VLOOKUP(A285,ÜRÜNLER!A:B,2,FALSE)),"")</f>
        <v>iQ700 Gömme Aspiratör, 86cm, 595m3, Siyah</v>
      </c>
      <c r="C285" s="8">
        <v>1</v>
      </c>
      <c r="D285" s="8"/>
      <c r="E285" s="9"/>
      <c r="F285" s="9">
        <v>1</v>
      </c>
      <c r="G285" s="9"/>
      <c r="H285" s="9"/>
      <c r="I285" s="10"/>
      <c r="J285" s="10"/>
      <c r="K285" s="9"/>
      <c r="L285" s="9"/>
      <c r="M285" s="10"/>
      <c r="N285" s="119">
        <f t="shared" si="10"/>
        <v>2</v>
      </c>
      <c r="O285" s="120">
        <v>1</v>
      </c>
      <c r="P285" s="68"/>
      <c r="Q285" s="126">
        <v>46760.809604888731</v>
      </c>
      <c r="R285" s="152">
        <v>45357.985316742066</v>
      </c>
      <c r="S285" s="11">
        <v>47172.30472941175</v>
      </c>
      <c r="T285" s="11">
        <v>48986.624142081433</v>
      </c>
      <c r="U285" s="122"/>
      <c r="V285" s="114"/>
      <c r="W285" s="130"/>
    </row>
    <row r="286" spans="1:23">
      <c r="A286" s="14" t="s">
        <v>275</v>
      </c>
      <c r="B286" s="110" t="str">
        <f>IFERROR(HYPERLINK(VLOOKUP(A286,ÜRÜNLER!A:C,3,FALSE),VLOOKUP(A286,ÜRÜNLER!A:B,2,FALSE)),"")</f>
        <v>iQ100 Teleskopik Aspiratör, 60cm, 310m3, Gümüş</v>
      </c>
      <c r="C286" s="8">
        <v>1</v>
      </c>
      <c r="D286" s="8"/>
      <c r="E286" s="9"/>
      <c r="F286" s="9">
        <v>1</v>
      </c>
      <c r="G286" s="9">
        <v>1</v>
      </c>
      <c r="H286" s="9"/>
      <c r="I286" s="10"/>
      <c r="J286" s="10"/>
      <c r="K286" s="9"/>
      <c r="L286" s="9"/>
      <c r="M286" s="10"/>
      <c r="N286" s="119">
        <f t="shared" si="10"/>
        <v>3</v>
      </c>
      <c r="O286" s="120">
        <v>3</v>
      </c>
      <c r="P286" s="68"/>
      <c r="Q286" s="126">
        <v>7711.0096519718609</v>
      </c>
      <c r="R286" s="152">
        <v>7479.6793624127049</v>
      </c>
      <c r="S286" s="11">
        <v>7778.8665369092132</v>
      </c>
      <c r="T286" s="11">
        <v>8078.0537114057215</v>
      </c>
      <c r="U286" s="122"/>
      <c r="V286" s="114"/>
      <c r="W286" s="130"/>
    </row>
    <row r="287" spans="1:23">
      <c r="A287" s="14" t="s">
        <v>276</v>
      </c>
      <c r="B287" s="110" t="str">
        <f>IFERROR(HYPERLINK(VLOOKUP(A287,ÜRÜNLER!A:C,3,FALSE),VLOOKUP(A287,ÜRÜNLER!A:B,2,FALSE)),"")</f>
        <v>iQ100 Teleskopik Aspiratör, 60cm, 310m3, Beyaz</v>
      </c>
      <c r="C287" s="8">
        <v>7</v>
      </c>
      <c r="D287" s="8"/>
      <c r="E287" s="9"/>
      <c r="F287" s="9"/>
      <c r="G287" s="9"/>
      <c r="H287" s="9"/>
      <c r="I287" s="10"/>
      <c r="J287" s="10"/>
      <c r="K287" s="9"/>
      <c r="L287" s="9"/>
      <c r="M287" s="10"/>
      <c r="N287" s="119">
        <f t="shared" si="10"/>
        <v>7</v>
      </c>
      <c r="O287" s="120">
        <v>1</v>
      </c>
      <c r="P287" s="68"/>
      <c r="Q287" s="126">
        <v>7713.1786639885086</v>
      </c>
      <c r="R287" s="152">
        <v>7481.7833040688529</v>
      </c>
      <c r="S287" s="11">
        <v>7781.0546362316072</v>
      </c>
      <c r="T287" s="11">
        <v>8080.3259683943616</v>
      </c>
      <c r="U287" s="122"/>
      <c r="V287" s="114"/>
      <c r="W287" s="130"/>
    </row>
    <row r="288" spans="1:23">
      <c r="A288" s="14" t="s">
        <v>1740</v>
      </c>
      <c r="B288" s="110" t="str">
        <f>IFERROR(HYPERLINK(VLOOKUP(A288,ÜRÜNLER!A:C,3,FALSE),VLOOKUP(A288,ÜRÜNLER!A:B,2,FALSE)),"")</f>
        <v>iQ300 Tam Entegre Davlumbaz, 60cm, 582m3, Cam Dekor, Mat Siyah</v>
      </c>
      <c r="C288" s="8">
        <v>4</v>
      </c>
      <c r="D288" s="8"/>
      <c r="E288" s="9"/>
      <c r="F288" s="9"/>
      <c r="G288" s="9"/>
      <c r="H288" s="9"/>
      <c r="I288" s="10"/>
      <c r="J288" s="10"/>
      <c r="K288" s="9"/>
      <c r="L288" s="9"/>
      <c r="M288" s="10"/>
      <c r="N288" s="119">
        <f t="shared" si="10"/>
        <v>4</v>
      </c>
      <c r="O288" s="120">
        <v>1</v>
      </c>
      <c r="P288" s="68"/>
      <c r="Q288" s="126">
        <v>22278.754724958268</v>
      </c>
      <c r="R288" s="152">
        <v>21610.392083209521</v>
      </c>
      <c r="S288" s="11">
        <v>22474.807766537902</v>
      </c>
      <c r="T288" s="11">
        <v>23339.223449866284</v>
      </c>
      <c r="U288" s="122"/>
      <c r="V288" s="114"/>
      <c r="W288" s="130"/>
    </row>
    <row r="289" spans="1:23">
      <c r="A289" s="14" t="s">
        <v>1743</v>
      </c>
      <c r="B289" s="110" t="str">
        <f>IFERROR(HYPERLINK(VLOOKUP(A289,ÜRÜNLER!A:C,3,FALSE),VLOOKUP(A289,ÜRÜNLER!A:B,2,FALSE)),"")</f>
        <v>iQ500 Tam Entegre Davlumbaz, 60cm, 433m3, Cam Dekor, Mat Siyah</v>
      </c>
      <c r="C289" s="8"/>
      <c r="D289" s="8"/>
      <c r="E289" s="9"/>
      <c r="F289" s="9"/>
      <c r="G289" s="9"/>
      <c r="H289" s="9"/>
      <c r="I289" s="10"/>
      <c r="J289" s="10"/>
      <c r="K289" s="9"/>
      <c r="L289" s="9"/>
      <c r="M289" s="10"/>
      <c r="N289" s="119">
        <f t="shared" si="10"/>
        <v>0</v>
      </c>
      <c r="O289" s="120">
        <v>5</v>
      </c>
      <c r="P289" s="68"/>
      <c r="Q289" s="126">
        <v>34228.197120000004</v>
      </c>
      <c r="R289" s="152">
        <v>33201.351206400002</v>
      </c>
      <c r="S289" s="11">
        <v>34529.405254656005</v>
      </c>
      <c r="T289" s="11">
        <v>35857.459302912001</v>
      </c>
      <c r="U289" s="122"/>
      <c r="V289" s="114"/>
      <c r="W289" s="130"/>
    </row>
    <row r="290" spans="1:23">
      <c r="A290" s="14" t="s">
        <v>1746</v>
      </c>
      <c r="B290" s="110" t="str">
        <f>IFERROR(HYPERLINK(VLOOKUP(A290,ÜRÜNLER!A:C,3,FALSE),VLOOKUP(A290,ÜRÜNLER!A:B,2,FALSE)),"")</f>
        <v>iQ300 Tam Entegre Davlumbaz, 80cm, 582m3, Cam Dekor, Mat Siyah</v>
      </c>
      <c r="C290" s="8"/>
      <c r="D290" s="8"/>
      <c r="E290" s="9"/>
      <c r="F290" s="9"/>
      <c r="G290" s="9"/>
      <c r="H290" s="9"/>
      <c r="I290" s="10"/>
      <c r="J290" s="10"/>
      <c r="K290" s="9"/>
      <c r="L290" s="9"/>
      <c r="M290" s="10"/>
      <c r="N290" s="119">
        <f t="shared" si="10"/>
        <v>0</v>
      </c>
      <c r="O290" s="120">
        <v>5</v>
      </c>
      <c r="P290" s="68"/>
      <c r="Q290" s="126">
        <v>29858.609646155564</v>
      </c>
      <c r="R290" s="152">
        <v>28962.851356770898</v>
      </c>
      <c r="S290" s="11">
        <v>30121.365411041734</v>
      </c>
      <c r="T290" s="11">
        <v>31279.87946531257</v>
      </c>
      <c r="U290" s="122"/>
      <c r="V290" s="114"/>
      <c r="W290" s="130"/>
    </row>
    <row r="291" spans="1:23" ht="30">
      <c r="A291" s="19" t="s">
        <v>281</v>
      </c>
      <c r="B291" s="110" t="str">
        <f>IFERROR(HYPERLINK(VLOOKUP(A291,ÜRÜNLER!A:C,3,FALSE),VLOOKUP(A291,ÜRÜNLER!A:B,2,FALSE)),"")</f>
        <v/>
      </c>
      <c r="C291" s="8"/>
      <c r="D291" s="8"/>
      <c r="E291" s="9"/>
      <c r="F291" s="9"/>
      <c r="G291" s="9"/>
      <c r="H291" s="9"/>
      <c r="I291" s="10"/>
      <c r="J291" s="10"/>
      <c r="K291" s="9"/>
      <c r="L291" s="9"/>
      <c r="M291" s="10"/>
      <c r="N291" s="119">
        <f>SUM(N280:N290)</f>
        <v>27</v>
      </c>
      <c r="O291" s="120"/>
      <c r="P291" s="9"/>
      <c r="Q291" s="121"/>
      <c r="R291" s="114"/>
      <c r="S291" s="11"/>
      <c r="T291" s="11"/>
      <c r="U291" s="122"/>
      <c r="V291" s="114"/>
      <c r="W291" s="130"/>
    </row>
    <row r="292" spans="1:23">
      <c r="A292" s="58" t="s">
        <v>1797</v>
      </c>
      <c r="B292" s="110" t="str">
        <f>IFERROR(HYPERLINK(VLOOKUP(A292,ÜRÜNLER!A:C,3,FALSE),VLOOKUP(A292,ÜRÜNLER!A:B,2,FALSE)),"")</f>
        <v>iQ700 Gazlı Ocak, 60cm, Sert Cam, Siyah, Döküm</v>
      </c>
      <c r="C292" s="8"/>
      <c r="D292" s="8"/>
      <c r="E292" s="9"/>
      <c r="F292" s="9"/>
      <c r="G292" s="9"/>
      <c r="H292" s="9"/>
      <c r="I292" s="10"/>
      <c r="J292" s="10"/>
      <c r="K292" s="9"/>
      <c r="L292" s="9"/>
      <c r="M292" s="10"/>
      <c r="N292" s="119">
        <f t="shared" ref="N292:N355" si="11">M292+K292+L292+J292+I292+H292+G292+F292+E292+D292+C292</f>
        <v>0</v>
      </c>
      <c r="O292" s="120">
        <v>2</v>
      </c>
      <c r="P292" s="9"/>
      <c r="Q292" s="126">
        <v>59438.778761459514</v>
      </c>
      <c r="R292" s="152">
        <v>57655.61539861573</v>
      </c>
      <c r="S292" s="11">
        <v>59961.840014560359</v>
      </c>
      <c r="T292" s="11">
        <v>62268.064630504989</v>
      </c>
      <c r="U292" s="122"/>
      <c r="V292" s="114"/>
      <c r="W292" s="130"/>
    </row>
    <row r="293" spans="1:23">
      <c r="A293" s="58" t="s">
        <v>1798</v>
      </c>
      <c r="B293" s="110" t="str">
        <f>IFERROR(HYPERLINK(VLOOKUP(A293,ÜRÜNLER!A:C,3,FALSE),VLOOKUP(A293,ÜRÜNLER!A:B,2,FALSE)),"")</f>
        <v>iQ700 Gazlı Domino Ocak, 30cm, Tek Gözlü, Seramik, Siyah, Wok</v>
      </c>
      <c r="C293" s="8"/>
      <c r="D293" s="8"/>
      <c r="E293" s="9"/>
      <c r="F293" s="9"/>
      <c r="G293" s="9"/>
      <c r="H293" s="9"/>
      <c r="I293" s="10"/>
      <c r="J293" s="10"/>
      <c r="K293" s="9"/>
      <c r="L293" s="9"/>
      <c r="M293" s="10"/>
      <c r="N293" s="119">
        <f t="shared" si="11"/>
        <v>0</v>
      </c>
      <c r="O293" s="120">
        <v>2</v>
      </c>
      <c r="P293" s="9"/>
      <c r="Q293" s="126">
        <v>41724.197750343483</v>
      </c>
      <c r="R293" s="152">
        <v>40472.471817833175</v>
      </c>
      <c r="S293" s="11">
        <v>42091.370690546501</v>
      </c>
      <c r="T293" s="11">
        <v>43710.269563259826</v>
      </c>
      <c r="U293" s="122"/>
      <c r="V293" s="114"/>
      <c r="W293" s="130"/>
    </row>
    <row r="294" spans="1:23">
      <c r="A294" s="58" t="s">
        <v>1799</v>
      </c>
      <c r="B294" s="110" t="str">
        <f>IFERROR(HYPERLINK(VLOOKUP(A294,ÜRÜNLER!A:C,3,FALSE),VLOOKUP(A294,ÜRÜNLER!A:B,2,FALSE)),"")</f>
        <v>iQ700 Gazlı Domino Ocak, 30cm, 2 Gözlü, Seramik, Siyah</v>
      </c>
      <c r="C294" s="8"/>
      <c r="D294" s="8"/>
      <c r="E294" s="9"/>
      <c r="F294" s="9"/>
      <c r="G294" s="9"/>
      <c r="H294" s="9"/>
      <c r="I294" s="10"/>
      <c r="J294" s="10"/>
      <c r="K294" s="9"/>
      <c r="L294" s="9"/>
      <c r="M294" s="10"/>
      <c r="N294" s="119">
        <f t="shared" si="11"/>
        <v>0</v>
      </c>
      <c r="O294" s="120">
        <v>2</v>
      </c>
      <c r="P294" s="9"/>
      <c r="Q294" s="126">
        <v>40278.897752026904</v>
      </c>
      <c r="R294" s="152">
        <v>39070.530819466097</v>
      </c>
      <c r="S294" s="11">
        <v>40633.352052244743</v>
      </c>
      <c r="T294" s="11">
        <v>42196.173285023382</v>
      </c>
      <c r="U294" s="122"/>
      <c r="V294" s="114"/>
      <c r="W294" s="130"/>
    </row>
    <row r="295" spans="1:23">
      <c r="A295" s="58" t="s">
        <v>1800</v>
      </c>
      <c r="B295" s="110" t="str">
        <f>IFERROR(HYPERLINK(VLOOKUP(A295,ÜRÜNLER!A:C,3,FALSE),VLOOKUP(A295,ÜRÜNLER!A:B,2,FALSE)),"")</f>
        <v>iQ500 Gazlı Ocak, 90cm, 5 Gözlü, Inox, Döküm, Wok</v>
      </c>
      <c r="C295" s="8"/>
      <c r="D295" s="8"/>
      <c r="E295" s="9"/>
      <c r="F295" s="9"/>
      <c r="G295" s="9"/>
      <c r="H295" s="9"/>
      <c r="I295" s="10"/>
      <c r="J295" s="10"/>
      <c r="K295" s="9"/>
      <c r="L295" s="9"/>
      <c r="M295" s="10"/>
      <c r="N295" s="119">
        <f t="shared" si="11"/>
        <v>0</v>
      </c>
      <c r="O295" s="120">
        <v>2</v>
      </c>
      <c r="P295" s="9"/>
      <c r="Q295" s="126">
        <v>56796</v>
      </c>
      <c r="R295" s="152">
        <v>55092.12</v>
      </c>
      <c r="S295" s="11">
        <v>57295.804800000005</v>
      </c>
      <c r="T295" s="11">
        <v>59499.489600000001</v>
      </c>
      <c r="U295" s="122"/>
      <c r="V295" s="114"/>
      <c r="W295" s="130"/>
    </row>
    <row r="296" spans="1:23">
      <c r="A296" s="58" t="s">
        <v>1801</v>
      </c>
      <c r="B296" s="110" t="str">
        <f>IFERROR(HYPERLINK(VLOOKUP(A296,ÜRÜNLER!A:C,3,FALSE),VLOOKUP(A296,ÜRÜNLER!A:B,2,FALSE)),"")</f>
        <v>iQ500 Gazlı Ocak, 60cm, Sert Cam, Beyaz, Döküm</v>
      </c>
      <c r="C296" s="8"/>
      <c r="D296" s="8"/>
      <c r="E296" s="9"/>
      <c r="F296" s="9"/>
      <c r="G296" s="9"/>
      <c r="H296" s="9"/>
      <c r="I296" s="10"/>
      <c r="J296" s="10"/>
      <c r="K296" s="9"/>
      <c r="L296" s="9"/>
      <c r="M296" s="10"/>
      <c r="N296" s="119">
        <f t="shared" si="11"/>
        <v>0</v>
      </c>
      <c r="O296" s="120"/>
      <c r="P296" s="9"/>
      <c r="Q296" s="126">
        <v>38552</v>
      </c>
      <c r="R296" s="152">
        <v>37395.440000000002</v>
      </c>
      <c r="S296" s="11">
        <v>38891.257600000004</v>
      </c>
      <c r="T296" s="11">
        <v>40387.075199999999</v>
      </c>
      <c r="U296" s="122"/>
      <c r="V296" s="114"/>
      <c r="W296" s="130"/>
    </row>
    <row r="297" spans="1:23">
      <c r="A297" s="58" t="s">
        <v>1490</v>
      </c>
      <c r="B297" s="110" t="str">
        <f>IFERROR(HYPERLINK(VLOOKUP(A297,ÜRÜNLER!A:C,3,FALSE),VLOOKUP(A297,ÜRÜNLER!A:B,2,FALSE)),"")</f>
        <v>iQ300 Gazlı Ocak, 67cm, Sert Cam, Beyaz</v>
      </c>
      <c r="C297" s="8"/>
      <c r="D297" s="8"/>
      <c r="E297" s="9"/>
      <c r="F297" s="9"/>
      <c r="G297" s="9"/>
      <c r="H297" s="9"/>
      <c r="I297" s="10"/>
      <c r="J297" s="10"/>
      <c r="K297" s="9"/>
      <c r="L297" s="9"/>
      <c r="M297" s="10"/>
      <c r="N297" s="119">
        <f t="shared" si="11"/>
        <v>0</v>
      </c>
      <c r="O297" s="120"/>
      <c r="P297" s="9"/>
      <c r="Q297" s="126">
        <v>15851.282820596934</v>
      </c>
      <c r="R297" s="152">
        <v>15375.744335979027</v>
      </c>
      <c r="S297" s="11">
        <v>15990.774109418187</v>
      </c>
      <c r="T297" s="11">
        <v>16605.803882857348</v>
      </c>
      <c r="U297" s="122"/>
      <c r="V297" s="114"/>
      <c r="W297" s="130"/>
    </row>
    <row r="298" spans="1:23">
      <c r="A298" s="104" t="s">
        <v>1638</v>
      </c>
      <c r="B298" s="110" t="str">
        <f>IFERROR(HYPERLINK(VLOOKUP(A298,ÜRÜNLER!A:C,3,FALSE),VLOOKUP(A298,ÜRÜNLER!A:B,2,FALSE)),"")</f>
        <v>iQ100 Ankastre Gazlı Ocak, 60cm, Emaye, Beyaz</v>
      </c>
      <c r="C298" s="8"/>
      <c r="D298" s="8"/>
      <c r="E298" s="9"/>
      <c r="F298" s="9"/>
      <c r="G298" s="9"/>
      <c r="H298" s="9"/>
      <c r="I298" s="10"/>
      <c r="J298" s="10"/>
      <c r="K298" s="9">
        <v>1</v>
      </c>
      <c r="L298" s="9"/>
      <c r="M298" s="10"/>
      <c r="N298" s="119">
        <f t="shared" si="11"/>
        <v>1</v>
      </c>
      <c r="O298" s="120"/>
      <c r="P298" s="68"/>
      <c r="Q298" s="121" t="s">
        <v>1788</v>
      </c>
      <c r="R298" s="114">
        <v>7500</v>
      </c>
      <c r="S298" s="11">
        <v>7800</v>
      </c>
      <c r="T298" s="11">
        <v>8100</v>
      </c>
      <c r="U298" s="122"/>
      <c r="V298" s="114"/>
      <c r="W298" s="149">
        <v>500</v>
      </c>
    </row>
    <row r="299" spans="1:23">
      <c r="A299" s="104" t="s">
        <v>1507</v>
      </c>
      <c r="B299" s="110" t="str">
        <f>IFERROR(HYPERLINK(VLOOKUP(A299,ÜRÜNLER!A:C,3,FALSE),VLOOKUP(A299,ÜRÜNLER!A:B,2,FALSE)),"")</f>
        <v>iQ300 Gazlı Ocak, 60cm, Sert Cam, Siyah</v>
      </c>
      <c r="C299" s="8"/>
      <c r="D299" s="8"/>
      <c r="E299" s="9"/>
      <c r="F299" s="9"/>
      <c r="G299" s="9"/>
      <c r="H299" s="9"/>
      <c r="I299" s="10"/>
      <c r="J299" s="10"/>
      <c r="K299" s="9">
        <v>1</v>
      </c>
      <c r="L299" s="9"/>
      <c r="M299" s="10"/>
      <c r="N299" s="119">
        <f t="shared" si="11"/>
        <v>1</v>
      </c>
      <c r="O299" s="120"/>
      <c r="P299" s="68"/>
      <c r="Q299" s="121" t="s">
        <v>1788</v>
      </c>
      <c r="R299" s="114">
        <v>16000</v>
      </c>
      <c r="S299" s="11">
        <v>16640</v>
      </c>
      <c r="T299" s="11">
        <v>17280</v>
      </c>
      <c r="U299" s="122"/>
      <c r="V299" s="114"/>
      <c r="W299" s="149">
        <v>500</v>
      </c>
    </row>
    <row r="300" spans="1:23">
      <c r="A300" s="104" t="s">
        <v>291</v>
      </c>
      <c r="B300" s="110" t="str">
        <f>IFERROR(HYPERLINK(VLOOKUP(A300,ÜRÜNLER!A:C,3,FALSE),VLOOKUP(A300,ÜRÜNLER!A:B,2,FALSE)),"")</f>
        <v>iQ300 Gazlı Ocak, 60cm, Sert Cam, Antrasit Gri, Döküm</v>
      </c>
      <c r="C300" s="8">
        <v>1</v>
      </c>
      <c r="D300" s="8"/>
      <c r="E300" s="9"/>
      <c r="F300" s="9"/>
      <c r="G300" s="9"/>
      <c r="H300" s="9"/>
      <c r="I300" s="10"/>
      <c r="J300" s="10"/>
      <c r="K300" s="9"/>
      <c r="L300" s="9"/>
      <c r="M300" s="10"/>
      <c r="N300" s="119">
        <f t="shared" si="11"/>
        <v>1</v>
      </c>
      <c r="O300" s="120"/>
      <c r="P300" s="68"/>
      <c r="Q300" s="126">
        <v>21396.457539553983</v>
      </c>
      <c r="R300" s="152">
        <v>20754.563813367364</v>
      </c>
      <c r="S300" s="11">
        <v>21584.746365902058</v>
      </c>
      <c r="T300" s="11">
        <v>22414.928918436752</v>
      </c>
      <c r="U300" s="122"/>
      <c r="V300" s="114"/>
      <c r="W300" s="130"/>
    </row>
    <row r="301" spans="1:23">
      <c r="A301" s="104" t="s">
        <v>1639</v>
      </c>
      <c r="B301" s="110" t="str">
        <f>IFERROR(HYPERLINK(VLOOKUP(A301,ÜRÜNLER!A:C,3,FALSE),VLOOKUP(A301,ÜRÜNLER!A:B,2,FALSE)),"")</f>
        <v>iQ100 Ankastre Gazlı Ocak, 60cm, Sert Cam, Beyaz</v>
      </c>
      <c r="C301" s="8"/>
      <c r="D301" s="8"/>
      <c r="E301" s="9"/>
      <c r="F301" s="9"/>
      <c r="G301" s="9"/>
      <c r="H301" s="9"/>
      <c r="I301" s="10"/>
      <c r="J301" s="10"/>
      <c r="K301" s="9"/>
      <c r="L301" s="9"/>
      <c r="M301" s="10"/>
      <c r="N301" s="119">
        <f t="shared" si="11"/>
        <v>0</v>
      </c>
      <c r="O301" s="120"/>
      <c r="P301" s="68"/>
      <c r="Q301" s="121" t="s">
        <v>1788</v>
      </c>
      <c r="R301" s="114">
        <v>12500</v>
      </c>
      <c r="S301" s="11">
        <v>13000</v>
      </c>
      <c r="T301" s="11">
        <v>13500</v>
      </c>
      <c r="U301" s="122"/>
      <c r="V301" s="114"/>
      <c r="W301" s="130"/>
    </row>
    <row r="302" spans="1:23">
      <c r="A302" s="104" t="s">
        <v>1366</v>
      </c>
      <c r="B302" s="110" t="str">
        <f>IFERROR(HYPERLINK(VLOOKUP(A302,ÜRÜNLER!A:C,3,FALSE),VLOOKUP(A302,ÜRÜNLER!A:B,2,FALSE)),"")</f>
        <v>iQ100 Gazlı Ocak, 60cm, Sert Cam, Beyaz, Döküm</v>
      </c>
      <c r="C302" s="8">
        <v>5</v>
      </c>
      <c r="D302" s="8"/>
      <c r="E302" s="9"/>
      <c r="F302" s="9"/>
      <c r="G302" s="9"/>
      <c r="H302" s="9"/>
      <c r="I302" s="10">
        <v>1</v>
      </c>
      <c r="J302" s="10"/>
      <c r="K302" s="9"/>
      <c r="L302" s="9"/>
      <c r="M302" s="10"/>
      <c r="N302" s="119">
        <f t="shared" si="11"/>
        <v>6</v>
      </c>
      <c r="O302" s="120"/>
      <c r="P302" s="68"/>
      <c r="Q302" s="121" t="s">
        <v>1788</v>
      </c>
      <c r="R302" s="114">
        <v>13000</v>
      </c>
      <c r="S302" s="11">
        <v>13520</v>
      </c>
      <c r="T302" s="11">
        <v>14040</v>
      </c>
      <c r="U302" s="122"/>
      <c r="V302" s="114"/>
      <c r="W302" s="130"/>
    </row>
    <row r="303" spans="1:23">
      <c r="A303" s="104" t="s">
        <v>1640</v>
      </c>
      <c r="B303" s="110" t="str">
        <f>IFERROR(HYPERLINK(VLOOKUP(A303,ÜRÜNLER!A:C,3,FALSE),VLOOKUP(A303,ÜRÜNLER!A:B,2,FALSE)),"")</f>
        <v>iQ100 Gazlı Ocak, 60cm, Sert Cam, Siyah, Wok</v>
      </c>
      <c r="C303" s="8">
        <v>2</v>
      </c>
      <c r="D303" s="8"/>
      <c r="E303" s="9"/>
      <c r="F303" s="9">
        <v>1</v>
      </c>
      <c r="G303" s="9"/>
      <c r="H303" s="9"/>
      <c r="I303" s="10"/>
      <c r="J303" s="10"/>
      <c r="K303" s="9"/>
      <c r="L303" s="9"/>
      <c r="M303" s="10"/>
      <c r="N303" s="119">
        <f t="shared" si="11"/>
        <v>3</v>
      </c>
      <c r="O303" s="120"/>
      <c r="P303" s="68"/>
      <c r="Q303" s="121" t="s">
        <v>1788</v>
      </c>
      <c r="R303" s="114">
        <v>12500</v>
      </c>
      <c r="S303" s="11">
        <v>13000</v>
      </c>
      <c r="T303" s="11">
        <v>13500</v>
      </c>
      <c r="U303" s="122"/>
      <c r="V303" s="114"/>
      <c r="W303" s="130"/>
    </row>
    <row r="304" spans="1:23">
      <c r="A304" s="73" t="s">
        <v>284</v>
      </c>
      <c r="B304" s="110" t="str">
        <f>IFERROR(HYPERLINK(VLOOKUP(A304,ÜRÜNLER!A:C,3,FALSE),VLOOKUP(A304,ÜRÜNLER!A:B,2,FALSE)),"")</f>
        <v>iQ100 Gazlı Ocak, 60cm, Emaye, Beyaz</v>
      </c>
      <c r="C304" s="8">
        <v>1</v>
      </c>
      <c r="D304" s="8"/>
      <c r="E304" s="9"/>
      <c r="F304" s="9">
        <v>1</v>
      </c>
      <c r="G304" s="9"/>
      <c r="H304" s="9"/>
      <c r="I304" s="10">
        <v>1</v>
      </c>
      <c r="J304" s="10"/>
      <c r="K304" s="9"/>
      <c r="L304" s="9">
        <v>1</v>
      </c>
      <c r="M304" s="10"/>
      <c r="N304" s="119">
        <f t="shared" si="11"/>
        <v>4</v>
      </c>
      <c r="O304" s="120"/>
      <c r="P304" s="68"/>
      <c r="Q304" s="121" t="s">
        <v>1788</v>
      </c>
      <c r="R304" s="114">
        <v>7500</v>
      </c>
      <c r="S304" s="11">
        <v>7800</v>
      </c>
      <c r="T304" s="11">
        <v>8100</v>
      </c>
      <c r="U304" s="122"/>
      <c r="V304" s="114"/>
      <c r="W304" s="127">
        <v>250</v>
      </c>
    </row>
    <row r="305" spans="1:23">
      <c r="A305" s="73" t="s">
        <v>285</v>
      </c>
      <c r="B305" s="110" t="str">
        <f>IFERROR(HYPERLINK(VLOOKUP(A305,ÜRÜNLER!A:C,3,FALSE),VLOOKUP(A305,ÜRÜNLER!A:B,2,FALSE)),"")</f>
        <v>iQ100 Gazlı/Elektrikli Ocak, 60cm, Inox</v>
      </c>
      <c r="C305" s="8">
        <v>3</v>
      </c>
      <c r="D305" s="8"/>
      <c r="E305" s="9"/>
      <c r="F305" s="9"/>
      <c r="G305" s="9"/>
      <c r="H305" s="9"/>
      <c r="I305" s="10"/>
      <c r="J305" s="10"/>
      <c r="K305" s="9"/>
      <c r="L305" s="9"/>
      <c r="M305" s="10"/>
      <c r="N305" s="119">
        <f t="shared" si="11"/>
        <v>3</v>
      </c>
      <c r="O305" s="120"/>
      <c r="P305" s="68"/>
      <c r="Q305" s="121" t="s">
        <v>1788</v>
      </c>
      <c r="R305" s="114">
        <v>9000</v>
      </c>
      <c r="S305" s="11">
        <v>9360</v>
      </c>
      <c r="T305" s="11">
        <v>9720</v>
      </c>
      <c r="U305" s="122"/>
      <c r="V305" s="114"/>
      <c r="W305" s="127">
        <v>250</v>
      </c>
    </row>
    <row r="306" spans="1:23">
      <c r="A306" s="73" t="s">
        <v>286</v>
      </c>
      <c r="B306" s="110" t="str">
        <f>IFERROR(HYPERLINK(VLOOKUP(A306,ÜRÜNLER!A:C,3,FALSE),VLOOKUP(A306,ÜRÜNLER!A:B,2,FALSE)),"")</f>
        <v>iQ100 Gazlı Ocak, 60cm, Emaye, Siyah</v>
      </c>
      <c r="C306" s="8">
        <v>5</v>
      </c>
      <c r="D306" s="8"/>
      <c r="E306" s="9"/>
      <c r="F306" s="9"/>
      <c r="G306" s="9"/>
      <c r="H306" s="9"/>
      <c r="I306" s="10"/>
      <c r="J306" s="10"/>
      <c r="K306" s="9"/>
      <c r="L306" s="9">
        <v>1</v>
      </c>
      <c r="M306" s="10"/>
      <c r="N306" s="119">
        <f t="shared" si="11"/>
        <v>6</v>
      </c>
      <c r="O306" s="120"/>
      <c r="P306" s="68"/>
      <c r="Q306" s="121" t="s">
        <v>1788</v>
      </c>
      <c r="R306" s="114">
        <v>7500</v>
      </c>
      <c r="S306" s="11">
        <v>7800</v>
      </c>
      <c r="T306" s="11">
        <v>8100</v>
      </c>
      <c r="U306" s="122"/>
      <c r="V306" s="114"/>
      <c r="W306" s="127">
        <v>250</v>
      </c>
    </row>
    <row r="307" spans="1:23">
      <c r="A307" s="85" t="s">
        <v>287</v>
      </c>
      <c r="B307" s="110" t="str">
        <f>IFERROR(HYPERLINK(VLOOKUP(A307,ÜRÜNLER!A:C,3,FALSE),VLOOKUP(A307,ÜRÜNLER!A:B,2,FALSE)),"")</f>
        <v>iQ500 Gazlı Ocak, 60cm, Inox, Döküm</v>
      </c>
      <c r="C307" s="8"/>
      <c r="D307" s="8"/>
      <c r="E307" s="9"/>
      <c r="F307" s="9"/>
      <c r="G307" s="9"/>
      <c r="H307" s="9"/>
      <c r="I307" s="10"/>
      <c r="J307" s="10"/>
      <c r="K307" s="9"/>
      <c r="L307" s="9">
        <v>1</v>
      </c>
      <c r="M307" s="10"/>
      <c r="N307" s="119">
        <f t="shared" si="11"/>
        <v>1</v>
      </c>
      <c r="O307" s="120"/>
      <c r="P307" s="68"/>
      <c r="Q307" s="121" t="s">
        <v>1788</v>
      </c>
      <c r="R307" s="114">
        <v>30000</v>
      </c>
      <c r="S307" s="11">
        <v>31200</v>
      </c>
      <c r="T307" s="11">
        <v>32400</v>
      </c>
      <c r="U307" s="122"/>
      <c r="V307" s="114"/>
      <c r="W307" s="123">
        <v>1000</v>
      </c>
    </row>
    <row r="308" spans="1:23">
      <c r="A308" s="74" t="s">
        <v>289</v>
      </c>
      <c r="B308" s="110" t="str">
        <f>IFERROR(HYPERLINK(VLOOKUP(A308,ÜRÜNLER!A:C,3,FALSE),VLOOKUP(A308,ÜRÜNLER!A:B,2,FALSE)),"")</f>
        <v>iQ300 Gazlı Ocak, 60cm, Inox, Döküm</v>
      </c>
      <c r="C308" s="8"/>
      <c r="D308" s="8"/>
      <c r="E308" s="9"/>
      <c r="F308" s="9"/>
      <c r="G308" s="9"/>
      <c r="H308" s="9"/>
      <c r="I308" s="10">
        <v>1</v>
      </c>
      <c r="J308" s="10"/>
      <c r="K308" s="9"/>
      <c r="L308" s="9"/>
      <c r="M308" s="10"/>
      <c r="N308" s="119">
        <f t="shared" si="11"/>
        <v>1</v>
      </c>
      <c r="O308" s="120"/>
      <c r="P308" s="68"/>
      <c r="Q308" s="121" t="s">
        <v>1788</v>
      </c>
      <c r="R308" s="114">
        <v>20000</v>
      </c>
      <c r="S308" s="11">
        <v>20800</v>
      </c>
      <c r="T308" s="11">
        <v>21600</v>
      </c>
      <c r="U308" s="122"/>
      <c r="V308" s="114"/>
      <c r="W308" s="123">
        <v>1000</v>
      </c>
    </row>
    <row r="309" spans="1:23">
      <c r="A309" s="74" t="s">
        <v>290</v>
      </c>
      <c r="B309" s="110" t="str">
        <f>IFERROR(HYPERLINK(VLOOKUP(A309,ÜRÜNLER!A:C,3,FALSE),VLOOKUP(A309,ÜRÜNLER!A:B,2,FALSE)),"")</f>
        <v>iQ300 Gazlı Ocak, 60cm, Sert Cam, Beyaz, Döküm</v>
      </c>
      <c r="C309" s="8">
        <v>2</v>
      </c>
      <c r="D309" s="8"/>
      <c r="E309" s="9"/>
      <c r="F309" s="9">
        <v>2</v>
      </c>
      <c r="G309" s="9"/>
      <c r="H309" s="9"/>
      <c r="I309" s="10"/>
      <c r="J309" s="10"/>
      <c r="K309" s="9"/>
      <c r="L309" s="9"/>
      <c r="M309" s="10"/>
      <c r="N309" s="119">
        <f t="shared" si="11"/>
        <v>4</v>
      </c>
      <c r="O309" s="120"/>
      <c r="P309" s="68"/>
      <c r="Q309" s="126">
        <v>21396.457539553983</v>
      </c>
      <c r="R309" s="152">
        <v>20754.563813367364</v>
      </c>
      <c r="S309" s="11">
        <v>21584.746365902058</v>
      </c>
      <c r="T309" s="11">
        <v>22414.928918436752</v>
      </c>
      <c r="U309" s="122"/>
      <c r="V309" s="114"/>
      <c r="W309" s="114"/>
    </row>
    <row r="310" spans="1:23">
      <c r="A310" s="77" t="s">
        <v>292</v>
      </c>
      <c r="B310" s="110" t="str">
        <f>IFERROR(HYPERLINK(VLOOKUP(A310,ÜRÜNLER!A:C,3,FALSE),VLOOKUP(A310,ÜRÜNLER!A:B,2,FALSE)),"")</f>
        <v>iQ100 Gazlı Ocak, 60cm, Sert Cam, Siyah, Wok</v>
      </c>
      <c r="C310" s="8"/>
      <c r="D310" s="8"/>
      <c r="E310" s="9"/>
      <c r="F310" s="9"/>
      <c r="G310" s="9"/>
      <c r="H310" s="9"/>
      <c r="I310" s="10"/>
      <c r="J310" s="10">
        <v>1</v>
      </c>
      <c r="K310" s="9"/>
      <c r="L310" s="9"/>
      <c r="M310" s="10"/>
      <c r="N310" s="119">
        <f t="shared" si="11"/>
        <v>1</v>
      </c>
      <c r="O310" s="120"/>
      <c r="P310" s="68"/>
      <c r="Q310" s="121" t="s">
        <v>1788</v>
      </c>
      <c r="R310" s="114">
        <v>20000</v>
      </c>
      <c r="S310" s="11">
        <v>20800</v>
      </c>
      <c r="T310" s="11">
        <v>21600</v>
      </c>
      <c r="U310" s="122"/>
      <c r="V310" s="114"/>
      <c r="W310" s="123">
        <v>500</v>
      </c>
    </row>
    <row r="311" spans="1:23">
      <c r="A311" s="80" t="s">
        <v>293</v>
      </c>
      <c r="B311" s="110" t="str">
        <f>IFERROR(HYPERLINK(VLOOKUP(A311,ÜRÜNLER!A:C,3,FALSE),VLOOKUP(A311,ÜRÜNLER!A:B,2,FALSE)),"")</f>
        <v>iQ100 Gazlı Ocak, 60cm, Sert Cam, Titanyum Gri</v>
      </c>
      <c r="C311" s="8">
        <v>2</v>
      </c>
      <c r="D311" s="8"/>
      <c r="E311" s="9"/>
      <c r="F311" s="9"/>
      <c r="G311" s="9"/>
      <c r="H311" s="9"/>
      <c r="I311" s="10"/>
      <c r="J311" s="10">
        <v>1</v>
      </c>
      <c r="K311" s="9"/>
      <c r="L311" s="9"/>
      <c r="M311" s="10"/>
      <c r="N311" s="119">
        <f t="shared" si="11"/>
        <v>3</v>
      </c>
      <c r="O311" s="120"/>
      <c r="P311" s="68"/>
      <c r="Q311" s="121" t="s">
        <v>1788</v>
      </c>
      <c r="R311" s="114">
        <v>17000</v>
      </c>
      <c r="S311" s="11">
        <v>17680</v>
      </c>
      <c r="T311" s="11">
        <v>18360</v>
      </c>
      <c r="U311" s="122"/>
      <c r="V311" s="114"/>
      <c r="W311" s="123">
        <v>500</v>
      </c>
    </row>
    <row r="312" spans="1:23">
      <c r="A312" s="80" t="s">
        <v>294</v>
      </c>
      <c r="B312" s="110" t="str">
        <f>IFERROR(HYPERLINK(VLOOKUP(A312,ÜRÜNLER!A:C,3,FALSE),VLOOKUP(A312,ÜRÜNLER!A:B,2,FALSE)),"")</f>
        <v>iQ100 Gazlı Ocak, 60cm, Sert Cam, Antrasit Gri</v>
      </c>
      <c r="C312" s="8">
        <v>20</v>
      </c>
      <c r="D312" s="8"/>
      <c r="E312" s="9"/>
      <c r="F312" s="9"/>
      <c r="G312" s="9"/>
      <c r="H312" s="9"/>
      <c r="I312" s="10">
        <v>1</v>
      </c>
      <c r="J312" s="10">
        <v>1</v>
      </c>
      <c r="K312" s="9">
        <v>1</v>
      </c>
      <c r="L312" s="9">
        <v>1</v>
      </c>
      <c r="M312" s="10"/>
      <c r="N312" s="119">
        <f t="shared" si="11"/>
        <v>24</v>
      </c>
      <c r="O312" s="120"/>
      <c r="P312" s="68"/>
      <c r="Q312" s="121" t="s">
        <v>1788</v>
      </c>
      <c r="R312" s="114">
        <v>17000</v>
      </c>
      <c r="S312" s="11">
        <v>17680</v>
      </c>
      <c r="T312" s="11">
        <v>18360</v>
      </c>
      <c r="U312" s="122"/>
      <c r="V312" s="114"/>
      <c r="W312" s="123">
        <v>500</v>
      </c>
    </row>
    <row r="313" spans="1:23">
      <c r="A313" s="86" t="s">
        <v>295</v>
      </c>
      <c r="B313" s="110" t="str">
        <f>IFERROR(HYPERLINK(VLOOKUP(A313,ÜRÜNLER!A:C,3,FALSE),VLOOKUP(A313,ÜRÜNLER!A:B,2,FALSE)),"")</f>
        <v>iQ300 Gazlı Ocak, 60cm, Sert Cam, Beyaz</v>
      </c>
      <c r="C313" s="8">
        <v>3</v>
      </c>
      <c r="D313" s="8"/>
      <c r="E313" s="9"/>
      <c r="F313" s="9"/>
      <c r="G313" s="9"/>
      <c r="H313" s="9"/>
      <c r="I313" s="10"/>
      <c r="J313" s="10"/>
      <c r="K313" s="9"/>
      <c r="L313" s="9"/>
      <c r="M313" s="10">
        <v>1</v>
      </c>
      <c r="N313" s="119">
        <f t="shared" si="11"/>
        <v>4</v>
      </c>
      <c r="O313" s="120"/>
      <c r="P313" s="68"/>
      <c r="Q313" s="121" t="s">
        <v>1788</v>
      </c>
      <c r="R313" s="114">
        <v>14000</v>
      </c>
      <c r="S313" s="11">
        <v>14560</v>
      </c>
      <c r="T313" s="11">
        <v>15120</v>
      </c>
      <c r="U313" s="122"/>
      <c r="V313" s="114"/>
      <c r="W313" s="123">
        <v>500</v>
      </c>
    </row>
    <row r="314" spans="1:23">
      <c r="A314" s="74" t="s">
        <v>296</v>
      </c>
      <c r="B314" s="110" t="str">
        <f>IFERROR(HYPERLINK(VLOOKUP(A314,ÜRÜNLER!A:C,3,FALSE),VLOOKUP(A314,ÜRÜNLER!A:B,2,FALSE)),"")</f>
        <v>iQ300 Gazlı Ocak, 60cm, Sert Cam, Beyaz</v>
      </c>
      <c r="C314" s="8"/>
      <c r="D314" s="8"/>
      <c r="E314" s="9"/>
      <c r="F314" s="9"/>
      <c r="G314" s="9"/>
      <c r="H314" s="9"/>
      <c r="I314" s="10"/>
      <c r="J314" s="10"/>
      <c r="K314" s="9"/>
      <c r="L314" s="9"/>
      <c r="M314" s="10"/>
      <c r="N314" s="119">
        <f t="shared" si="11"/>
        <v>0</v>
      </c>
      <c r="O314" s="120">
        <v>11</v>
      </c>
      <c r="P314" s="68"/>
      <c r="Q314" s="126">
        <v>13503.039617528162</v>
      </c>
      <c r="R314" s="131">
        <v>13503.039617528162</v>
      </c>
      <c r="S314" s="11">
        <v>14043.161202229288</v>
      </c>
      <c r="T314" s="11">
        <v>14583.282786930415</v>
      </c>
      <c r="U314" s="122"/>
      <c r="V314" s="114"/>
      <c r="W314" s="130"/>
    </row>
    <row r="315" spans="1:23">
      <c r="A315" s="77" t="s">
        <v>300</v>
      </c>
      <c r="B315" s="110" t="str">
        <f>IFERROR(HYPERLINK(VLOOKUP(A315,ÜRÜNLER!A:C,3,FALSE),VLOOKUP(A315,ÜRÜNLER!A:B,2,FALSE)),"")</f>
        <v>iQ300 Gazlı Ocak, 60cm, Sert Cam, Siyah</v>
      </c>
      <c r="C315" s="8">
        <v>8</v>
      </c>
      <c r="D315" s="8"/>
      <c r="E315" s="9"/>
      <c r="F315" s="9"/>
      <c r="G315" s="9"/>
      <c r="H315" s="9"/>
      <c r="I315" s="10">
        <v>1</v>
      </c>
      <c r="J315" s="10"/>
      <c r="K315" s="9"/>
      <c r="L315" s="9"/>
      <c r="M315" s="10">
        <v>1</v>
      </c>
      <c r="N315" s="119">
        <f t="shared" si="11"/>
        <v>10</v>
      </c>
      <c r="O315" s="120">
        <v>11</v>
      </c>
      <c r="P315" s="68"/>
      <c r="Q315" s="126">
        <v>13503.039617528162</v>
      </c>
      <c r="R315" s="131">
        <v>13503.039617528162</v>
      </c>
      <c r="S315" s="11">
        <v>14043.161202229288</v>
      </c>
      <c r="T315" s="11">
        <v>14583.282786930415</v>
      </c>
      <c r="U315" s="122"/>
      <c r="V315" s="114"/>
      <c r="W315" s="130"/>
    </row>
    <row r="316" spans="1:23">
      <c r="A316" s="80" t="s">
        <v>301</v>
      </c>
      <c r="B316" s="110" t="str">
        <f>IFERROR(HYPERLINK(VLOOKUP(A316,ÜRÜNLER!A:C,3,FALSE),VLOOKUP(A316,ÜRÜNLER!A:B,2,FALSE)),"")</f>
        <v>iQ100 Gazlı Ocak, 60cm, Sert Cam, Titanyum Gri</v>
      </c>
      <c r="C316" s="8"/>
      <c r="D316" s="8"/>
      <c r="E316" s="9"/>
      <c r="F316" s="9"/>
      <c r="G316" s="9"/>
      <c r="H316" s="9"/>
      <c r="I316" s="10"/>
      <c r="J316" s="10"/>
      <c r="K316" s="9"/>
      <c r="L316" s="9">
        <v>1</v>
      </c>
      <c r="M316" s="10"/>
      <c r="N316" s="119">
        <f t="shared" si="11"/>
        <v>1</v>
      </c>
      <c r="O316" s="120"/>
      <c r="P316" s="68"/>
      <c r="Q316" s="121" t="s">
        <v>1788</v>
      </c>
      <c r="R316" s="114">
        <v>13000</v>
      </c>
      <c r="S316" s="11">
        <v>13520</v>
      </c>
      <c r="T316" s="11">
        <v>14040</v>
      </c>
      <c r="U316" s="122"/>
      <c r="V316" s="114"/>
      <c r="W316" s="149">
        <v>500</v>
      </c>
    </row>
    <row r="317" spans="1:23">
      <c r="A317" s="80" t="s">
        <v>302</v>
      </c>
      <c r="B317" s="110" t="str">
        <f>IFERROR(HYPERLINK(VLOOKUP(A317,ÜRÜNLER!A:C,3,FALSE),VLOOKUP(A317,ÜRÜNLER!A:B,2,FALSE)),"")</f>
        <v>iQ100 Gazlı Ocak, 60cm, Sert Cam, Titanyum Gri, Döküm</v>
      </c>
      <c r="C317" s="8">
        <v>4</v>
      </c>
      <c r="D317" s="8"/>
      <c r="E317" s="9"/>
      <c r="F317" s="9"/>
      <c r="G317" s="9"/>
      <c r="H317" s="9"/>
      <c r="I317" s="10"/>
      <c r="J317" s="10"/>
      <c r="K317" s="9"/>
      <c r="L317" s="9"/>
      <c r="M317" s="10"/>
      <c r="N317" s="119">
        <f t="shared" si="11"/>
        <v>4</v>
      </c>
      <c r="O317" s="120"/>
      <c r="P317" s="68"/>
      <c r="Q317" s="121" t="s">
        <v>1788</v>
      </c>
      <c r="R317" s="114">
        <v>17000</v>
      </c>
      <c r="S317" s="11">
        <v>17680</v>
      </c>
      <c r="T317" s="11">
        <v>18360</v>
      </c>
      <c r="U317" s="122"/>
      <c r="V317" s="114"/>
      <c r="W317" s="130">
        <v>250</v>
      </c>
    </row>
    <row r="318" spans="1:23">
      <c r="A318" s="80" t="s">
        <v>303</v>
      </c>
      <c r="B318" s="110" t="str">
        <f>IFERROR(HYPERLINK(VLOOKUP(A318,ÜRÜNLER!A:C,3,FALSE),VLOOKUP(A318,ÜRÜNLER!A:B,2,FALSE)),"")</f>
        <v>iQ300 Gazlı Ocak, 60cm, Sert Cam, Antrasit</v>
      </c>
      <c r="C318" s="8"/>
      <c r="D318" s="8"/>
      <c r="E318" s="9"/>
      <c r="F318" s="9"/>
      <c r="G318" s="9"/>
      <c r="H318" s="9"/>
      <c r="I318" s="10">
        <v>1</v>
      </c>
      <c r="J318" s="10">
        <v>1</v>
      </c>
      <c r="K318" s="9">
        <v>1</v>
      </c>
      <c r="L318" s="9"/>
      <c r="M318" s="10"/>
      <c r="N318" s="119">
        <f t="shared" si="11"/>
        <v>3</v>
      </c>
      <c r="O318" s="120">
        <v>21</v>
      </c>
      <c r="P318" s="68"/>
      <c r="Q318" s="126">
        <v>13503.039617528162</v>
      </c>
      <c r="R318" s="131">
        <v>13503.039617528162</v>
      </c>
      <c r="S318" s="11">
        <v>14043.161202229288</v>
      </c>
      <c r="T318" s="11">
        <v>14583.282786930415</v>
      </c>
      <c r="U318" s="122"/>
      <c r="V318" s="114"/>
      <c r="W318" s="130"/>
    </row>
    <row r="319" spans="1:23">
      <c r="A319" s="80" t="s">
        <v>304</v>
      </c>
      <c r="B319" s="110" t="str">
        <f>IFERROR(HYPERLINK(VLOOKUP(A319,ÜRÜNLER!A:C,3,FALSE),VLOOKUP(A319,ÜRÜNLER!A:B,2,FALSE)),"")</f>
        <v>iQ300 Gazlı Ocak, 60cm, Sert Cam, Antrasit Gri</v>
      </c>
      <c r="C319" s="8">
        <v>12</v>
      </c>
      <c r="D319" s="8"/>
      <c r="E319" s="9"/>
      <c r="F319" s="9">
        <v>1</v>
      </c>
      <c r="G319" s="9"/>
      <c r="H319" s="9"/>
      <c r="I319" s="10">
        <v>1</v>
      </c>
      <c r="J319" s="10"/>
      <c r="K319" s="9"/>
      <c r="L319" s="9"/>
      <c r="M319" s="10">
        <v>1</v>
      </c>
      <c r="N319" s="119">
        <f t="shared" si="11"/>
        <v>15</v>
      </c>
      <c r="O319" s="120"/>
      <c r="P319" s="68"/>
      <c r="Q319" s="121" t="s">
        <v>1788</v>
      </c>
      <c r="R319" s="114">
        <v>12000</v>
      </c>
      <c r="S319" s="11">
        <v>12480</v>
      </c>
      <c r="T319" s="11">
        <v>12960</v>
      </c>
      <c r="U319" s="122"/>
      <c r="V319" s="114"/>
      <c r="W319" s="127">
        <v>250</v>
      </c>
    </row>
    <row r="320" spans="1:23">
      <c r="A320" s="14" t="s">
        <v>305</v>
      </c>
      <c r="B320" s="110" t="str">
        <f>IFERROR(HYPERLINK(VLOOKUP(A320,ÜRÜNLER!A:C,3,FALSE),VLOOKUP(A320,ÜRÜNLER!A:B,2,FALSE)),"")</f>
        <v>iQ300 Gazlı Ocak, 67cm, Sert Cam, Beyaz, Wok</v>
      </c>
      <c r="C320" s="8">
        <v>13</v>
      </c>
      <c r="D320" s="8"/>
      <c r="E320" s="9"/>
      <c r="F320" s="9"/>
      <c r="G320" s="9"/>
      <c r="H320" s="9"/>
      <c r="I320" s="10">
        <v>1</v>
      </c>
      <c r="J320" s="10">
        <v>1</v>
      </c>
      <c r="K320" s="9"/>
      <c r="L320" s="9"/>
      <c r="M320" s="10"/>
      <c r="N320" s="119">
        <f t="shared" si="11"/>
        <v>15</v>
      </c>
      <c r="O320" s="120">
        <v>1</v>
      </c>
      <c r="P320" s="68"/>
      <c r="Q320" s="126">
        <v>19824.710321531657</v>
      </c>
      <c r="R320" s="131">
        <v>19824.710321531657</v>
      </c>
      <c r="S320" s="11">
        <v>20617.698734392921</v>
      </c>
      <c r="T320" s="11">
        <v>21410.68714725419</v>
      </c>
      <c r="U320" s="122"/>
      <c r="V320" s="114"/>
      <c r="W320" s="130"/>
    </row>
    <row r="321" spans="1:23">
      <c r="A321" s="14" t="s">
        <v>306</v>
      </c>
      <c r="B321" s="110" t="str">
        <f>IFERROR(HYPERLINK(VLOOKUP(A321,ÜRÜNLER!A:C,3,FALSE),VLOOKUP(A321,ÜRÜNLER!A:B,2,FALSE)),"")</f>
        <v>iQ300 Gazlı Ocak, 67cm, Sert Cam, Beyaz</v>
      </c>
      <c r="C321" s="8"/>
      <c r="D321" s="8"/>
      <c r="E321" s="9"/>
      <c r="F321" s="9"/>
      <c r="G321" s="9"/>
      <c r="H321" s="9"/>
      <c r="I321" s="10"/>
      <c r="J321" s="10"/>
      <c r="K321" s="9"/>
      <c r="L321" s="9"/>
      <c r="M321" s="10"/>
      <c r="N321" s="119">
        <f t="shared" si="11"/>
        <v>0</v>
      </c>
      <c r="O321" s="120">
        <v>31</v>
      </c>
      <c r="P321" s="68"/>
      <c r="Q321" s="126">
        <v>15851.282820596934</v>
      </c>
      <c r="R321" s="131">
        <v>15851.282820596934</v>
      </c>
      <c r="S321" s="11">
        <v>16485.334133420813</v>
      </c>
      <c r="T321" s="11">
        <v>17119.385446244691</v>
      </c>
      <c r="U321" s="122"/>
      <c r="V321" s="114"/>
      <c r="W321" s="130"/>
    </row>
    <row r="322" spans="1:23">
      <c r="A322" s="14" t="s">
        <v>307</v>
      </c>
      <c r="B322" s="110" t="str">
        <f>IFERROR(HYPERLINK(VLOOKUP(A322,ÜRÜNLER!A:C,3,FALSE),VLOOKUP(A322,ÜRÜNLER!A:B,2,FALSE)),"")</f>
        <v>iQ100 Gazlı Ocak, 67cm, Sert Cam, Beyaz</v>
      </c>
      <c r="C322" s="8"/>
      <c r="D322" s="8"/>
      <c r="E322" s="9"/>
      <c r="F322" s="9"/>
      <c r="G322" s="9"/>
      <c r="H322" s="9"/>
      <c r="I322" s="10"/>
      <c r="J322" s="10"/>
      <c r="K322" s="9"/>
      <c r="L322" s="9">
        <v>1</v>
      </c>
      <c r="M322" s="10"/>
      <c r="N322" s="119">
        <f t="shared" si="11"/>
        <v>1</v>
      </c>
      <c r="O322" s="120"/>
      <c r="P322" s="68"/>
      <c r="Q322" s="121" t="s">
        <v>1788</v>
      </c>
      <c r="R322" s="114">
        <v>12000</v>
      </c>
      <c r="S322" s="11">
        <v>12480</v>
      </c>
      <c r="T322" s="11">
        <v>12960</v>
      </c>
      <c r="U322" s="122"/>
      <c r="V322" s="114"/>
      <c r="W322" s="149">
        <v>500</v>
      </c>
    </row>
    <row r="323" spans="1:23">
      <c r="A323" s="87" t="s">
        <v>308</v>
      </c>
      <c r="B323" s="110" t="str">
        <f>IFERROR(HYPERLINK(VLOOKUP(A323,ÜRÜNLER!A:C,3,FALSE),VLOOKUP(A323,ÜRÜNLER!A:B,2,FALSE)),"")</f>
        <v>iQ300 Gazlı Ocak, 67cm, Sert Cam, Beyaz</v>
      </c>
      <c r="C323" s="8"/>
      <c r="D323" s="8"/>
      <c r="E323" s="9"/>
      <c r="F323" s="9"/>
      <c r="G323" s="9"/>
      <c r="H323" s="9"/>
      <c r="I323" s="10"/>
      <c r="J323" s="10"/>
      <c r="K323" s="9">
        <v>1</v>
      </c>
      <c r="L323" s="9">
        <v>5</v>
      </c>
      <c r="M323" s="10"/>
      <c r="N323" s="119">
        <f t="shared" si="11"/>
        <v>6</v>
      </c>
      <c r="O323" s="120"/>
      <c r="P323" s="68"/>
      <c r="Q323" s="121" t="s">
        <v>1788</v>
      </c>
      <c r="R323" s="114">
        <v>12000</v>
      </c>
      <c r="S323" s="11">
        <v>12480</v>
      </c>
      <c r="T323" s="11">
        <v>12960</v>
      </c>
      <c r="U323" s="122"/>
      <c r="V323" s="114"/>
      <c r="W323" s="149">
        <v>500</v>
      </c>
    </row>
    <row r="324" spans="1:23">
      <c r="A324" s="14" t="s">
        <v>309</v>
      </c>
      <c r="B324" s="110" t="str">
        <f>IFERROR(HYPERLINK(VLOOKUP(A324,ÜRÜNLER!A:C,3,FALSE),VLOOKUP(A324,ÜRÜNLER!A:B,2,FALSE)),"")</f>
        <v>iQ300 Gazlı Ocak, 67cm, Sert Cam, Siyah, Wok</v>
      </c>
      <c r="C324" s="8"/>
      <c r="D324" s="8"/>
      <c r="E324" s="9"/>
      <c r="F324" s="9"/>
      <c r="G324" s="9"/>
      <c r="H324" s="9"/>
      <c r="I324" s="10"/>
      <c r="J324" s="10"/>
      <c r="K324" s="9">
        <v>1</v>
      </c>
      <c r="L324" s="9"/>
      <c r="M324" s="10"/>
      <c r="N324" s="119">
        <f t="shared" si="11"/>
        <v>1</v>
      </c>
      <c r="O324" s="120"/>
      <c r="P324" s="68"/>
      <c r="Q324" s="121" t="s">
        <v>1788</v>
      </c>
      <c r="R324" s="114">
        <v>15000</v>
      </c>
      <c r="S324" s="11">
        <v>15600</v>
      </c>
      <c r="T324" s="11">
        <v>16200</v>
      </c>
      <c r="U324" s="122"/>
      <c r="V324" s="114"/>
      <c r="W324" s="149">
        <v>500</v>
      </c>
    </row>
    <row r="325" spans="1:23">
      <c r="A325" s="14" t="s">
        <v>310</v>
      </c>
      <c r="B325" s="110" t="str">
        <f>IFERROR(HYPERLINK(VLOOKUP(A325,ÜRÜNLER!A:C,3,FALSE),VLOOKUP(A325,ÜRÜNLER!A:B,2,FALSE)),"")</f>
        <v>iQ300 Gazlı Ocak, 67cm, Sert Cam, Siyah, Wok</v>
      </c>
      <c r="C325" s="8">
        <v>15</v>
      </c>
      <c r="D325" s="8"/>
      <c r="E325" s="9"/>
      <c r="F325" s="9"/>
      <c r="G325" s="9"/>
      <c r="H325" s="9"/>
      <c r="I325" s="10"/>
      <c r="J325" s="10"/>
      <c r="K325" s="9"/>
      <c r="L325" s="9"/>
      <c r="M325" s="10"/>
      <c r="N325" s="119">
        <f t="shared" si="11"/>
        <v>15</v>
      </c>
      <c r="O325" s="120"/>
      <c r="P325" s="68"/>
      <c r="Q325" s="126">
        <v>19824.710321531657</v>
      </c>
      <c r="R325" s="143">
        <v>18436.980599024442</v>
      </c>
      <c r="S325" s="11">
        <v>19174.45982298542</v>
      </c>
      <c r="T325" s="11">
        <v>19911.939046946398</v>
      </c>
      <c r="U325" s="122"/>
      <c r="V325" s="114"/>
      <c r="W325" s="130"/>
    </row>
    <row r="326" spans="1:23">
      <c r="A326" s="14" t="s">
        <v>311</v>
      </c>
      <c r="B326" s="110" t="str">
        <f>IFERROR(HYPERLINK(VLOOKUP(A326,ÜRÜNLER!A:C,3,FALSE),VLOOKUP(A326,ÜRÜNLER!A:B,2,FALSE)),"")</f>
        <v>iQ300 Gazlı Ocak, 67cm, Sert Cam, Siyah</v>
      </c>
      <c r="C326" s="8"/>
      <c r="D326" s="8"/>
      <c r="E326" s="9"/>
      <c r="F326" s="9"/>
      <c r="G326" s="9"/>
      <c r="H326" s="9"/>
      <c r="I326" s="10"/>
      <c r="J326" s="10">
        <v>2</v>
      </c>
      <c r="K326" s="9"/>
      <c r="L326" s="9">
        <v>3</v>
      </c>
      <c r="M326" s="10"/>
      <c r="N326" s="119">
        <f t="shared" si="11"/>
        <v>5</v>
      </c>
      <c r="O326" s="120"/>
      <c r="P326" s="68"/>
      <c r="Q326" s="121" t="s">
        <v>1788</v>
      </c>
      <c r="R326" s="114">
        <v>13000</v>
      </c>
      <c r="S326" s="11">
        <v>13520</v>
      </c>
      <c r="T326" s="11">
        <v>14040</v>
      </c>
      <c r="U326" s="122"/>
      <c r="V326" s="114"/>
      <c r="W326" s="149">
        <v>500</v>
      </c>
    </row>
    <row r="327" spans="1:23">
      <c r="A327" s="14" t="s">
        <v>312</v>
      </c>
      <c r="B327" s="110" t="str">
        <f>IFERROR(HYPERLINK(VLOOKUP(A327,ÜRÜNLER!A:C,3,FALSE),VLOOKUP(A327,ÜRÜNLER!A:B,2,FALSE)),"")</f>
        <v>iQ300 Gazlı Ocak, 67cm, Sert Cam, Siyah</v>
      </c>
      <c r="C327" s="8">
        <v>8</v>
      </c>
      <c r="D327" s="8"/>
      <c r="E327" s="9"/>
      <c r="F327" s="9"/>
      <c r="G327" s="9"/>
      <c r="H327" s="9"/>
      <c r="I327" s="10">
        <v>1</v>
      </c>
      <c r="J327" s="10"/>
      <c r="K327" s="9"/>
      <c r="L327" s="9">
        <v>1</v>
      </c>
      <c r="M327" s="10">
        <v>1</v>
      </c>
      <c r="N327" s="119">
        <f t="shared" si="11"/>
        <v>11</v>
      </c>
      <c r="O327" s="120">
        <v>11</v>
      </c>
      <c r="P327" s="68"/>
      <c r="Q327" s="126">
        <v>15851.282820596934</v>
      </c>
      <c r="R327" s="152">
        <v>15375.744335979027</v>
      </c>
      <c r="S327" s="11">
        <v>15990.774109418187</v>
      </c>
      <c r="T327" s="11">
        <v>16605.803882857348</v>
      </c>
      <c r="U327" s="122"/>
      <c r="V327" s="114"/>
      <c r="W327" s="130"/>
    </row>
    <row r="328" spans="1:23">
      <c r="A328" s="80" t="s">
        <v>313</v>
      </c>
      <c r="B328" s="110" t="str">
        <f>IFERROR(HYPERLINK(VLOOKUP(A328,ÜRÜNLER!A:C,3,FALSE),VLOOKUP(A328,ÜRÜNLER!A:B,2,FALSE)),"")</f>
        <v>iQ300 Gazlı Ocak, 67cm, Sert Cam, Antrasit Gri, Wok</v>
      </c>
      <c r="C328" s="8">
        <v>12</v>
      </c>
      <c r="D328" s="8"/>
      <c r="E328" s="9"/>
      <c r="F328" s="9"/>
      <c r="G328" s="9"/>
      <c r="H328" s="9"/>
      <c r="I328" s="10"/>
      <c r="J328" s="10"/>
      <c r="K328" s="9"/>
      <c r="L328" s="9"/>
      <c r="M328" s="10"/>
      <c r="N328" s="119">
        <f t="shared" si="11"/>
        <v>12</v>
      </c>
      <c r="O328" s="120">
        <v>10</v>
      </c>
      <c r="P328" s="68"/>
      <c r="Q328" s="126">
        <v>19824.710321531657</v>
      </c>
      <c r="R328" s="152">
        <v>19229.969011885707</v>
      </c>
      <c r="S328" s="11">
        <v>19999.167772361136</v>
      </c>
      <c r="T328" s="11">
        <v>20768.366532836564</v>
      </c>
      <c r="U328" s="122"/>
      <c r="V328" s="114"/>
      <c r="W328" s="130"/>
    </row>
    <row r="329" spans="1:23">
      <c r="A329" s="80" t="s">
        <v>314</v>
      </c>
      <c r="B329" s="110" t="str">
        <f>IFERROR(HYPERLINK(VLOOKUP(A329,ÜRÜNLER!A:C,3,FALSE),VLOOKUP(A329,ÜRÜNLER!A:B,2,FALSE)),"")</f>
        <v>iQ100 Gazlı Ocak, 67cm, Sert Cam, Titanyum Gri</v>
      </c>
      <c r="C329" s="8">
        <v>7</v>
      </c>
      <c r="D329" s="8"/>
      <c r="E329" s="9"/>
      <c r="F329" s="9">
        <v>1</v>
      </c>
      <c r="G329" s="9"/>
      <c r="H329" s="9"/>
      <c r="I329" s="10"/>
      <c r="J329" s="10"/>
      <c r="K329" s="9"/>
      <c r="L329" s="9">
        <v>2</v>
      </c>
      <c r="M329" s="10"/>
      <c r="N329" s="119">
        <f t="shared" si="11"/>
        <v>10</v>
      </c>
      <c r="O329" s="120"/>
      <c r="P329" s="68"/>
      <c r="Q329" s="121" t="s">
        <v>1788</v>
      </c>
      <c r="R329" s="114">
        <v>12500</v>
      </c>
      <c r="S329" s="11">
        <v>13000</v>
      </c>
      <c r="T329" s="11">
        <v>13500</v>
      </c>
      <c r="U329" s="122"/>
      <c r="V329" s="114"/>
      <c r="W329" s="127"/>
    </row>
    <row r="330" spans="1:23">
      <c r="A330" s="80" t="s">
        <v>315</v>
      </c>
      <c r="B330" s="110" t="str">
        <f>IFERROR(HYPERLINK(VLOOKUP(A330,ÜRÜNLER!A:C,3,FALSE),VLOOKUP(A330,ÜRÜNLER!A:B,2,FALSE)),"")</f>
        <v>iQ300 Gazlı Ocak, 67cm, Sert Cam, Antrasit Gri</v>
      </c>
      <c r="C330" s="8"/>
      <c r="D330" s="8"/>
      <c r="E330" s="9"/>
      <c r="F330" s="9">
        <v>1</v>
      </c>
      <c r="G330" s="9"/>
      <c r="H330" s="9"/>
      <c r="I330" s="10">
        <v>1</v>
      </c>
      <c r="J330" s="10"/>
      <c r="K330" s="9"/>
      <c r="L330" s="9"/>
      <c r="M330" s="10"/>
      <c r="N330" s="119">
        <f t="shared" si="11"/>
        <v>2</v>
      </c>
      <c r="O330" s="120">
        <v>26</v>
      </c>
      <c r="P330" s="68"/>
      <c r="Q330" s="126">
        <v>15851.282820596934</v>
      </c>
      <c r="R330" s="131">
        <v>15851.282820596934</v>
      </c>
      <c r="S330" s="11">
        <v>16485.334133420813</v>
      </c>
      <c r="T330" s="11">
        <v>17119.385446244691</v>
      </c>
      <c r="U330" s="122"/>
      <c r="V330" s="114"/>
      <c r="W330" s="130"/>
    </row>
    <row r="331" spans="1:23">
      <c r="A331" s="80" t="s">
        <v>316</v>
      </c>
      <c r="B331" s="110" t="str">
        <f>IFERROR(HYPERLINK(VLOOKUP(A331,ÜRÜNLER!A:C,3,FALSE),VLOOKUP(A331,ÜRÜNLER!A:B,2,FALSE)),"")</f>
        <v>iQ300 Gazlı Ocak, 67cm, Sert Cam, Dark Silver</v>
      </c>
      <c r="C331" s="8"/>
      <c r="D331" s="8"/>
      <c r="E331" s="9"/>
      <c r="F331" s="9"/>
      <c r="G331" s="9"/>
      <c r="H331" s="9"/>
      <c r="I331" s="10"/>
      <c r="J331" s="10"/>
      <c r="K331" s="9"/>
      <c r="L331" s="9">
        <v>1</v>
      </c>
      <c r="M331" s="10"/>
      <c r="N331" s="119">
        <f t="shared" si="11"/>
        <v>1</v>
      </c>
      <c r="O331" s="120"/>
      <c r="P331" s="68"/>
      <c r="Q331" s="121" t="s">
        <v>1788</v>
      </c>
      <c r="R331" s="114">
        <v>15000</v>
      </c>
      <c r="S331" s="11">
        <v>15600</v>
      </c>
      <c r="T331" s="11">
        <v>16200</v>
      </c>
      <c r="U331" s="122"/>
      <c r="V331" s="114"/>
      <c r="W331" s="130"/>
    </row>
    <row r="332" spans="1:23">
      <c r="A332" s="78" t="s">
        <v>317</v>
      </c>
      <c r="B332" s="110" t="str">
        <f>IFERROR(HYPERLINK(VLOOKUP(A332,ÜRÜNLER!A:C,3,FALSE),VLOOKUP(A332,ÜRÜNLER!A:B,2,FALSE)),"")</f>
        <v>iQ500 Gazlı Ocak, 60cm, Sert Cam, Siyah, Döküm, Wok</v>
      </c>
      <c r="C332" s="8">
        <v>3</v>
      </c>
      <c r="D332" s="8"/>
      <c r="E332" s="9"/>
      <c r="F332" s="9"/>
      <c r="G332" s="9"/>
      <c r="H332" s="9"/>
      <c r="I332" s="10"/>
      <c r="J332" s="10"/>
      <c r="K332" s="9"/>
      <c r="L332" s="9"/>
      <c r="M332" s="10"/>
      <c r="N332" s="119">
        <f t="shared" si="11"/>
        <v>3</v>
      </c>
      <c r="O332" s="120"/>
      <c r="P332" s="68"/>
      <c r="Q332" s="126">
        <v>40395.512974238918</v>
      </c>
      <c r="R332" s="152">
        <v>39183.647585011749</v>
      </c>
      <c r="S332" s="11">
        <v>40750.993488412219</v>
      </c>
      <c r="T332" s="11">
        <v>42318.339391812689</v>
      </c>
      <c r="U332" s="122"/>
      <c r="V332" s="114"/>
      <c r="W332" s="130"/>
    </row>
    <row r="333" spans="1:23">
      <c r="A333" s="78" t="s">
        <v>318</v>
      </c>
      <c r="B333" s="110" t="str">
        <f>IFERROR(HYPERLINK(VLOOKUP(A333,ÜRÜNLER!A:C,3,FALSE),VLOOKUP(A333,ÜRÜNLER!A:B,2,FALSE)),"")</f>
        <v>iQ500 Gazlı Ocak, 60cm, Sert Cam, Siyah, Döküm</v>
      </c>
      <c r="C333" s="8">
        <v>3</v>
      </c>
      <c r="D333" s="8"/>
      <c r="E333" s="9"/>
      <c r="F333" s="9"/>
      <c r="G333" s="9"/>
      <c r="H333" s="9"/>
      <c r="I333" s="10">
        <v>1</v>
      </c>
      <c r="J333" s="10"/>
      <c r="K333" s="9"/>
      <c r="L333" s="9"/>
      <c r="M333" s="10">
        <v>1</v>
      </c>
      <c r="N333" s="119">
        <f t="shared" si="11"/>
        <v>5</v>
      </c>
      <c r="O333" s="120"/>
      <c r="P333" s="68"/>
      <c r="Q333" s="126">
        <v>38552.992463289222</v>
      </c>
      <c r="R333" s="152">
        <v>37396.402689390547</v>
      </c>
      <c r="S333" s="11">
        <v>38892.258796966169</v>
      </c>
      <c r="T333" s="11">
        <v>40388.114904541791</v>
      </c>
      <c r="U333" s="122"/>
      <c r="V333" s="114"/>
      <c r="W333" s="130"/>
    </row>
    <row r="334" spans="1:23">
      <c r="A334" s="74" t="s">
        <v>319</v>
      </c>
      <c r="B334" s="110" t="str">
        <f>IFERROR(HYPERLINK(VLOOKUP(A334,ÜRÜNLER!A:C,3,FALSE),VLOOKUP(A334,ÜRÜNLER!A:B,2,FALSE)),"")</f>
        <v>iQ500 Gazlı Ocak, 60cm, Sert Cam, Beyaz, Döküm</v>
      </c>
      <c r="C334" s="8">
        <v>3</v>
      </c>
      <c r="D334" s="8"/>
      <c r="E334" s="9"/>
      <c r="F334" s="9">
        <v>1</v>
      </c>
      <c r="G334" s="9"/>
      <c r="H334" s="9"/>
      <c r="I334" s="10"/>
      <c r="J334" s="10">
        <v>1</v>
      </c>
      <c r="K334" s="9">
        <v>1</v>
      </c>
      <c r="L334" s="9">
        <v>2</v>
      </c>
      <c r="M334" s="10"/>
      <c r="N334" s="119">
        <f t="shared" si="11"/>
        <v>8</v>
      </c>
      <c r="O334" s="120"/>
      <c r="P334" s="68"/>
      <c r="Q334" s="121" t="s">
        <v>1788</v>
      </c>
      <c r="R334" s="114">
        <v>28000</v>
      </c>
      <c r="S334" s="11">
        <v>29120</v>
      </c>
      <c r="T334" s="11">
        <v>30240</v>
      </c>
      <c r="U334" s="122"/>
      <c r="V334" s="114"/>
      <c r="W334" s="127">
        <v>250</v>
      </c>
    </row>
    <row r="335" spans="1:23">
      <c r="A335" s="74" t="s">
        <v>320</v>
      </c>
      <c r="B335" s="110" t="str">
        <f>IFERROR(HYPERLINK(VLOOKUP(A335,ÜRÜNLER!A:C,3,FALSE),VLOOKUP(A335,ÜRÜNLER!A:B,2,FALSE)),"")</f>
        <v>iQ500 Gazlı Ocak, 60cm, Sert Cam, Siyah, Döküm, Wok</v>
      </c>
      <c r="C335" s="8"/>
      <c r="D335" s="8"/>
      <c r="E335" s="9"/>
      <c r="F335" s="9">
        <v>2</v>
      </c>
      <c r="G335" s="9"/>
      <c r="H335" s="9"/>
      <c r="I335" s="10"/>
      <c r="J335" s="10"/>
      <c r="K335" s="9"/>
      <c r="L335" s="9">
        <v>2</v>
      </c>
      <c r="M335" s="10"/>
      <c r="N335" s="119">
        <f t="shared" si="11"/>
        <v>4</v>
      </c>
      <c r="O335" s="120"/>
      <c r="P335" s="68"/>
      <c r="Q335" s="121" t="s">
        <v>1788</v>
      </c>
      <c r="R335" s="114">
        <v>28000</v>
      </c>
      <c r="S335" s="11">
        <v>29120</v>
      </c>
      <c r="T335" s="11">
        <v>30240</v>
      </c>
      <c r="U335" s="122"/>
      <c r="V335" s="114"/>
      <c r="W335" s="123">
        <v>1000</v>
      </c>
    </row>
    <row r="336" spans="1:23">
      <c r="A336" s="74" t="s">
        <v>321</v>
      </c>
      <c r="B336" s="110" t="str">
        <f>IFERROR(HYPERLINK(VLOOKUP(A336,ÜRÜNLER!A:C,3,FALSE),VLOOKUP(A336,ÜRÜNLER!A:B,2,FALSE)),"")</f>
        <v>iQ500 Gazlı Ocak, 60cm, Sert Cam, Siyah, Döküm</v>
      </c>
      <c r="C336" s="8">
        <v>3</v>
      </c>
      <c r="D336" s="8"/>
      <c r="E336" s="9"/>
      <c r="F336" s="9"/>
      <c r="G336" s="9"/>
      <c r="H336" s="9"/>
      <c r="I336" s="10"/>
      <c r="J336" s="10"/>
      <c r="K336" s="9"/>
      <c r="L336" s="9">
        <v>1</v>
      </c>
      <c r="M336" s="10"/>
      <c r="N336" s="119">
        <f t="shared" si="11"/>
        <v>4</v>
      </c>
      <c r="O336" s="120"/>
      <c r="P336" s="68"/>
      <c r="Q336" s="121" t="s">
        <v>1788</v>
      </c>
      <c r="R336" s="114">
        <v>28000</v>
      </c>
      <c r="S336" s="11">
        <v>29120</v>
      </c>
      <c r="T336" s="11">
        <v>30240</v>
      </c>
      <c r="U336" s="122"/>
      <c r="V336" s="114"/>
      <c r="W336" s="127">
        <v>250</v>
      </c>
    </row>
    <row r="337" spans="1:23">
      <c r="A337" s="80" t="s">
        <v>323</v>
      </c>
      <c r="B337" s="110" t="str">
        <f>IFERROR(HYPERLINK(VLOOKUP(A337,ÜRÜNLER!A:C,3,FALSE),VLOOKUP(A337,ÜRÜNLER!A:B,2,FALSE)),"")</f>
        <v>iQ500 Gazlı Ocak, 60cm, Sert Cam, Titanyum Gri, Döküm, Wok</v>
      </c>
      <c r="C337" s="8"/>
      <c r="D337" s="8"/>
      <c r="E337" s="9"/>
      <c r="F337" s="9"/>
      <c r="G337" s="9"/>
      <c r="H337" s="9"/>
      <c r="I337" s="10">
        <v>1</v>
      </c>
      <c r="J337" s="10"/>
      <c r="K337" s="9"/>
      <c r="L337" s="9">
        <v>1</v>
      </c>
      <c r="M337" s="10"/>
      <c r="N337" s="119">
        <f t="shared" si="11"/>
        <v>2</v>
      </c>
      <c r="O337" s="120"/>
      <c r="P337" s="68"/>
      <c r="Q337" s="121" t="s">
        <v>1788</v>
      </c>
      <c r="R337" s="114">
        <v>28000</v>
      </c>
      <c r="S337" s="11">
        <v>29120</v>
      </c>
      <c r="T337" s="11">
        <v>30240</v>
      </c>
      <c r="U337" s="122"/>
      <c r="V337" s="114"/>
      <c r="W337" s="123">
        <v>1000</v>
      </c>
    </row>
    <row r="338" spans="1:23">
      <c r="A338" s="74" t="s">
        <v>324</v>
      </c>
      <c r="B338" s="110" t="str">
        <f>IFERROR(HYPERLINK(VLOOKUP(A338,ÜRÜNLER!A:C,3,FALSE),VLOOKUP(A338,ÜRÜNLER!A:B,2,FALSE)),"")</f>
        <v>iQ300 Gazlı Ocak, 60cm, Sert Cam, Siyah, Döküm</v>
      </c>
      <c r="C338" s="8">
        <v>6</v>
      </c>
      <c r="D338" s="8"/>
      <c r="E338" s="9"/>
      <c r="F338" s="9"/>
      <c r="G338" s="9"/>
      <c r="H338" s="9"/>
      <c r="I338" s="10"/>
      <c r="J338" s="10"/>
      <c r="K338" s="9"/>
      <c r="L338" s="9"/>
      <c r="M338" s="10"/>
      <c r="N338" s="119">
        <f t="shared" si="11"/>
        <v>6</v>
      </c>
      <c r="O338" s="120">
        <v>1</v>
      </c>
      <c r="P338" s="68"/>
      <c r="Q338" s="126">
        <v>21396.457539553983</v>
      </c>
      <c r="R338" s="143">
        <v>19898.705511785203</v>
      </c>
      <c r="S338" s="11">
        <v>20694.653732256611</v>
      </c>
      <c r="T338" s="11">
        <v>21490.601952728019</v>
      </c>
      <c r="U338" s="122"/>
      <c r="V338" s="114"/>
      <c r="W338" s="130"/>
    </row>
    <row r="339" spans="1:23">
      <c r="A339" s="74" t="s">
        <v>325</v>
      </c>
      <c r="B339" s="110" t="str">
        <f>IFERROR(HYPERLINK(VLOOKUP(A339,ÜRÜNLER!A:C,3,FALSE),VLOOKUP(A339,ÜRÜNLER!A:B,2,FALSE)),"")</f>
        <v>iQ300 Gazlı Ocak, 75cm, 4 Gözlü, Sert Cam, Beyaz</v>
      </c>
      <c r="C339" s="8"/>
      <c r="D339" s="8"/>
      <c r="E339" s="9"/>
      <c r="F339" s="9"/>
      <c r="G339" s="9"/>
      <c r="H339" s="9"/>
      <c r="I339" s="10">
        <v>1</v>
      </c>
      <c r="J339" s="10"/>
      <c r="K339" s="9"/>
      <c r="L339" s="9"/>
      <c r="M339" s="10"/>
      <c r="N339" s="119">
        <f t="shared" si="11"/>
        <v>1</v>
      </c>
      <c r="O339" s="120"/>
      <c r="P339" s="68"/>
      <c r="Q339" s="121" t="s">
        <v>1788</v>
      </c>
      <c r="R339" s="114">
        <v>15000</v>
      </c>
      <c r="S339" s="11">
        <v>15600</v>
      </c>
      <c r="T339" s="11">
        <v>16200</v>
      </c>
      <c r="U339" s="122"/>
      <c r="V339" s="114"/>
      <c r="W339" s="149">
        <v>500</v>
      </c>
    </row>
    <row r="340" spans="1:23">
      <c r="A340" s="74" t="s">
        <v>326</v>
      </c>
      <c r="B340" s="110" t="str">
        <f>IFERROR(HYPERLINK(VLOOKUP(A340,ÜRÜNLER!A:C,3,FALSE),VLOOKUP(A340,ÜRÜNLER!A:B,2,FALSE)),"")</f>
        <v>iQ300 Gazlı Ocak, 75cm, 5 Gözlü, Sert Cam, Beyaz, Wok</v>
      </c>
      <c r="C340" s="8"/>
      <c r="D340" s="8"/>
      <c r="E340" s="9"/>
      <c r="F340" s="9"/>
      <c r="G340" s="9"/>
      <c r="H340" s="9"/>
      <c r="I340" s="10"/>
      <c r="J340" s="10">
        <v>1</v>
      </c>
      <c r="K340" s="9"/>
      <c r="L340" s="9"/>
      <c r="M340" s="10"/>
      <c r="N340" s="119">
        <f t="shared" si="11"/>
        <v>1</v>
      </c>
      <c r="O340" s="120"/>
      <c r="P340" s="68"/>
      <c r="Q340" s="121" t="s">
        <v>1788</v>
      </c>
      <c r="R340" s="114">
        <v>25000</v>
      </c>
      <c r="S340" s="11">
        <v>26000</v>
      </c>
      <c r="T340" s="11">
        <v>27000</v>
      </c>
      <c r="U340" s="122"/>
      <c r="V340" s="114"/>
      <c r="W340" s="149">
        <v>500</v>
      </c>
    </row>
    <row r="341" spans="1:23">
      <c r="A341" s="14" t="s">
        <v>327</v>
      </c>
      <c r="B341" s="110" t="str">
        <f>IFERROR(HYPERLINK(VLOOKUP(A341,ÜRÜNLER!A:C,3,FALSE),VLOOKUP(A341,ÜRÜNLER!A:B,2,FALSE)),"")</f>
        <v>iQ300 Gazlı Ocak, 75cm, 5 Gözlü, Sert Cam, Beyaz, Wok</v>
      </c>
      <c r="C341" s="8">
        <v>4</v>
      </c>
      <c r="D341" s="8"/>
      <c r="E341" s="9"/>
      <c r="F341" s="9"/>
      <c r="G341" s="9"/>
      <c r="H341" s="9"/>
      <c r="I341" s="10"/>
      <c r="J341" s="10"/>
      <c r="K341" s="9">
        <v>1</v>
      </c>
      <c r="L341" s="9"/>
      <c r="M341" s="10">
        <v>1</v>
      </c>
      <c r="N341" s="119">
        <f t="shared" si="11"/>
        <v>6</v>
      </c>
      <c r="O341" s="120">
        <v>5</v>
      </c>
      <c r="P341" s="68"/>
      <c r="Q341" s="126">
        <v>26326.54065408629</v>
      </c>
      <c r="R341" s="152">
        <v>25536.744434463701</v>
      </c>
      <c r="S341" s="11">
        <v>26558.214211842249</v>
      </c>
      <c r="T341" s="11">
        <v>27579.683989220797</v>
      </c>
      <c r="U341" s="122"/>
      <c r="V341" s="114"/>
      <c r="W341" s="130"/>
    </row>
    <row r="342" spans="1:23">
      <c r="A342" s="74" t="s">
        <v>328</v>
      </c>
      <c r="B342" s="110" t="str">
        <f>IFERROR(HYPERLINK(VLOOKUP(A342,ÜRÜNLER!A:C,3,FALSE),VLOOKUP(A342,ÜRÜNLER!A:B,2,FALSE)),"")</f>
        <v>iQ300 Gazlı Ocak, 75cm, 5 Gözlü, Sert Cam, Siyah, Wok</v>
      </c>
      <c r="C342" s="8"/>
      <c r="D342" s="8"/>
      <c r="E342" s="9"/>
      <c r="F342" s="9"/>
      <c r="G342" s="9"/>
      <c r="H342" s="9"/>
      <c r="I342" s="10"/>
      <c r="J342" s="10"/>
      <c r="K342" s="9"/>
      <c r="L342" s="9">
        <v>1</v>
      </c>
      <c r="M342" s="10"/>
      <c r="N342" s="119">
        <f t="shared" si="11"/>
        <v>1</v>
      </c>
      <c r="O342" s="120"/>
      <c r="P342" s="68"/>
      <c r="Q342" s="121" t="s">
        <v>1788</v>
      </c>
      <c r="R342" s="114">
        <v>25000</v>
      </c>
      <c r="S342" s="11">
        <v>26000</v>
      </c>
      <c r="T342" s="11">
        <v>27000</v>
      </c>
      <c r="U342" s="122"/>
      <c r="V342" s="114"/>
      <c r="W342" s="149">
        <v>500</v>
      </c>
    </row>
    <row r="343" spans="1:23">
      <c r="A343" s="78" t="s">
        <v>329</v>
      </c>
      <c r="B343" s="110" t="str">
        <f>IFERROR(HYPERLINK(VLOOKUP(A343,ÜRÜNLER!A:C,3,FALSE),VLOOKUP(A343,ÜRÜNLER!A:B,2,FALSE)),"")</f>
        <v>iQ300 Gazlı Ocak, 75cm, 5 Gözlü, Sert Cam, Siyah, Wok</v>
      </c>
      <c r="C343" s="8">
        <v>2</v>
      </c>
      <c r="D343" s="8"/>
      <c r="E343" s="9"/>
      <c r="F343" s="9"/>
      <c r="G343" s="9"/>
      <c r="H343" s="9"/>
      <c r="I343" s="10"/>
      <c r="J343" s="10"/>
      <c r="K343" s="9"/>
      <c r="L343" s="9"/>
      <c r="M343" s="10"/>
      <c r="N343" s="119">
        <f t="shared" si="11"/>
        <v>2</v>
      </c>
      <c r="O343" s="120">
        <v>5</v>
      </c>
      <c r="P343" s="68"/>
      <c r="Q343" s="126">
        <v>26326.54065408629</v>
      </c>
      <c r="R343" s="152">
        <v>25536.744434463701</v>
      </c>
      <c r="S343" s="11">
        <v>26558.214211842249</v>
      </c>
      <c r="T343" s="11">
        <v>27579.683989220797</v>
      </c>
      <c r="U343" s="122"/>
      <c r="V343" s="114"/>
      <c r="W343" s="130"/>
    </row>
    <row r="344" spans="1:23">
      <c r="A344" s="80" t="s">
        <v>330</v>
      </c>
      <c r="B344" s="110" t="str">
        <f>IFERROR(HYPERLINK(VLOOKUP(A344,ÜRÜNLER!A:C,3,FALSE),VLOOKUP(A344,ÜRÜNLER!A:B,2,FALSE)),"")</f>
        <v>iQ300 Gazlı Ocak, 75cm, 5 Gözlü, Sert Cam, Titanyum Gri, Wok</v>
      </c>
      <c r="C344" s="8">
        <v>1</v>
      </c>
      <c r="D344" s="8"/>
      <c r="E344" s="9"/>
      <c r="F344" s="9">
        <v>2</v>
      </c>
      <c r="G344" s="9"/>
      <c r="H344" s="9"/>
      <c r="I344" s="10">
        <v>2</v>
      </c>
      <c r="J344" s="10"/>
      <c r="K344" s="9"/>
      <c r="L344" s="9">
        <v>1</v>
      </c>
      <c r="M344" s="10"/>
      <c r="N344" s="119">
        <f t="shared" si="11"/>
        <v>6</v>
      </c>
      <c r="O344" s="120"/>
      <c r="P344" s="68"/>
      <c r="Q344" s="121" t="s">
        <v>1788</v>
      </c>
      <c r="R344" s="114">
        <v>20000</v>
      </c>
      <c r="S344" s="11">
        <v>20800</v>
      </c>
      <c r="T344" s="11">
        <v>21600</v>
      </c>
      <c r="U344" s="122"/>
      <c r="V344" s="114"/>
      <c r="W344" s="127">
        <v>250</v>
      </c>
    </row>
    <row r="345" spans="1:23">
      <c r="A345" s="80" t="s">
        <v>466</v>
      </c>
      <c r="B345" s="110" t="str">
        <f>IFERROR(HYPERLINK(VLOOKUP(A345,ÜRÜNLER!A:C,3,FALSE),VLOOKUP(A345,ÜRÜNLER!A:B,2,FALSE)),"")</f>
        <v>iQ300 Gazlı Ocak, 75cm, Sert Cam, Antrasit, Wok</v>
      </c>
      <c r="C345" s="8">
        <v>6</v>
      </c>
      <c r="D345" s="8"/>
      <c r="E345" s="9"/>
      <c r="F345" s="9"/>
      <c r="G345" s="9"/>
      <c r="H345" s="9"/>
      <c r="I345" s="10"/>
      <c r="J345" s="10"/>
      <c r="K345" s="9"/>
      <c r="L345" s="9"/>
      <c r="M345" s="10"/>
      <c r="N345" s="119">
        <f t="shared" si="11"/>
        <v>6</v>
      </c>
      <c r="O345" s="120"/>
      <c r="P345" s="68"/>
      <c r="Q345" s="126">
        <v>26326.54065408629</v>
      </c>
      <c r="R345" s="116">
        <v>25010.213621381976</v>
      </c>
      <c r="S345" s="11">
        <v>26010.622166237255</v>
      </c>
      <c r="T345" s="11">
        <v>27011.030711092535</v>
      </c>
      <c r="U345" s="122"/>
      <c r="V345" s="114"/>
      <c r="W345" s="130"/>
    </row>
    <row r="346" spans="1:23">
      <c r="A346" s="74" t="s">
        <v>1324</v>
      </c>
      <c r="B346" s="110" t="str">
        <f>IFERROR(HYPERLINK(VLOOKUP(A346,ÜRÜNLER!A:C,3,FALSE),VLOOKUP(A346,ÜRÜNLER!A:B,2,FALSE)),"")</f>
        <v>iQ500 Gazlı Ocak, 75cm, 5 Gözlü, Sert Cam, Beyaz, Wok</v>
      </c>
      <c r="C346" s="8">
        <v>7</v>
      </c>
      <c r="D346" s="8"/>
      <c r="E346" s="9"/>
      <c r="F346" s="9"/>
      <c r="G346" s="9"/>
      <c r="H346" s="9"/>
      <c r="I346" s="10"/>
      <c r="J346" s="10"/>
      <c r="K346" s="9"/>
      <c r="L346" s="9"/>
      <c r="M346" s="10"/>
      <c r="N346" s="119">
        <f t="shared" si="11"/>
        <v>7</v>
      </c>
      <c r="O346" s="120"/>
      <c r="P346" s="68"/>
      <c r="Q346" s="126">
        <v>52022.050628775905</v>
      </c>
      <c r="R346" s="116">
        <v>49420.94809733711</v>
      </c>
      <c r="S346" s="11">
        <v>51397.786021230597</v>
      </c>
      <c r="T346" s="11">
        <v>53374.623945124076</v>
      </c>
      <c r="U346" s="122"/>
      <c r="V346" s="114"/>
      <c r="W346" s="127">
        <v>250</v>
      </c>
    </row>
    <row r="347" spans="1:23">
      <c r="A347" s="74" t="s">
        <v>331</v>
      </c>
      <c r="B347" s="110" t="str">
        <f>IFERROR(HYPERLINK(VLOOKUP(A347,ÜRÜNLER!A:C,3,FALSE),VLOOKUP(A347,ÜRÜNLER!A:B,2,FALSE)),"")</f>
        <v>iQ500 Gazlı Ocak, 75cm, 5 Gözlü, Sert Cam, Beyaz, Döküm, Wok</v>
      </c>
      <c r="C347" s="8"/>
      <c r="D347" s="8"/>
      <c r="E347" s="9"/>
      <c r="F347" s="9">
        <v>1</v>
      </c>
      <c r="G347" s="9"/>
      <c r="H347" s="9"/>
      <c r="I347" s="10">
        <v>2</v>
      </c>
      <c r="J347" s="10">
        <v>1</v>
      </c>
      <c r="K347" s="9"/>
      <c r="L347" s="9">
        <v>2</v>
      </c>
      <c r="M347" s="10">
        <v>1</v>
      </c>
      <c r="N347" s="119">
        <f t="shared" si="11"/>
        <v>7</v>
      </c>
      <c r="O347" s="120"/>
      <c r="P347" s="68"/>
      <c r="Q347" s="121" t="s">
        <v>1788</v>
      </c>
      <c r="R347" s="114">
        <v>42000</v>
      </c>
      <c r="S347" s="11">
        <v>43680</v>
      </c>
      <c r="T347" s="11">
        <v>45360</v>
      </c>
      <c r="U347" s="122"/>
      <c r="V347" s="114"/>
      <c r="W347" s="123">
        <v>1000</v>
      </c>
    </row>
    <row r="348" spans="1:23">
      <c r="A348" s="74" t="s">
        <v>332</v>
      </c>
      <c r="B348" s="110" t="str">
        <f>IFERROR(HYPERLINK(VLOOKUP(A348,ÜRÜNLER!A:C,3,FALSE),VLOOKUP(A348,ÜRÜNLER!A:B,2,FALSE)),"")</f>
        <v>iQ500 Gazlı Ocak, 75cm, 5 Gözlü, Sert Cam, Siyah, Wok</v>
      </c>
      <c r="C348" s="8"/>
      <c r="D348" s="8"/>
      <c r="E348" s="9"/>
      <c r="F348" s="9"/>
      <c r="G348" s="9"/>
      <c r="H348" s="9"/>
      <c r="I348" s="10">
        <v>1</v>
      </c>
      <c r="J348" s="10">
        <v>1</v>
      </c>
      <c r="K348" s="9"/>
      <c r="L348" s="9">
        <v>2</v>
      </c>
      <c r="M348" s="10"/>
      <c r="N348" s="119">
        <f t="shared" si="11"/>
        <v>4</v>
      </c>
      <c r="O348" s="120"/>
      <c r="P348" s="68"/>
      <c r="Q348" s="121" t="s">
        <v>1788</v>
      </c>
      <c r="R348" s="114">
        <v>42000</v>
      </c>
      <c r="S348" s="11">
        <v>43680</v>
      </c>
      <c r="T348" s="11">
        <v>45360</v>
      </c>
      <c r="U348" s="122"/>
      <c r="V348" s="114"/>
      <c r="W348" s="123">
        <v>1000</v>
      </c>
    </row>
    <row r="349" spans="1:23">
      <c r="A349" s="14" t="s">
        <v>333</v>
      </c>
      <c r="B349" s="110" t="str">
        <f>IFERROR(HYPERLINK(VLOOKUP(A349,ÜRÜNLER!A:C,3,FALSE),VLOOKUP(A349,ÜRÜNLER!A:B,2,FALSE)),"")</f>
        <v>iQ500 Gazlı Ocak, 75cm, 5 Gözlü, Sert Cam, Siyah, Döküm, Wok</v>
      </c>
      <c r="C349" s="8"/>
      <c r="D349" s="8"/>
      <c r="E349" s="9"/>
      <c r="F349" s="9"/>
      <c r="G349" s="9"/>
      <c r="H349" s="9"/>
      <c r="I349" s="10">
        <v>1</v>
      </c>
      <c r="J349" s="10"/>
      <c r="K349" s="9"/>
      <c r="L349" s="9"/>
      <c r="M349" s="10"/>
      <c r="N349" s="119">
        <f t="shared" si="11"/>
        <v>1</v>
      </c>
      <c r="O349" s="120"/>
      <c r="P349" s="68"/>
      <c r="Q349" s="121" t="s">
        <v>1788</v>
      </c>
      <c r="R349" s="114">
        <v>42000</v>
      </c>
      <c r="S349" s="11">
        <v>43680</v>
      </c>
      <c r="T349" s="11">
        <v>45360</v>
      </c>
      <c r="U349" s="122"/>
      <c r="V349" s="114"/>
      <c r="W349" s="123">
        <v>1000</v>
      </c>
    </row>
    <row r="350" spans="1:23">
      <c r="A350" s="14" t="s">
        <v>334</v>
      </c>
      <c r="B350" s="110" t="str">
        <f>IFERROR(HYPERLINK(VLOOKUP(A350,ÜRÜNLER!A:C,3,FALSE),VLOOKUP(A350,ÜRÜNLER!A:B,2,FALSE)),"")</f>
        <v>iQ500 Gazlı Ocak, 75cm, 5 Gözlü, Inox, Döküm, Wok</v>
      </c>
      <c r="C350" s="8">
        <v>1</v>
      </c>
      <c r="D350" s="8"/>
      <c r="E350" s="9"/>
      <c r="F350" s="9"/>
      <c r="G350" s="9"/>
      <c r="H350" s="9"/>
      <c r="I350" s="10"/>
      <c r="J350" s="10"/>
      <c r="K350" s="9"/>
      <c r="L350" s="9"/>
      <c r="M350" s="10"/>
      <c r="N350" s="119">
        <f t="shared" si="11"/>
        <v>1</v>
      </c>
      <c r="O350" s="120"/>
      <c r="P350" s="68"/>
      <c r="Q350" s="126">
        <v>47287.583669084859</v>
      </c>
      <c r="R350" s="152">
        <v>45868.956159012312</v>
      </c>
      <c r="S350" s="11">
        <v>47703.714405372804</v>
      </c>
      <c r="T350" s="11">
        <v>49538.472651733297</v>
      </c>
      <c r="U350" s="122"/>
      <c r="V350" s="114"/>
      <c r="W350" s="130"/>
    </row>
    <row r="351" spans="1:23">
      <c r="A351" s="74" t="s">
        <v>335</v>
      </c>
      <c r="B351" s="110" t="str">
        <f>IFERROR(HYPERLINK(VLOOKUP(A351,ÜRÜNLER!A:C,3,FALSE),VLOOKUP(A351,ÜRÜNLER!A:B,2,FALSE)),"")</f>
        <v>iQ500 Gazlı Ocak, 75cm, 5 Gözlü, Inox, Döküm, Wok</v>
      </c>
      <c r="C351" s="8"/>
      <c r="D351" s="8"/>
      <c r="E351" s="9"/>
      <c r="F351" s="9"/>
      <c r="G351" s="9"/>
      <c r="H351" s="9"/>
      <c r="I351" s="10">
        <v>1</v>
      </c>
      <c r="J351" s="10"/>
      <c r="K351" s="9"/>
      <c r="L351" s="9"/>
      <c r="M351" s="10"/>
      <c r="N351" s="119">
        <f t="shared" si="11"/>
        <v>1</v>
      </c>
      <c r="O351" s="120"/>
      <c r="P351" s="68"/>
      <c r="Q351" s="121" t="s">
        <v>1788</v>
      </c>
      <c r="R351" s="114">
        <v>40000</v>
      </c>
      <c r="S351" s="11">
        <v>41600</v>
      </c>
      <c r="T351" s="11">
        <v>43200</v>
      </c>
      <c r="U351" s="122"/>
      <c r="V351" s="114"/>
      <c r="W351" s="123">
        <v>1000</v>
      </c>
    </row>
    <row r="352" spans="1:23">
      <c r="A352" s="88" t="s">
        <v>336</v>
      </c>
      <c r="B352" s="110" t="str">
        <f>IFERROR(HYPERLINK(VLOOKUP(A352,ÜRÜNLER!A:C,3,FALSE),VLOOKUP(A352,ÜRÜNLER!A:B,2,FALSE)),"")</f>
        <v>iQ500 Gazlı Ocak, 90cm, 5 Gözlü, Sert Cam, Siyah, Döküm, Wok</v>
      </c>
      <c r="C352" s="8"/>
      <c r="D352" s="8"/>
      <c r="E352" s="9"/>
      <c r="F352" s="9"/>
      <c r="G352" s="9"/>
      <c r="H352" s="9"/>
      <c r="I352" s="10"/>
      <c r="J352" s="10"/>
      <c r="K352" s="9"/>
      <c r="L352" s="9">
        <v>1</v>
      </c>
      <c r="M352" s="10"/>
      <c r="N352" s="119">
        <f t="shared" si="11"/>
        <v>1</v>
      </c>
      <c r="O352" s="120"/>
      <c r="P352" s="68"/>
      <c r="Q352" s="121" t="s">
        <v>1788</v>
      </c>
      <c r="R352" s="114">
        <v>45000</v>
      </c>
      <c r="S352" s="11">
        <v>46800</v>
      </c>
      <c r="T352" s="11">
        <v>48600</v>
      </c>
      <c r="U352" s="122"/>
      <c r="V352" s="114"/>
      <c r="W352" s="123">
        <v>1000</v>
      </c>
    </row>
    <row r="353" spans="1:23">
      <c r="A353" s="89" t="s">
        <v>337</v>
      </c>
      <c r="B353" s="110" t="str">
        <f>IFERROR(HYPERLINK(VLOOKUP(A353,ÜRÜNLER!A:C,3,FALSE),VLOOKUP(A353,ÜRÜNLER!A:B,2,FALSE)),"")</f>
        <v>iQ500 Gazlı Ocak, 90cm, 5 Gözlü, Sert Cam, Siyah, Döküm, Wok</v>
      </c>
      <c r="C353" s="8"/>
      <c r="D353" s="8"/>
      <c r="E353" s="9"/>
      <c r="F353" s="9">
        <v>2</v>
      </c>
      <c r="G353" s="9"/>
      <c r="H353" s="9"/>
      <c r="I353" s="10"/>
      <c r="J353" s="10">
        <v>1</v>
      </c>
      <c r="K353" s="9"/>
      <c r="L353" s="9"/>
      <c r="M353" s="10"/>
      <c r="N353" s="119">
        <f t="shared" si="11"/>
        <v>3</v>
      </c>
      <c r="O353" s="120">
        <v>1</v>
      </c>
      <c r="P353" s="68"/>
      <c r="Q353" s="126">
        <v>64896.371160981398</v>
      </c>
      <c r="R353" s="152">
        <v>62949.480026151956</v>
      </c>
      <c r="S353" s="11">
        <v>65467.459227198036</v>
      </c>
      <c r="T353" s="11">
        <v>67985.438428244117</v>
      </c>
      <c r="U353" s="122"/>
      <c r="V353" s="114"/>
      <c r="W353" s="127">
        <v>250</v>
      </c>
    </row>
    <row r="354" spans="1:23">
      <c r="A354" s="14" t="s">
        <v>339</v>
      </c>
      <c r="B354" s="110" t="str">
        <f>IFERROR(HYPERLINK(VLOOKUP(A354,ÜRÜNLER!A:C,3,FALSE),VLOOKUP(A354,ÜRÜNLER!A:B,2,FALSE)),"")</f>
        <v>iQ500 Gazlı Ocak, 67cm, Sert Cam, Siyah, Wok, Döküm</v>
      </c>
      <c r="C354" s="8"/>
      <c r="D354" s="8"/>
      <c r="E354" s="9"/>
      <c r="F354" s="9"/>
      <c r="G354" s="9"/>
      <c r="H354" s="9"/>
      <c r="I354" s="10"/>
      <c r="J354" s="10"/>
      <c r="K354" s="9">
        <v>1</v>
      </c>
      <c r="L354" s="9"/>
      <c r="M354" s="10"/>
      <c r="N354" s="119">
        <f t="shared" si="11"/>
        <v>1</v>
      </c>
      <c r="O354" s="120">
        <v>1</v>
      </c>
      <c r="P354" s="68"/>
      <c r="Q354" s="126">
        <v>52022.050628775905</v>
      </c>
      <c r="R354" s="152">
        <v>50461.389109912627</v>
      </c>
      <c r="S354" s="11">
        <v>52479.844674309134</v>
      </c>
      <c r="T354" s="11">
        <v>54498.300238705633</v>
      </c>
      <c r="U354" s="122"/>
      <c r="V354" s="114"/>
      <c r="W354" s="130"/>
    </row>
    <row r="355" spans="1:23">
      <c r="A355" s="88" t="s">
        <v>1320</v>
      </c>
      <c r="B355" s="110" t="str">
        <f>IFERROR(HYPERLINK(VLOOKUP(A355,ÜRÜNLER!A:C,3,FALSE),VLOOKUP(A355,ÜRÜNLER!A:B,2,FALSE)),"")</f>
        <v>iQ700 studioLine Gazlı Ocak, 90cm, 5 Gözlü, Sert Cam, Siyah, Döküm, Wok</v>
      </c>
      <c r="C355" s="8"/>
      <c r="D355" s="8"/>
      <c r="E355" s="9"/>
      <c r="F355" s="9"/>
      <c r="G355" s="9"/>
      <c r="H355" s="9"/>
      <c r="I355" s="10"/>
      <c r="J355" s="10"/>
      <c r="K355" s="9"/>
      <c r="L355" s="9"/>
      <c r="M355" s="10"/>
      <c r="N355" s="119">
        <f t="shared" si="11"/>
        <v>0</v>
      </c>
      <c r="O355" s="120">
        <v>2</v>
      </c>
      <c r="P355" s="68"/>
      <c r="Q355" s="141">
        <v>91978.171303200026</v>
      </c>
      <c r="R355" s="141">
        <v>82780.354172880019</v>
      </c>
      <c r="S355" s="11">
        <v>86091.568339795223</v>
      </c>
      <c r="T355" s="11">
        <v>89402.782506710413</v>
      </c>
      <c r="U355" s="122"/>
      <c r="V355" s="114"/>
      <c r="W355" s="130"/>
    </row>
    <row r="356" spans="1:23">
      <c r="A356" s="88" t="s">
        <v>341</v>
      </c>
      <c r="B356" s="110" t="str">
        <f>IFERROR(HYPERLINK(VLOOKUP(A356,ÜRÜNLER!A:C,3,FALSE),VLOOKUP(A356,ÜRÜNLER!A:B,2,FALSE)),"")</f>
        <v>iQ700 Gazlı Ocak, 60cm, Seramik, Siyah, Döküm</v>
      </c>
      <c r="C356" s="8"/>
      <c r="D356" s="8"/>
      <c r="E356" s="9"/>
      <c r="F356" s="9"/>
      <c r="G356" s="9"/>
      <c r="H356" s="9"/>
      <c r="I356" s="10">
        <v>1</v>
      </c>
      <c r="J356" s="10"/>
      <c r="K356" s="9"/>
      <c r="L356" s="9">
        <v>3</v>
      </c>
      <c r="M356" s="10"/>
      <c r="N356" s="119">
        <f t="shared" ref="N356:N359" si="12">M356+K356+L356+J356+I356+H356+G356+F356+E356+D356+C356</f>
        <v>4</v>
      </c>
      <c r="O356" s="120"/>
      <c r="P356" s="68"/>
      <c r="Q356" s="121" t="s">
        <v>1788</v>
      </c>
      <c r="R356" s="114">
        <v>40000</v>
      </c>
      <c r="S356" s="11">
        <v>41600</v>
      </c>
      <c r="T356" s="11">
        <v>43200</v>
      </c>
      <c r="U356" s="122"/>
      <c r="V356" s="114"/>
      <c r="W356" s="123">
        <v>1000</v>
      </c>
    </row>
    <row r="357" spans="1:23">
      <c r="A357" s="14" t="s">
        <v>342</v>
      </c>
      <c r="B357" s="110" t="str">
        <f>IFERROR(HYPERLINK(VLOOKUP(A357,ÜRÜNLER!A:C,3,FALSE),VLOOKUP(A357,ÜRÜNLER!A:B,2,FALSE)),"")</f>
        <v>iQ500 Moduler Teppanyaki, 40cm, Inox</v>
      </c>
      <c r="C357" s="8">
        <v>2</v>
      </c>
      <c r="D357" s="8"/>
      <c r="E357" s="9"/>
      <c r="F357" s="9"/>
      <c r="G357" s="9"/>
      <c r="H357" s="9"/>
      <c r="I357" s="10"/>
      <c r="J357" s="10"/>
      <c r="K357" s="9"/>
      <c r="L357" s="9"/>
      <c r="M357" s="10"/>
      <c r="N357" s="119">
        <f t="shared" si="12"/>
        <v>2</v>
      </c>
      <c r="O357" s="120"/>
      <c r="P357" s="68"/>
      <c r="Q357" s="121" t="s">
        <v>1788</v>
      </c>
      <c r="R357" s="114">
        <v>100000</v>
      </c>
      <c r="S357" s="11">
        <v>104000</v>
      </c>
      <c r="T357" s="11">
        <v>108000</v>
      </c>
      <c r="U357" s="122"/>
      <c r="V357" s="114"/>
      <c r="W357" s="127">
        <v>250</v>
      </c>
    </row>
    <row r="358" spans="1:23">
      <c r="A358" s="14" t="s">
        <v>340</v>
      </c>
      <c r="B358" s="110" t="str">
        <f>IFERROR(HYPERLINK(VLOOKUP(A358,ÜRÜNLER!A:C,3,FALSE),VLOOKUP(A358,ÜRÜNLER!A:B,2,FALSE)),"")</f>
        <v>iQ700 Gazlı Domino Ocak, 30cm, 2 Gözlü, Seramik, Siyah</v>
      </c>
      <c r="C358" s="8"/>
      <c r="D358" s="8"/>
      <c r="E358" s="9"/>
      <c r="F358" s="9">
        <v>1</v>
      </c>
      <c r="G358" s="9"/>
      <c r="H358" s="9"/>
      <c r="I358" s="10"/>
      <c r="J358" s="10"/>
      <c r="K358" s="9"/>
      <c r="L358" s="9"/>
      <c r="M358" s="10"/>
      <c r="N358" s="119">
        <f t="shared" si="12"/>
        <v>1</v>
      </c>
      <c r="O358" s="120"/>
      <c r="P358" s="68"/>
      <c r="Q358" s="121" t="s">
        <v>1788</v>
      </c>
      <c r="R358" s="114">
        <v>35000</v>
      </c>
      <c r="S358" s="11">
        <v>36400</v>
      </c>
      <c r="T358" s="11">
        <v>37800</v>
      </c>
      <c r="U358" s="122"/>
      <c r="V358" s="114"/>
      <c r="W358" s="123">
        <v>1000</v>
      </c>
    </row>
    <row r="359" spans="1:23">
      <c r="A359" s="14" t="s">
        <v>338</v>
      </c>
      <c r="B359" s="110" t="str">
        <f>IFERROR(HYPERLINK(VLOOKUP(A359,ÜRÜNLER!A:C,3,FALSE),VLOOKUP(A359,ÜRÜNLER!A:B,2,FALSE)),"")</f>
        <v>iQ700 Gazlı Domino Ocak, 30cm, Tek Gözlü, Seramik, Siyah, Wok</v>
      </c>
      <c r="C359" s="8">
        <v>3</v>
      </c>
      <c r="D359" s="8"/>
      <c r="E359" s="9"/>
      <c r="F359" s="9"/>
      <c r="G359" s="9"/>
      <c r="H359" s="9"/>
      <c r="I359" s="10"/>
      <c r="J359" s="10"/>
      <c r="K359" s="9"/>
      <c r="L359" s="9"/>
      <c r="M359" s="10"/>
      <c r="N359" s="119">
        <f t="shared" si="12"/>
        <v>3</v>
      </c>
      <c r="O359" s="120"/>
      <c r="P359" s="68"/>
      <c r="Q359" s="121" t="s">
        <v>1788</v>
      </c>
      <c r="R359" s="156">
        <v>30000</v>
      </c>
      <c r="S359" s="11">
        <v>31200</v>
      </c>
      <c r="T359" s="11">
        <v>32400</v>
      </c>
      <c r="U359" s="122"/>
      <c r="V359" s="114"/>
      <c r="W359" s="127">
        <v>250</v>
      </c>
    </row>
    <row r="360" spans="1:23" ht="34.5" customHeight="1">
      <c r="A360" s="176" t="s">
        <v>343</v>
      </c>
      <c r="B360" s="110" t="str">
        <f>IFERROR(HYPERLINK(VLOOKUP(A360,ÜRÜNLER!A:C,3,FALSE),VLOOKUP(A360,ÜRÜNLER!A:B,2,FALSE)),"")</f>
        <v/>
      </c>
      <c r="C360" s="8"/>
      <c r="D360" s="8"/>
      <c r="E360" s="9"/>
      <c r="F360" s="9"/>
      <c r="G360" s="9"/>
      <c r="H360" s="9"/>
      <c r="I360" s="10"/>
      <c r="J360" s="10"/>
      <c r="K360" s="9"/>
      <c r="L360" s="9"/>
      <c r="M360" s="10"/>
      <c r="N360" s="119">
        <f>SUM(N298:N359)</f>
        <v>266</v>
      </c>
      <c r="O360" s="120"/>
      <c r="P360" s="9"/>
      <c r="Q360" s="121"/>
      <c r="R360" s="114"/>
      <c r="S360" s="11"/>
      <c r="T360" s="11"/>
      <c r="U360" s="122"/>
      <c r="V360" s="114"/>
      <c r="W360" s="130"/>
    </row>
    <row r="361" spans="1:23">
      <c r="A361" s="74" t="s">
        <v>344</v>
      </c>
      <c r="B361" s="110" t="str">
        <f>IFERROR(HYPERLINK(VLOOKUP(A361,ÜRÜNLER!A:C,3,FALSE),VLOOKUP(A361,ÜRÜNLER!A:B,2,FALSE)),"")</f>
        <v>iQ100 Elektrikli Ocak, 60cm, Çerçevesiz, Siyah</v>
      </c>
      <c r="C361" s="8"/>
      <c r="D361" s="8"/>
      <c r="E361" s="9"/>
      <c r="F361" s="9"/>
      <c r="G361" s="9"/>
      <c r="H361" s="9"/>
      <c r="I361" s="10">
        <v>1</v>
      </c>
      <c r="J361" s="10">
        <v>1</v>
      </c>
      <c r="K361" s="9">
        <v>1</v>
      </c>
      <c r="L361" s="9">
        <v>1</v>
      </c>
      <c r="M361" s="10">
        <v>1</v>
      </c>
      <c r="N361" s="119">
        <f t="shared" ref="N361:N366" si="13">M361+K361+L361+J361+I361+H361+G361+F361+E361+D361+C361</f>
        <v>5</v>
      </c>
      <c r="O361" s="120">
        <v>26</v>
      </c>
      <c r="P361" s="68"/>
      <c r="Q361" s="126">
        <v>25644.666299495551</v>
      </c>
      <c r="R361" s="131">
        <v>25644.666299495551</v>
      </c>
      <c r="S361" s="11">
        <v>26670.452951475374</v>
      </c>
      <c r="T361" s="11">
        <v>27696.239603455197</v>
      </c>
      <c r="U361" s="122"/>
      <c r="V361" s="114"/>
      <c r="W361" s="130"/>
    </row>
    <row r="362" spans="1:23">
      <c r="A362" s="74" t="s">
        <v>345</v>
      </c>
      <c r="B362" s="110" t="str">
        <f>IFERROR(HYPERLINK(VLOOKUP(A362,ÜRÜNLER!A:C,3,FALSE),VLOOKUP(A362,ÜRÜNLER!A:B,2,FALSE)),"")</f>
        <v>iQ100 Elektrikli Ocak, 60cm, Çerçevesiz, Beyaz</v>
      </c>
      <c r="C362" s="8">
        <v>1</v>
      </c>
      <c r="D362" s="8"/>
      <c r="E362" s="9"/>
      <c r="F362" s="9">
        <v>2</v>
      </c>
      <c r="G362" s="9"/>
      <c r="H362" s="9"/>
      <c r="I362" s="10">
        <v>2</v>
      </c>
      <c r="J362" s="10"/>
      <c r="K362" s="9"/>
      <c r="L362" s="9"/>
      <c r="M362" s="10"/>
      <c r="N362" s="119">
        <f t="shared" si="13"/>
        <v>5</v>
      </c>
      <c r="O362" s="120">
        <v>11</v>
      </c>
      <c r="P362" s="68"/>
      <c r="Q362" s="126">
        <v>31951.806157517418</v>
      </c>
      <c r="R362" s="131">
        <v>31951.806157517418</v>
      </c>
      <c r="S362" s="11">
        <v>33229.878403818111</v>
      </c>
      <c r="T362" s="11">
        <v>34507.950650118808</v>
      </c>
      <c r="U362" s="122"/>
      <c r="V362" s="114"/>
      <c r="W362" s="130"/>
    </row>
    <row r="363" spans="1:23">
      <c r="A363" s="74" t="s">
        <v>346</v>
      </c>
      <c r="B363" s="110" t="str">
        <f>IFERROR(HYPERLINK(VLOOKUP(A363,ÜRÜNLER!A:C,3,FALSE),VLOOKUP(A363,ÜRÜNLER!A:B,2,FALSE)),"")</f>
        <v>iQ300 Elektrikli Ocak, 60cm, Çerçevesiz, Siyah</v>
      </c>
      <c r="C363" s="8">
        <v>8</v>
      </c>
      <c r="D363" s="8"/>
      <c r="E363" s="9"/>
      <c r="F363" s="9">
        <v>1</v>
      </c>
      <c r="G363" s="9"/>
      <c r="H363" s="9"/>
      <c r="I363" s="10"/>
      <c r="J363" s="10"/>
      <c r="K363" s="9"/>
      <c r="L363" s="9"/>
      <c r="M363" s="10"/>
      <c r="N363" s="119">
        <f t="shared" si="13"/>
        <v>9</v>
      </c>
      <c r="O363" s="120">
        <v>1</v>
      </c>
      <c r="P363" s="68"/>
      <c r="Q363" s="126">
        <v>31995.448874459253</v>
      </c>
      <c r="R363" s="131">
        <v>31995.448874459253</v>
      </c>
      <c r="S363" s="11">
        <v>33275.26682943762</v>
      </c>
      <c r="T363" s="11">
        <v>34555.084784415994</v>
      </c>
      <c r="U363" s="122"/>
      <c r="V363" s="114"/>
      <c r="W363" s="130"/>
    </row>
    <row r="364" spans="1:23">
      <c r="A364" s="74" t="s">
        <v>347</v>
      </c>
      <c r="B364" s="110" t="str">
        <f>IFERROR(HYPERLINK(VLOOKUP(A364,ÜRÜNLER!A:C,3,FALSE),VLOOKUP(A364,ÜRÜNLER!A:B,2,FALSE)),"")</f>
        <v>iQ300 Elektrikli Ocak, 70cm, Çerçeveli, Siyah</v>
      </c>
      <c r="C364" s="8"/>
      <c r="D364" s="8"/>
      <c r="E364" s="9"/>
      <c r="F364" s="9">
        <v>3</v>
      </c>
      <c r="G364" s="9"/>
      <c r="H364" s="9"/>
      <c r="I364" s="10">
        <v>1</v>
      </c>
      <c r="J364" s="10"/>
      <c r="K364" s="9"/>
      <c r="L364" s="9"/>
      <c r="M364" s="10"/>
      <c r="N364" s="119">
        <f t="shared" si="13"/>
        <v>4</v>
      </c>
      <c r="O364" s="120"/>
      <c r="P364" s="68"/>
      <c r="Q364" s="121" t="s">
        <v>1788</v>
      </c>
      <c r="R364" s="131">
        <v>50000</v>
      </c>
      <c r="S364" s="11">
        <v>52000</v>
      </c>
      <c r="T364" s="11">
        <v>54000</v>
      </c>
      <c r="U364" s="122"/>
      <c r="V364" s="114"/>
      <c r="W364" s="123">
        <v>1000</v>
      </c>
    </row>
    <row r="365" spans="1:23">
      <c r="A365" s="74" t="s">
        <v>348</v>
      </c>
      <c r="B365" s="110" t="str">
        <f>IFERROR(HYPERLINK(VLOOKUP(A365,ÜRÜNLER!A:C,3,FALSE),VLOOKUP(A365,ÜRÜNLER!A:B,2,FALSE)),"")</f>
        <v>iQ500 Elektrikli Ocak, 80cm, Çerçeveli, Siyah</v>
      </c>
      <c r="C365" s="8">
        <v>3</v>
      </c>
      <c r="D365" s="8"/>
      <c r="E365" s="9"/>
      <c r="F365" s="9">
        <v>1</v>
      </c>
      <c r="G365" s="9"/>
      <c r="H365" s="9"/>
      <c r="I365" s="10"/>
      <c r="J365" s="10"/>
      <c r="K365" s="9"/>
      <c r="L365" s="9"/>
      <c r="M365" s="10"/>
      <c r="N365" s="119">
        <f t="shared" si="13"/>
        <v>4</v>
      </c>
      <c r="O365" s="120"/>
      <c r="P365" s="68"/>
      <c r="Q365" s="126">
        <v>61520.528206519193</v>
      </c>
      <c r="R365" s="152">
        <v>59674.912360323615</v>
      </c>
      <c r="S365" s="11">
        <v>62061.908854736561</v>
      </c>
      <c r="T365" s="11">
        <v>64448.905349149507</v>
      </c>
      <c r="U365" s="122"/>
      <c r="V365" s="114"/>
      <c r="W365" s="130"/>
    </row>
    <row r="366" spans="1:23">
      <c r="A366" s="74" t="s">
        <v>1690</v>
      </c>
      <c r="B366" s="110" t="str">
        <f>IFERROR(HYPERLINK(VLOOKUP(A366,ÜRÜNLER!A:C,3,FALSE),VLOOKUP(A366,ÜRÜNLER!A:B,2,FALSE)),"")</f>
        <v>iQ300 Elektrikli Domino Ocak, 30cm, 2 Gözlü, Siyah</v>
      </c>
      <c r="C366" s="8">
        <v>1</v>
      </c>
      <c r="D366" s="8"/>
      <c r="E366" s="9"/>
      <c r="F366" s="9"/>
      <c r="G366" s="9"/>
      <c r="H366" s="9"/>
      <c r="I366" s="10"/>
      <c r="J366" s="10"/>
      <c r="K366" s="9"/>
      <c r="L366" s="9"/>
      <c r="M366" s="10"/>
      <c r="N366" s="119">
        <f t="shared" si="13"/>
        <v>1</v>
      </c>
      <c r="O366" s="120"/>
      <c r="P366" s="68"/>
      <c r="Q366" s="126">
        <v>33104.371369341701</v>
      </c>
      <c r="R366" s="152">
        <v>32111.240228261449</v>
      </c>
      <c r="S366" s="11">
        <v>33395.68983739191</v>
      </c>
      <c r="T366" s="11">
        <v>34680.139446522364</v>
      </c>
      <c r="U366" s="122"/>
      <c r="V366" s="114"/>
      <c r="W366" s="130"/>
    </row>
    <row r="367" spans="1:23" ht="30">
      <c r="A367" s="176" t="s">
        <v>349</v>
      </c>
      <c r="B367" s="110" t="str">
        <f>IFERROR(HYPERLINK(VLOOKUP(A367,ÜRÜNLER!A:C,3,FALSE),VLOOKUP(A367,ÜRÜNLER!A:B,2,FALSE)),"")</f>
        <v/>
      </c>
      <c r="C367" s="8"/>
      <c r="D367" s="8"/>
      <c r="E367" s="9"/>
      <c r="F367" s="9"/>
      <c r="G367" s="9"/>
      <c r="H367" s="9"/>
      <c r="I367" s="10"/>
      <c r="J367" s="10"/>
      <c r="K367" s="9"/>
      <c r="L367" s="9"/>
      <c r="M367" s="10"/>
      <c r="N367" s="119">
        <f>SUM(N361:N366)</f>
        <v>28</v>
      </c>
      <c r="O367" s="120"/>
      <c r="P367" s="9"/>
      <c r="Q367" s="121"/>
      <c r="R367" s="114"/>
      <c r="S367" s="11"/>
      <c r="T367" s="11"/>
      <c r="U367" s="122"/>
      <c r="V367" s="114"/>
      <c r="W367" s="130"/>
    </row>
    <row r="368" spans="1:23">
      <c r="A368" s="74" t="s">
        <v>350</v>
      </c>
      <c r="B368" s="110" t="str">
        <f>IFERROR(HYPERLINK(VLOOKUP(A368,ÜRÜNLER!A:C,3,FALSE),VLOOKUP(A368,ÜRÜNLER!A:B,2,FALSE)),"")</f>
        <v>iQ100 İndüksiyonlu Ocak, 60cm, Çerçevesiz, Siyah</v>
      </c>
      <c r="C368" s="8"/>
      <c r="D368" s="8"/>
      <c r="E368" s="9">
        <v>1</v>
      </c>
      <c r="F368" s="9"/>
      <c r="G368" s="9"/>
      <c r="H368" s="9"/>
      <c r="I368" s="10">
        <v>2</v>
      </c>
      <c r="J368" s="10">
        <v>1</v>
      </c>
      <c r="K368" s="9"/>
      <c r="L368" s="9"/>
      <c r="M368" s="10">
        <v>1</v>
      </c>
      <c r="N368" s="119">
        <f t="shared" ref="N368:N377" si="14">M368+K368+L368+J368+I368+H368+G368+F368+E368+D368+C368</f>
        <v>5</v>
      </c>
      <c r="O368" s="120">
        <v>31</v>
      </c>
      <c r="P368" s="68"/>
      <c r="Q368" s="126">
        <v>25665.751077140114</v>
      </c>
      <c r="R368" s="131">
        <v>25665.751077140114</v>
      </c>
      <c r="S368" s="11">
        <v>26692.38112022572</v>
      </c>
      <c r="T368" s="11">
        <v>27719.011163311323</v>
      </c>
      <c r="U368" s="122"/>
      <c r="V368" s="114"/>
      <c r="W368" s="130"/>
    </row>
    <row r="369" spans="1:24">
      <c r="A369" s="15" t="s">
        <v>351</v>
      </c>
      <c r="B369" s="110" t="str">
        <f>IFERROR(HYPERLINK(VLOOKUP(A369,ÜRÜNLER!A:C,3,FALSE),VLOOKUP(A369,ÜRÜNLER!A:B,2,FALSE)),"")</f>
        <v>iQ700 İndüksiyonlu Ocak, 60cm, Çerçeveli, Siyah</v>
      </c>
      <c r="C369" s="8"/>
      <c r="D369" s="8"/>
      <c r="E369" s="9"/>
      <c r="F369" s="9"/>
      <c r="G369" s="9"/>
      <c r="H369" s="9"/>
      <c r="I369" s="10"/>
      <c r="J369" s="10"/>
      <c r="K369" s="9"/>
      <c r="L369" s="9"/>
      <c r="M369" s="10"/>
      <c r="N369" s="119">
        <f t="shared" si="14"/>
        <v>0</v>
      </c>
      <c r="O369" s="120">
        <v>2</v>
      </c>
      <c r="P369" s="68"/>
      <c r="Q369" s="126">
        <v>82259.628899275995</v>
      </c>
      <c r="R369" s="131">
        <v>82259.628899275995</v>
      </c>
      <c r="S369" s="11">
        <v>85550.01405524704</v>
      </c>
      <c r="T369" s="11">
        <v>88840.399211218071</v>
      </c>
      <c r="U369" s="122"/>
      <c r="V369" s="114"/>
      <c r="W369" s="127">
        <v>250</v>
      </c>
    </row>
    <row r="370" spans="1:24">
      <c r="A370" s="15" t="s">
        <v>352</v>
      </c>
      <c r="B370" s="110" t="str">
        <f>IFERROR(HYPERLINK(VLOOKUP(A370,ÜRÜNLER!A:C,3,FALSE),VLOOKUP(A370,ÜRÜNLER!A:B,2,FALSE)),"")</f>
        <v>iQ700 studioLine İndüksiyonlu Ocak, 80cm, FlushMount, Siyah</v>
      </c>
      <c r="C370" s="8"/>
      <c r="D370" s="8">
        <v>3</v>
      </c>
      <c r="E370" s="9"/>
      <c r="F370" s="9"/>
      <c r="G370" s="9"/>
      <c r="H370" s="9"/>
      <c r="I370" s="10"/>
      <c r="J370" s="10"/>
      <c r="K370" s="9"/>
      <c r="L370" s="9"/>
      <c r="M370" s="10"/>
      <c r="N370" s="119">
        <f t="shared" si="14"/>
        <v>3</v>
      </c>
      <c r="O370" s="120"/>
      <c r="P370" s="68"/>
      <c r="Q370" s="141">
        <v>94104.886510878307</v>
      </c>
      <c r="R370" s="141">
        <v>84694.397859790479</v>
      </c>
      <c r="S370" s="11">
        <v>88082.173774182098</v>
      </c>
      <c r="T370" s="11">
        <v>91469.949688573717</v>
      </c>
      <c r="U370" s="122"/>
      <c r="V370" s="114"/>
      <c r="W370" s="123">
        <v>500</v>
      </c>
    </row>
    <row r="371" spans="1:24">
      <c r="A371" s="15" t="s">
        <v>353</v>
      </c>
      <c r="B371" s="110" t="str">
        <f>IFERROR(HYPERLINK(VLOOKUP(A371,ÜRÜNLER!A:C,3,FALSE),VLOOKUP(A371,ÜRÜNLER!A:B,2,FALSE)),"")</f>
        <v>iQ700 studioLine İndüksiyonlu Ocak, 80cm, FlushMount, Siyah</v>
      </c>
      <c r="C371" s="8"/>
      <c r="D371" s="8">
        <v>1</v>
      </c>
      <c r="E371" s="9"/>
      <c r="F371" s="9"/>
      <c r="G371" s="9"/>
      <c r="H371" s="9">
        <v>1</v>
      </c>
      <c r="I371" s="10"/>
      <c r="J371" s="10"/>
      <c r="K371" s="9"/>
      <c r="L371" s="9"/>
      <c r="M371" s="10"/>
      <c r="N371" s="119">
        <f t="shared" si="14"/>
        <v>2</v>
      </c>
      <c r="O371" s="120"/>
      <c r="P371" s="68"/>
      <c r="Q371" s="121" t="s">
        <v>1788</v>
      </c>
      <c r="R371" s="139">
        <v>105000</v>
      </c>
      <c r="S371" s="11">
        <v>109200</v>
      </c>
      <c r="T371" s="11">
        <v>113400</v>
      </c>
      <c r="U371" s="122"/>
      <c r="V371" s="114"/>
      <c r="W371" s="123">
        <v>500</v>
      </c>
    </row>
    <row r="372" spans="1:24">
      <c r="A372" s="15" t="s">
        <v>1802</v>
      </c>
      <c r="B372" s="110" t="str">
        <f>IFERROR(HYPERLINK(VLOOKUP(A372,ÜRÜNLER!A:C,3,FALSE),VLOOKUP(A372,ÜRÜNLER!A:B,2,FALSE)),"")</f>
        <v>iQ700 Davlumbaz Entegreli İndüksiyonlu Ocak, 80cm, Çerçeveli, Siyah</v>
      </c>
      <c r="C372" s="8"/>
      <c r="D372" s="8"/>
      <c r="E372" s="9"/>
      <c r="F372" s="9"/>
      <c r="G372" s="9"/>
      <c r="H372" s="9"/>
      <c r="I372" s="10"/>
      <c r="J372" s="10"/>
      <c r="K372" s="9"/>
      <c r="L372" s="9"/>
      <c r="M372" s="10"/>
      <c r="N372" s="119">
        <f t="shared" si="14"/>
        <v>0</v>
      </c>
      <c r="O372" s="120">
        <v>1</v>
      </c>
      <c r="P372" s="68"/>
      <c r="Q372" s="126">
        <v>104117</v>
      </c>
      <c r="R372" s="116">
        <v>98911.15</v>
      </c>
      <c r="S372" s="11">
        <v>102867.59599999999</v>
      </c>
      <c r="T372" s="11">
        <v>106824.04199999999</v>
      </c>
      <c r="U372" s="122"/>
      <c r="V372" s="114"/>
      <c r="W372" s="127"/>
    </row>
    <row r="373" spans="1:24">
      <c r="A373" s="15" t="s">
        <v>1751</v>
      </c>
      <c r="B373" s="110" t="str">
        <f>IFERROR(HYPERLINK(VLOOKUP(A373,ÜRÜNLER!A:C,3,FALSE),VLOOKUP(A373,ÜRÜNLER!A:B,2,FALSE)),"")</f>
        <v>iQ700 studioLine Davlumbaz Entegreli İndüksiyonlu Ocak, 80cm, Çerçeveli, Siyah</v>
      </c>
      <c r="C373" s="8"/>
      <c r="D373" s="8">
        <v>3</v>
      </c>
      <c r="E373" s="9"/>
      <c r="F373" s="9"/>
      <c r="G373" s="9"/>
      <c r="H373" s="9"/>
      <c r="I373" s="10"/>
      <c r="J373" s="10"/>
      <c r="K373" s="9"/>
      <c r="L373" s="9"/>
      <c r="M373" s="10"/>
      <c r="N373" s="119">
        <f t="shared" si="14"/>
        <v>3</v>
      </c>
      <c r="O373" s="120"/>
      <c r="P373" s="68"/>
      <c r="Q373" s="141">
        <v>83772.107367933117</v>
      </c>
      <c r="R373" s="141">
        <v>75394.896631139796</v>
      </c>
      <c r="S373" s="11">
        <v>78410.692496385382</v>
      </c>
      <c r="T373" s="11">
        <v>81426.488361630982</v>
      </c>
      <c r="U373" s="122"/>
      <c r="V373" s="114"/>
      <c r="W373" s="127"/>
    </row>
    <row r="374" spans="1:24">
      <c r="A374" s="74" t="s">
        <v>357</v>
      </c>
      <c r="B374" s="110" t="str">
        <f>IFERROR(HYPERLINK(VLOOKUP(A374,ÜRÜNLER!A:C,3,FALSE),VLOOKUP(A374,ÜRÜNLER!A:B,2,FALSE)),"")</f>
        <v>iQ300 İndüksiyonlu Ocak, 90cm, Çerçeveli, Siyah</v>
      </c>
      <c r="C374" s="8">
        <v>1</v>
      </c>
      <c r="D374" s="8"/>
      <c r="E374" s="9"/>
      <c r="F374" s="9">
        <v>1</v>
      </c>
      <c r="G374" s="9"/>
      <c r="H374" s="9"/>
      <c r="I374" s="10"/>
      <c r="J374" s="10">
        <v>1</v>
      </c>
      <c r="K374" s="9"/>
      <c r="L374" s="9">
        <v>1</v>
      </c>
      <c r="M374" s="10"/>
      <c r="N374" s="119">
        <f t="shared" si="14"/>
        <v>4</v>
      </c>
      <c r="O374" s="120"/>
      <c r="P374" s="68"/>
      <c r="Q374" s="126">
        <v>109283.96488584499</v>
      </c>
      <c r="R374" s="116">
        <v>103819.76664155275</v>
      </c>
      <c r="S374" s="11">
        <v>107972.55730721485</v>
      </c>
      <c r="T374" s="11">
        <v>112125.34797287697</v>
      </c>
      <c r="U374" s="122"/>
      <c r="V374" s="114"/>
      <c r="W374" s="127">
        <v>250</v>
      </c>
    </row>
    <row r="375" spans="1:24">
      <c r="A375" s="74" t="s">
        <v>1505</v>
      </c>
      <c r="B375" s="110" t="str">
        <f>IFERROR(HYPERLINK(VLOOKUP(A375,ÜRÜNLER!A:C,3,FALSE),VLOOKUP(A375,ÜRÜNLER!A:B,2,FALSE)),"")</f>
        <v>iQ700 studioLine İndüksiyonlu Ocak, 90cm, FlushMount, Siyah</v>
      </c>
      <c r="C375" s="8"/>
      <c r="D375" s="8">
        <v>2</v>
      </c>
      <c r="E375" s="9"/>
      <c r="F375" s="9"/>
      <c r="G375" s="9"/>
      <c r="H375" s="9"/>
      <c r="I375" s="10"/>
      <c r="J375" s="10"/>
      <c r="K375" s="9"/>
      <c r="L375" s="9"/>
      <c r="M375" s="10"/>
      <c r="N375" s="119">
        <f t="shared" si="14"/>
        <v>2</v>
      </c>
      <c r="O375" s="120"/>
      <c r="P375" s="68"/>
      <c r="Q375" s="141">
        <v>139656.37675294123</v>
      </c>
      <c r="R375" s="141">
        <v>125690.7390776471</v>
      </c>
      <c r="S375" s="11">
        <v>130718.36864075299</v>
      </c>
      <c r="T375" s="11">
        <v>135745.99820385888</v>
      </c>
      <c r="U375" s="122"/>
      <c r="V375" s="114"/>
      <c r="W375" s="123">
        <v>500</v>
      </c>
    </row>
    <row r="376" spans="1:24">
      <c r="A376" s="15" t="s">
        <v>358</v>
      </c>
      <c r="B376" s="110" t="str">
        <f>IFERROR(HYPERLINK(VLOOKUP(A376,ÜRÜNLER!A:C,3,FALSE),VLOOKUP(A376,ÜRÜNLER!A:B,2,FALSE)),"")</f>
        <v>iQ700 İndüksiyonlu Ocak, 90cm, Çerçeveli, Siyah</v>
      </c>
      <c r="C376" s="8">
        <v>3</v>
      </c>
      <c r="D376" s="8"/>
      <c r="E376" s="9"/>
      <c r="F376" s="9"/>
      <c r="G376" s="9"/>
      <c r="H376" s="9"/>
      <c r="I376" s="10"/>
      <c r="J376" s="10"/>
      <c r="K376" s="9"/>
      <c r="L376" s="9"/>
      <c r="M376" s="10"/>
      <c r="N376" s="119">
        <f t="shared" si="14"/>
        <v>3</v>
      </c>
      <c r="O376" s="120"/>
      <c r="P376" s="68"/>
      <c r="Q376" s="126">
        <v>117294.15944339817</v>
      </c>
      <c r="R376" s="116">
        <v>111429.45147122825</v>
      </c>
      <c r="S376" s="11">
        <v>115886.62953007738</v>
      </c>
      <c r="T376" s="11">
        <v>120343.80758892652</v>
      </c>
      <c r="U376" s="122"/>
      <c r="V376" s="114"/>
      <c r="W376" s="127">
        <v>250</v>
      </c>
    </row>
    <row r="377" spans="1:24">
      <c r="A377" s="74" t="s">
        <v>1554</v>
      </c>
      <c r="B377" s="110" t="str">
        <f>IFERROR(HYPERLINK(VLOOKUP(A377,ÜRÜNLER!A:C,3,FALSE),VLOOKUP(A377,ÜRÜNLER!A:B,2,FALSE)),"")</f>
        <v>iQ500 İndüksiyonlu Ocak, 60cm, Çerçevesiz, Siyah</v>
      </c>
      <c r="C377" s="8">
        <v>2</v>
      </c>
      <c r="D377" s="8"/>
      <c r="E377" s="9"/>
      <c r="F377" s="9"/>
      <c r="G377" s="9"/>
      <c r="H377" s="9"/>
      <c r="I377" s="10"/>
      <c r="J377" s="10"/>
      <c r="K377" s="9"/>
      <c r="L377" s="9"/>
      <c r="M377" s="10"/>
      <c r="N377" s="119">
        <f t="shared" si="14"/>
        <v>2</v>
      </c>
      <c r="O377" s="120">
        <v>1</v>
      </c>
      <c r="P377" s="68"/>
      <c r="Q377" s="126">
        <v>60450.98503808002</v>
      </c>
      <c r="R377" s="116">
        <v>57428.435786176022</v>
      </c>
      <c r="S377" s="11">
        <v>59725.573217623059</v>
      </c>
      <c r="T377" s="11">
        <v>62022.710649070104</v>
      </c>
      <c r="U377" s="122"/>
      <c r="V377" s="114"/>
      <c r="W377" s="130"/>
    </row>
    <row r="378" spans="1:24" ht="36">
      <c r="A378" s="157" t="s">
        <v>472</v>
      </c>
      <c r="B378" s="110" t="str">
        <f>IFERROR(HYPERLINK(VLOOKUP(A378,ÜRÜNLER!A:C,3,FALSE),VLOOKUP(A378,ÜRÜNLER!A:B,2,FALSE)),"")</f>
        <v/>
      </c>
      <c r="C378" s="8"/>
      <c r="D378" s="8"/>
      <c r="E378" s="9"/>
      <c r="F378" s="9"/>
      <c r="G378" s="9"/>
      <c r="H378" s="9"/>
      <c r="I378" s="10"/>
      <c r="J378" s="10"/>
      <c r="K378" s="9"/>
      <c r="L378" s="9"/>
      <c r="M378" s="10"/>
      <c r="N378" s="119">
        <f>SUM(N368:N377)</f>
        <v>24</v>
      </c>
      <c r="O378" s="120"/>
      <c r="P378" s="9"/>
      <c r="Q378" s="121"/>
      <c r="R378" s="114"/>
      <c r="S378" s="11"/>
      <c r="T378" s="11"/>
      <c r="U378" s="122"/>
      <c r="V378" s="114"/>
      <c r="W378" s="130"/>
    </row>
    <row r="379" spans="1:24">
      <c r="A379" s="74" t="s">
        <v>464</v>
      </c>
      <c r="B379" s="110" t="str">
        <f>IFERROR(HYPERLINK(VLOOKUP(A379,ÜRÜNLER!A:C,3,FALSE),VLOOKUP(A379,ÜRÜNLER!A:B,2,FALSE)),"")</f>
        <v>iQ300 Davlumbaz Entegreli İndüksiyonlu Ocak, 80cm, Çerçevesiz, Siyah</v>
      </c>
      <c r="C379" s="8">
        <v>3</v>
      </c>
      <c r="D379" s="8"/>
      <c r="E379" s="9"/>
      <c r="F379" s="9"/>
      <c r="G379" s="9"/>
      <c r="H379" s="9"/>
      <c r="I379" s="10"/>
      <c r="J379" s="10"/>
      <c r="K379" s="9"/>
      <c r="L379" s="9"/>
      <c r="M379" s="10"/>
      <c r="N379" s="119">
        <f>M379+K379+L379+J379+I379+H379+G379+F379+E379+D379+C379</f>
        <v>3</v>
      </c>
      <c r="O379" s="120">
        <v>1</v>
      </c>
      <c r="P379" s="68"/>
      <c r="Q379" s="126">
        <v>93787.453703335443</v>
      </c>
      <c r="R379" s="116">
        <v>89098.081018168668</v>
      </c>
      <c r="S379" s="11">
        <v>92662.004258895409</v>
      </c>
      <c r="T379" s="11">
        <v>96225.927499622165</v>
      </c>
      <c r="U379" s="122"/>
      <c r="V379" s="114"/>
      <c r="W379" s="127">
        <v>250</v>
      </c>
    </row>
    <row r="380" spans="1:24">
      <c r="A380" s="74" t="s">
        <v>356</v>
      </c>
      <c r="B380" s="110" t="str">
        <f>IFERROR(HYPERLINK(VLOOKUP(A380,ÜRÜNLER!A:C,3,FALSE),VLOOKUP(A380,ÜRÜNLER!A:B,2,FALSE)),"")</f>
        <v>iQ300 Davlumbaz Entegreli İndüksiyonlu Ocak, 80cm, Çerçevesiz, Siyah</v>
      </c>
      <c r="C380" s="8"/>
      <c r="D380" s="8"/>
      <c r="E380" s="9"/>
      <c r="F380" s="9"/>
      <c r="G380" s="9">
        <v>1</v>
      </c>
      <c r="H380" s="9"/>
      <c r="I380" s="10"/>
      <c r="J380" s="10"/>
      <c r="K380" s="9"/>
      <c r="L380" s="9"/>
      <c r="M380" s="10"/>
      <c r="N380" s="119">
        <f>M380+K380+L380+J380+I380+H380+G380+F380+E380+D380+C380</f>
        <v>1</v>
      </c>
      <c r="O380" s="120"/>
      <c r="P380" s="68"/>
      <c r="Q380" s="121" t="s">
        <v>1788</v>
      </c>
      <c r="R380" s="114">
        <v>80000</v>
      </c>
      <c r="S380" s="11">
        <v>83200</v>
      </c>
      <c r="T380" s="11">
        <v>86400</v>
      </c>
      <c r="U380" s="122"/>
      <c r="V380" s="114"/>
      <c r="W380" s="123">
        <v>1000</v>
      </c>
    </row>
    <row r="381" spans="1:24">
      <c r="A381" s="74" t="s">
        <v>463</v>
      </c>
      <c r="B381" s="110" t="str">
        <f>IFERROR(HYPERLINK(VLOOKUP(A381,ÜRÜNLER!A:C,3,FALSE),VLOOKUP(A381,ÜRÜNLER!A:B,2,FALSE)),"")</f>
        <v>iQ700 Davlumbaz Entegreli İndüksiyonlu Ocak, 80cm, Çerçeveli, Siyah</v>
      </c>
      <c r="C381" s="8"/>
      <c r="D381" s="8"/>
      <c r="E381" s="9"/>
      <c r="F381" s="9"/>
      <c r="G381" s="9"/>
      <c r="H381" s="9"/>
      <c r="I381" s="10"/>
      <c r="J381" s="10"/>
      <c r="K381" s="9"/>
      <c r="L381" s="9"/>
      <c r="M381" s="10"/>
      <c r="N381" s="119">
        <f>M381+K381+L381+J381+I381+H381+G381+F381+E381+D381+C381</f>
        <v>0</v>
      </c>
      <c r="O381" s="120">
        <v>1</v>
      </c>
      <c r="P381" s="68"/>
      <c r="Q381" s="126">
        <v>113169.96385183184</v>
      </c>
      <c r="R381" s="116">
        <v>107511.46565924025</v>
      </c>
      <c r="S381" s="11">
        <v>111811.92428560986</v>
      </c>
      <c r="T381" s="11">
        <v>116112.38291197947</v>
      </c>
      <c r="U381" s="122"/>
      <c r="V381" s="114"/>
      <c r="W381" s="127">
        <v>250</v>
      </c>
    </row>
    <row r="382" spans="1:24">
      <c r="A382" s="74" t="s">
        <v>355</v>
      </c>
      <c r="B382" s="110" t="str">
        <f>IFERROR(HYPERLINK(VLOOKUP(A382,ÜRÜNLER!A:C,3,FALSE),VLOOKUP(A382,ÜRÜNLER!A:B,2,FALSE)),"")</f>
        <v>iQ700 studioLine Davlumbaz Entegreli İndüksiyonlu Ocak, 80cm, Çerçeveli, Siyah</v>
      </c>
      <c r="C382" s="8"/>
      <c r="D382" s="8">
        <v>3</v>
      </c>
      <c r="E382" s="9"/>
      <c r="F382" s="9"/>
      <c r="G382" s="9"/>
      <c r="H382" s="9">
        <v>1</v>
      </c>
      <c r="I382" s="10"/>
      <c r="J382" s="10"/>
      <c r="K382" s="9"/>
      <c r="L382" s="9"/>
      <c r="M382" s="10"/>
      <c r="N382" s="119">
        <f>M382+K382+L382+J382+I382+H382+G382+F382+E382+D382+C382</f>
        <v>4</v>
      </c>
      <c r="O382" s="120"/>
      <c r="P382" s="68"/>
      <c r="Q382" s="141">
        <v>143994.38769395274</v>
      </c>
      <c r="R382" s="141">
        <v>129594.94892455747</v>
      </c>
      <c r="S382" s="11">
        <v>134778.74688153976</v>
      </c>
      <c r="T382" s="11">
        <v>139962.54483852207</v>
      </c>
      <c r="U382" s="122"/>
      <c r="V382" s="114"/>
      <c r="W382" s="127">
        <v>500</v>
      </c>
    </row>
    <row r="383" spans="1:24" s="20" customFormat="1" ht="31.5">
      <c r="A383" s="22" t="s">
        <v>359</v>
      </c>
      <c r="B383" s="110" t="str">
        <f>IFERROR(HYPERLINK(VLOOKUP(A383,ÜRÜNLER!A:C,3,FALSE),VLOOKUP(A383,ÜRÜNLER!A:B,2,FALSE)),"")</f>
        <v/>
      </c>
      <c r="C383" s="8"/>
      <c r="D383" s="8"/>
      <c r="E383" s="9"/>
      <c r="F383" s="9"/>
      <c r="G383" s="9"/>
      <c r="H383" s="9"/>
      <c r="I383" s="10"/>
      <c r="J383" s="10"/>
      <c r="K383" s="9"/>
      <c r="L383" s="9"/>
      <c r="M383" s="10"/>
      <c r="N383" s="119"/>
      <c r="O383" s="120"/>
      <c r="P383" s="9"/>
      <c r="Q383" s="121"/>
      <c r="R383" s="114"/>
      <c r="S383" s="11"/>
      <c r="T383" s="11"/>
      <c r="U383" s="158"/>
      <c r="V383" s="116"/>
      <c r="W383" s="130"/>
      <c r="X383" s="124"/>
    </row>
    <row r="384" spans="1:24">
      <c r="A384" s="15" t="s">
        <v>360</v>
      </c>
      <c r="B384" s="110" t="str">
        <f>IFERROR(HYPERLINK(VLOOKUP(A384,ÜRÜNLER!A:C,3,FALSE),VLOOKUP(A384,ÜRÜNLER!A:B,2,FALSE)),"")</f>
        <v>iQ700 Ankastre Tam Otomatik Kahve Makinesi, Siyah/Inox</v>
      </c>
      <c r="C384" s="8"/>
      <c r="D384" s="8"/>
      <c r="E384" s="9"/>
      <c r="F384" s="9"/>
      <c r="G384" s="9"/>
      <c r="H384" s="9"/>
      <c r="I384" s="10"/>
      <c r="J384" s="10"/>
      <c r="K384" s="9"/>
      <c r="L384" s="9">
        <v>1</v>
      </c>
      <c r="M384" s="10"/>
      <c r="N384" s="119">
        <f t="shared" ref="N384:N416" si="15">M384+K384+L384+J384+I384+H384+G384+F384+E384+D384+C384</f>
        <v>1</v>
      </c>
      <c r="O384" s="120"/>
      <c r="P384" s="68"/>
      <c r="Q384" s="121" t="s">
        <v>1788</v>
      </c>
      <c r="R384" s="114">
        <v>100000</v>
      </c>
      <c r="S384" s="11">
        <v>104000</v>
      </c>
      <c r="T384" s="11">
        <v>108000</v>
      </c>
      <c r="U384" s="122"/>
      <c r="V384" s="114"/>
      <c r="W384" s="123">
        <v>1000</v>
      </c>
    </row>
    <row r="385" spans="1:25">
      <c r="A385" s="15" t="s">
        <v>361</v>
      </c>
      <c r="B385" s="110" t="str">
        <f>IFERROR(HYPERLINK(VLOOKUP(A385,ÜRÜNLER!A:C,3,FALSE),VLOOKUP(A385,ÜRÜNLER!A:B,2,FALSE)),"")</f>
        <v>iQ700 Ankastre Tam Otomatik Kahve Makinesi, Siyah</v>
      </c>
      <c r="C385" s="8"/>
      <c r="D385" s="8"/>
      <c r="E385" s="9"/>
      <c r="F385" s="9">
        <v>1</v>
      </c>
      <c r="G385" s="9"/>
      <c r="H385" s="9"/>
      <c r="I385" s="10"/>
      <c r="J385" s="10"/>
      <c r="K385" s="9"/>
      <c r="L385" s="9"/>
      <c r="M385" s="10"/>
      <c r="N385" s="119">
        <f t="shared" si="15"/>
        <v>1</v>
      </c>
      <c r="O385" s="120"/>
      <c r="P385" s="68"/>
      <c r="Q385" s="126">
        <v>165596.65974594664</v>
      </c>
      <c r="R385" s="131">
        <v>165596.65974594664</v>
      </c>
      <c r="S385" s="11">
        <v>172220.52613578452</v>
      </c>
      <c r="T385" s="11">
        <v>178844.39252562239</v>
      </c>
      <c r="U385" s="122"/>
      <c r="V385" s="114"/>
      <c r="W385" s="127">
        <v>250</v>
      </c>
    </row>
    <row r="386" spans="1:25">
      <c r="A386" s="15" t="s">
        <v>362</v>
      </c>
      <c r="B386" s="110" t="str">
        <f>IFERROR(HYPERLINK(VLOOKUP(A386,ÜRÜNLER!A:C,3,FALSE),VLOOKUP(A386,ÜRÜNLER!A:B,2,FALSE)),"")</f>
        <v>iQ700 studioLine Ankastre Tam Otomatik Kahve Makinesi, Siyah</v>
      </c>
      <c r="C386" s="8"/>
      <c r="D386" s="8">
        <v>5</v>
      </c>
      <c r="E386" s="9"/>
      <c r="F386" s="9"/>
      <c r="G386" s="9"/>
      <c r="H386" s="9">
        <v>1</v>
      </c>
      <c r="I386" s="10"/>
      <c r="J386" s="10"/>
      <c r="K386" s="9"/>
      <c r="L386" s="9"/>
      <c r="M386" s="10"/>
      <c r="N386" s="119">
        <f t="shared" si="15"/>
        <v>6</v>
      </c>
      <c r="O386" s="120"/>
      <c r="P386" s="68"/>
      <c r="Q386" s="141">
        <v>186210.56655393163</v>
      </c>
      <c r="R386" s="141">
        <v>167589.50989853847</v>
      </c>
      <c r="S386" s="11">
        <v>174293.09029448</v>
      </c>
      <c r="T386" s="11">
        <v>180996.67069042154</v>
      </c>
      <c r="U386" s="122"/>
      <c r="V386" s="114"/>
      <c r="W386" s="127">
        <v>500</v>
      </c>
    </row>
    <row r="387" spans="1:25">
      <c r="A387" s="14" t="s">
        <v>363</v>
      </c>
      <c r="B387" s="110" t="str">
        <f>IFERROR(HYPERLINK(VLOOKUP(A387,ÜRÜNLER!A:C,3,FALSE),VLOOKUP(A387,ÜRÜNLER!A:B,2,FALSE)),"")</f>
        <v>EQ6 plus s100 Tam Otomatik Kahve Makinesi, Metalik Elmas Titanyum</v>
      </c>
      <c r="C387" s="8"/>
      <c r="D387" s="8"/>
      <c r="E387" s="9"/>
      <c r="F387" s="9">
        <v>5</v>
      </c>
      <c r="G387" s="9"/>
      <c r="H387" s="9"/>
      <c r="I387" s="10">
        <v>5</v>
      </c>
      <c r="J387" s="10">
        <v>1</v>
      </c>
      <c r="K387" s="9"/>
      <c r="L387" s="9">
        <v>2</v>
      </c>
      <c r="M387" s="10">
        <v>1</v>
      </c>
      <c r="N387" s="119">
        <f t="shared" si="15"/>
        <v>14</v>
      </c>
      <c r="O387" s="120">
        <v>1</v>
      </c>
      <c r="P387" s="68"/>
      <c r="Q387" s="126">
        <v>30821</v>
      </c>
      <c r="R387" s="131">
        <v>30821</v>
      </c>
      <c r="S387" s="11">
        <v>32053.84</v>
      </c>
      <c r="T387" s="11">
        <v>33286.68</v>
      </c>
      <c r="U387" s="122">
        <v>6746.38</v>
      </c>
      <c r="W387" s="130" t="s">
        <v>1776</v>
      </c>
      <c r="X387" s="124" t="s">
        <v>1785</v>
      </c>
      <c r="Y387" s="114">
        <v>29990</v>
      </c>
    </row>
    <row r="388" spans="1:25">
      <c r="A388" s="14" t="s">
        <v>364</v>
      </c>
      <c r="B388" s="110" t="str">
        <f>IFERROR(HYPERLINK(VLOOKUP(A388,ÜRÜNLER!A:C,3,FALSE),VLOOKUP(A388,ÜRÜNLER!A:B,2,FALSE)),"")</f>
        <v>EQ6 plus s100 Tam Otomatik Kahve Makinesi, Metalik Safir Siyahı</v>
      </c>
      <c r="C388" s="8"/>
      <c r="D388" s="8"/>
      <c r="E388" s="9"/>
      <c r="F388" s="9"/>
      <c r="G388" s="9"/>
      <c r="H388" s="9"/>
      <c r="I388" s="10"/>
      <c r="J388" s="10"/>
      <c r="K388" s="9">
        <v>1</v>
      </c>
      <c r="L388" s="9"/>
      <c r="M388" s="10"/>
      <c r="N388" s="119">
        <f t="shared" si="15"/>
        <v>1</v>
      </c>
      <c r="O388" s="120"/>
      <c r="P388" s="68"/>
      <c r="Q388" s="121" t="s">
        <v>1788</v>
      </c>
      <c r="R388" s="114">
        <v>22999</v>
      </c>
      <c r="S388" s="11">
        <v>23918.959999999999</v>
      </c>
      <c r="T388" s="11">
        <v>24838.92</v>
      </c>
      <c r="U388" s="122"/>
      <c r="W388" s="130">
        <v>500</v>
      </c>
      <c r="Y388" s="114"/>
    </row>
    <row r="389" spans="1:25">
      <c r="A389" s="14" t="s">
        <v>365</v>
      </c>
      <c r="B389" s="110" t="str">
        <f>IFERROR(HYPERLINK(VLOOKUP(A389,ÜRÜNLER!A:C,3,FALSE),VLOOKUP(A389,ÜRÜNLER!A:B,2,FALSE)),"")</f>
        <v>EQ6 plus s300 Tam Otomatik Kahve Makinesi, Gümüş</v>
      </c>
      <c r="C389" s="8"/>
      <c r="D389" s="8"/>
      <c r="E389" s="9"/>
      <c r="F389" s="9">
        <v>1</v>
      </c>
      <c r="G389" s="9"/>
      <c r="H389" s="9"/>
      <c r="I389" s="10"/>
      <c r="J389" s="10">
        <v>1</v>
      </c>
      <c r="K389" s="9"/>
      <c r="L389" s="9"/>
      <c r="M389" s="10">
        <v>1</v>
      </c>
      <c r="N389" s="119">
        <f t="shared" si="15"/>
        <v>3</v>
      </c>
      <c r="O389" s="120"/>
      <c r="P389" s="68"/>
      <c r="Q389" s="121" t="s">
        <v>1788</v>
      </c>
      <c r="R389" s="114">
        <v>29000</v>
      </c>
      <c r="S389" s="11">
        <v>30160</v>
      </c>
      <c r="T389" s="11">
        <v>31320</v>
      </c>
      <c r="U389" s="122"/>
      <c r="W389" s="130">
        <v>500</v>
      </c>
      <c r="Y389" s="114"/>
    </row>
    <row r="390" spans="1:25">
      <c r="A390" s="14" t="s">
        <v>366</v>
      </c>
      <c r="B390" s="110" t="str">
        <f>IFERROR(HYPERLINK(VLOOKUP(A390,ÜRÜNLER!A:C,3,FALSE),VLOOKUP(A390,ÜRÜNLER!A:B,2,FALSE)),"")</f>
        <v>EQ6 plus s500 Tam Otomatik Kahve Makinesi, Sabah Sisi Grisi</v>
      </c>
      <c r="C390" s="8">
        <v>51</v>
      </c>
      <c r="D390" s="8"/>
      <c r="E390" s="9"/>
      <c r="F390" s="9">
        <v>8</v>
      </c>
      <c r="G390" s="9"/>
      <c r="H390" s="9"/>
      <c r="I390" s="10">
        <v>5</v>
      </c>
      <c r="J390" s="10"/>
      <c r="K390" s="9"/>
      <c r="L390" s="9">
        <v>2</v>
      </c>
      <c r="M390" s="10">
        <v>2</v>
      </c>
      <c r="N390" s="119">
        <f t="shared" si="15"/>
        <v>68</v>
      </c>
      <c r="O390" s="120">
        <v>1</v>
      </c>
      <c r="P390" s="68"/>
      <c r="Q390" s="126">
        <v>46150.533752817057</v>
      </c>
      <c r="R390" s="131">
        <v>46150.533752817057</v>
      </c>
      <c r="S390" s="11">
        <v>47996.555102929742</v>
      </c>
      <c r="T390" s="11">
        <v>49842.57645304242</v>
      </c>
      <c r="U390" s="122">
        <v>8429.2099999999991</v>
      </c>
      <c r="W390" s="130" t="s">
        <v>1776</v>
      </c>
      <c r="X390" s="124" t="s">
        <v>1785</v>
      </c>
      <c r="Y390" s="114">
        <v>46990</v>
      </c>
    </row>
    <row r="391" spans="1:25">
      <c r="A391" s="14" t="s">
        <v>367</v>
      </c>
      <c r="B391" s="110" t="str">
        <f>IFERROR(HYPERLINK(VLOOKUP(A391,ÜRÜNLER!A:C,3,FALSE),VLOOKUP(A391,ÜRÜNLER!A:B,2,FALSE)),"")</f>
        <v>EQ6 plus s700 Tam Otomatik Kahve Makinesi, DarkInox/Siyah</v>
      </c>
      <c r="C391" s="8">
        <v>31</v>
      </c>
      <c r="D391" s="8"/>
      <c r="E391" s="9"/>
      <c r="F391" s="9">
        <v>27</v>
      </c>
      <c r="G391" s="9"/>
      <c r="H391" s="9"/>
      <c r="I391" s="10"/>
      <c r="J391" s="10">
        <v>1</v>
      </c>
      <c r="K391" s="9">
        <v>1</v>
      </c>
      <c r="L391" s="9">
        <v>1</v>
      </c>
      <c r="M391" s="10">
        <v>3</v>
      </c>
      <c r="N391" s="119">
        <f t="shared" si="15"/>
        <v>64</v>
      </c>
      <c r="O391" s="120">
        <v>1</v>
      </c>
      <c r="P391" s="68"/>
      <c r="Q391" s="126">
        <v>49964.129333174926</v>
      </c>
      <c r="R391" s="131">
        <v>49964.129333174926</v>
      </c>
      <c r="S391" s="11">
        <v>51962.694506501924</v>
      </c>
      <c r="T391" s="11">
        <v>53961.259679828916</v>
      </c>
      <c r="U391" s="122">
        <v>9834.5400000000009</v>
      </c>
      <c r="W391" s="130" t="s">
        <v>1776</v>
      </c>
      <c r="X391" s="124" t="s">
        <v>1785</v>
      </c>
      <c r="Y391" s="114">
        <v>49990</v>
      </c>
    </row>
    <row r="392" spans="1:25">
      <c r="A392" s="74" t="s">
        <v>368</v>
      </c>
      <c r="B392" s="110" t="str">
        <f>IFERROR(HYPERLINK(VLOOKUP(A392,ÜRÜNLER!A:C,3,FALSE),VLOOKUP(A392,ÜRÜNLER!A:B,2,FALSE)),"")</f>
        <v>EQ300 Tam Otomatik Kahve Makinesi, Siyah</v>
      </c>
      <c r="C392" s="8"/>
      <c r="D392" s="8"/>
      <c r="E392" s="9"/>
      <c r="F392" s="9"/>
      <c r="G392" s="9"/>
      <c r="H392" s="9"/>
      <c r="I392" s="10">
        <v>1</v>
      </c>
      <c r="J392" s="10"/>
      <c r="K392" s="9"/>
      <c r="L392" s="9">
        <v>2</v>
      </c>
      <c r="M392" s="10"/>
      <c r="N392" s="119">
        <f t="shared" si="15"/>
        <v>3</v>
      </c>
      <c r="O392" s="120"/>
      <c r="P392" s="68"/>
      <c r="Q392" s="121" t="s">
        <v>1788</v>
      </c>
      <c r="R392" s="114">
        <v>15999</v>
      </c>
      <c r="S392" s="11">
        <v>16638.96</v>
      </c>
      <c r="T392" s="11">
        <v>17278.919999999998</v>
      </c>
      <c r="U392" s="122"/>
      <c r="W392" s="130">
        <v>500</v>
      </c>
      <c r="Y392" s="114"/>
    </row>
    <row r="393" spans="1:25">
      <c r="A393" s="74" t="s">
        <v>369</v>
      </c>
      <c r="B393" s="110" t="str">
        <f>IFERROR(HYPERLINK(VLOOKUP(A393,ÜRÜNLER!A:C,3,FALSE),VLOOKUP(A393,ÜRÜNLER!A:B,2,FALSE)),"")</f>
        <v>EQ300 Tam Otomatik Kahve Makinesi, Şampanya/Siyah</v>
      </c>
      <c r="C393" s="8"/>
      <c r="D393" s="8"/>
      <c r="E393" s="9"/>
      <c r="F393" s="9"/>
      <c r="G393" s="9"/>
      <c r="H393" s="9"/>
      <c r="I393" s="10"/>
      <c r="J393" s="10">
        <v>1</v>
      </c>
      <c r="K393" s="9"/>
      <c r="L393" s="9">
        <v>2</v>
      </c>
      <c r="M393" s="10">
        <v>1</v>
      </c>
      <c r="N393" s="119">
        <f t="shared" si="15"/>
        <v>4</v>
      </c>
      <c r="O393" s="120"/>
      <c r="P393" s="68"/>
      <c r="Q393" s="121" t="s">
        <v>1788</v>
      </c>
      <c r="R393" s="114">
        <v>15999</v>
      </c>
      <c r="S393" s="11">
        <v>16638.96</v>
      </c>
      <c r="T393" s="11">
        <v>17278.919999999998</v>
      </c>
      <c r="U393" s="122"/>
      <c r="W393" s="130">
        <v>500</v>
      </c>
      <c r="Y393" s="114"/>
    </row>
    <row r="394" spans="1:25">
      <c r="A394" s="74" t="s">
        <v>370</v>
      </c>
      <c r="B394" s="110" t="str">
        <f>IFERROR(HYPERLINK(VLOOKUP(A394,ÜRÜNLER!A:C,3,FALSE),VLOOKUP(A394,ÜRÜNLER!A:B,2,FALSE)),"")</f>
        <v>EQ9 s300 Tam Otomatik Kahve Makinesi, Siyah</v>
      </c>
      <c r="C394" s="8"/>
      <c r="D394" s="8"/>
      <c r="E394" s="9"/>
      <c r="F394" s="9">
        <v>7</v>
      </c>
      <c r="G394" s="9"/>
      <c r="H394" s="9"/>
      <c r="I394" s="10">
        <v>1</v>
      </c>
      <c r="J394" s="10"/>
      <c r="K394" s="9"/>
      <c r="L394" s="9">
        <v>5</v>
      </c>
      <c r="M394" s="10">
        <v>1</v>
      </c>
      <c r="N394" s="119">
        <f t="shared" si="15"/>
        <v>14</v>
      </c>
      <c r="O394" s="120"/>
      <c r="P394" s="68"/>
      <c r="Q394" s="121" t="s">
        <v>1788</v>
      </c>
      <c r="R394" s="114">
        <v>49999</v>
      </c>
      <c r="S394" s="11">
        <v>51998.96</v>
      </c>
      <c r="T394" s="11">
        <v>53998.92</v>
      </c>
      <c r="U394" s="122"/>
      <c r="W394" s="130">
        <v>500</v>
      </c>
      <c r="Y394" s="114"/>
    </row>
    <row r="395" spans="1:25">
      <c r="A395" s="74" t="s">
        <v>371</v>
      </c>
      <c r="B395" s="110" t="str">
        <f>IFERROR(HYPERLINK(VLOOKUP(A395,ÜRÜNLER!A:C,3,FALSE),VLOOKUP(A395,ÜRÜNLER!A:B,2,FALSE)),"")</f>
        <v>EQ9 plus connect s500 Tam Otomatik Kahve Makinesi, Siyah</v>
      </c>
      <c r="C395" s="8"/>
      <c r="D395" s="8"/>
      <c r="E395" s="9"/>
      <c r="F395" s="9">
        <v>2</v>
      </c>
      <c r="G395" s="9"/>
      <c r="H395" s="9"/>
      <c r="I395" s="10">
        <v>1</v>
      </c>
      <c r="J395" s="10">
        <v>1</v>
      </c>
      <c r="K395" s="9"/>
      <c r="L395" s="9">
        <v>2</v>
      </c>
      <c r="M395" s="10">
        <v>1</v>
      </c>
      <c r="N395" s="119">
        <f t="shared" si="15"/>
        <v>7</v>
      </c>
      <c r="O395" s="120"/>
      <c r="P395" s="68"/>
      <c r="Q395" s="121" t="s">
        <v>1788</v>
      </c>
      <c r="R395" s="114">
        <v>59999</v>
      </c>
      <c r="S395" s="11">
        <v>62398.96</v>
      </c>
      <c r="T395" s="11">
        <v>64798.92</v>
      </c>
      <c r="U395" s="122"/>
      <c r="W395" s="130">
        <v>500</v>
      </c>
      <c r="Y395" s="114"/>
    </row>
    <row r="396" spans="1:25">
      <c r="A396" s="75" t="s">
        <v>372</v>
      </c>
      <c r="B396" s="110" t="str">
        <f>IFERROR(HYPERLINK(VLOOKUP(A396,ÜRÜNLER!A:C,3,FALSE),VLOOKUP(A396,ÜRÜNLER!A:B,2,FALSE)),"")</f>
        <v>EQ500 classic Tam Otomatik Kahve Makinesi, Piyano Siyahı</v>
      </c>
      <c r="C396" s="8"/>
      <c r="D396" s="8"/>
      <c r="E396" s="9"/>
      <c r="F396" s="9">
        <v>2</v>
      </c>
      <c r="G396" s="9"/>
      <c r="H396" s="9"/>
      <c r="I396" s="10">
        <v>3</v>
      </c>
      <c r="J396" s="10">
        <v>1</v>
      </c>
      <c r="K396" s="9"/>
      <c r="L396" s="9">
        <v>1</v>
      </c>
      <c r="M396" s="10"/>
      <c r="N396" s="119">
        <f t="shared" si="15"/>
        <v>7</v>
      </c>
      <c r="O396" s="120"/>
      <c r="P396" s="68"/>
      <c r="Q396" s="121" t="s">
        <v>1788</v>
      </c>
      <c r="R396" s="114">
        <v>21000</v>
      </c>
      <c r="S396" s="11">
        <v>21840</v>
      </c>
      <c r="T396" s="11">
        <v>22680</v>
      </c>
      <c r="U396" s="122"/>
      <c r="W396" s="130">
        <v>500</v>
      </c>
      <c r="Y396" s="114"/>
    </row>
    <row r="397" spans="1:25">
      <c r="A397" s="75" t="s">
        <v>373</v>
      </c>
      <c r="B397" s="110" t="str">
        <f>IFERROR(HYPERLINK(VLOOKUP(A397,ÜRÜNLER!A:C,3,FALSE),VLOOKUP(A397,ÜRÜNLER!A:B,2,FALSE)),"")</f>
        <v>EQ500 classic Tam Otomatik Kahve Makinesi, Piyano Siyahı</v>
      </c>
      <c r="C397" s="8"/>
      <c r="D397" s="8"/>
      <c r="E397" s="9"/>
      <c r="F397" s="9">
        <v>4</v>
      </c>
      <c r="G397" s="9"/>
      <c r="H397" s="9"/>
      <c r="I397" s="10"/>
      <c r="J397" s="10">
        <v>1</v>
      </c>
      <c r="K397" s="9"/>
      <c r="L397" s="9"/>
      <c r="M397" s="10">
        <v>1</v>
      </c>
      <c r="N397" s="119">
        <f t="shared" si="15"/>
        <v>6</v>
      </c>
      <c r="O397" s="120"/>
      <c r="P397" s="68"/>
      <c r="Q397" s="121" t="s">
        <v>1788</v>
      </c>
      <c r="R397" s="114">
        <v>19999</v>
      </c>
      <c r="S397" s="11">
        <v>20798.96</v>
      </c>
      <c r="T397" s="11">
        <v>21598.92</v>
      </c>
      <c r="U397" s="122"/>
      <c r="W397" s="130">
        <v>500</v>
      </c>
      <c r="Y397" s="114"/>
    </row>
    <row r="398" spans="1:25">
      <c r="A398" s="90" t="s">
        <v>374</v>
      </c>
      <c r="B398" s="110" t="str">
        <f>IFERROR(HYPERLINK(VLOOKUP(A398,ÜRÜNLER!A:C,3,FALSE),VLOOKUP(A398,ÜRÜNLER!A:B,2,FALSE)),"")</f>
        <v>EQ500 classic Tam Otomatik Kahve Makinesi, Metalik Inox/Gümüş</v>
      </c>
      <c r="C398" s="8"/>
      <c r="D398" s="8"/>
      <c r="E398" s="9"/>
      <c r="F398" s="9">
        <v>2</v>
      </c>
      <c r="G398" s="9"/>
      <c r="H398" s="9"/>
      <c r="I398" s="10">
        <v>1</v>
      </c>
      <c r="J398" s="10"/>
      <c r="K398" s="9"/>
      <c r="L398" s="9">
        <v>1</v>
      </c>
      <c r="M398" s="10"/>
      <c r="N398" s="119">
        <f t="shared" si="15"/>
        <v>4</v>
      </c>
      <c r="O398" s="120"/>
      <c r="P398" s="68"/>
      <c r="Q398" s="121" t="s">
        <v>1788</v>
      </c>
      <c r="R398" s="114">
        <v>19999</v>
      </c>
      <c r="S398" s="11">
        <v>20798.96</v>
      </c>
      <c r="T398" s="11">
        <v>21598.92</v>
      </c>
      <c r="U398" s="122"/>
      <c r="W398" s="130">
        <v>500</v>
      </c>
      <c r="Y398" s="114"/>
    </row>
    <row r="399" spans="1:25">
      <c r="A399" s="90" t="s">
        <v>375</v>
      </c>
      <c r="B399" s="110" t="str">
        <f>IFERROR(HYPERLINK(VLOOKUP(A399,ÜRÜNLER!A:C,3,FALSE),VLOOKUP(A399,ÜRÜNLER!A:B,2,FALSE)),"")</f>
        <v>EQ500 classic Tam Otomatik Kahve Makinesi, Sabah Sisi Grisi</v>
      </c>
      <c r="C399" s="8"/>
      <c r="D399" s="8"/>
      <c r="E399" s="9"/>
      <c r="F399" s="9">
        <v>1</v>
      </c>
      <c r="G399" s="9"/>
      <c r="H399" s="9"/>
      <c r="I399" s="10"/>
      <c r="J399" s="10"/>
      <c r="K399" s="9"/>
      <c r="L399" s="9"/>
      <c r="M399" s="10">
        <v>1</v>
      </c>
      <c r="N399" s="119">
        <f t="shared" si="15"/>
        <v>2</v>
      </c>
      <c r="O399" s="120"/>
      <c r="P399" s="68"/>
      <c r="Q399" s="121" t="s">
        <v>1788</v>
      </c>
      <c r="R399" s="114">
        <v>24999</v>
      </c>
      <c r="S399" s="11">
        <v>25998.959999999999</v>
      </c>
      <c r="T399" s="11">
        <v>26998.92</v>
      </c>
      <c r="U399" s="122"/>
      <c r="W399" s="130">
        <v>500</v>
      </c>
      <c r="Y399" s="114"/>
    </row>
    <row r="400" spans="1:25">
      <c r="A400" s="91" t="s">
        <v>376</v>
      </c>
      <c r="B400" s="110" t="str">
        <f>IFERROR(HYPERLINK(VLOOKUP(A400,ÜRÜNLER!A:C,3,FALSE),VLOOKUP(A400,ÜRÜNLER!A:B,2,FALSE)),"")</f>
        <v>EQ500 classic connect Tam Otomatik Kahve Makinesi, Inox/Siyah</v>
      </c>
      <c r="C400" s="8">
        <v>14</v>
      </c>
      <c r="D400" s="8"/>
      <c r="E400" s="9"/>
      <c r="F400" s="9">
        <v>16</v>
      </c>
      <c r="G400" s="9"/>
      <c r="H400" s="9"/>
      <c r="I400" s="10">
        <v>2</v>
      </c>
      <c r="J400" s="10"/>
      <c r="K400" s="9"/>
      <c r="L400" s="9">
        <v>1</v>
      </c>
      <c r="M400" s="10">
        <v>1</v>
      </c>
      <c r="N400" s="119">
        <f t="shared" si="15"/>
        <v>34</v>
      </c>
      <c r="O400" s="120">
        <v>1</v>
      </c>
      <c r="P400" s="68"/>
      <c r="Q400" s="126">
        <v>40793.307112641975</v>
      </c>
      <c r="R400" s="131">
        <v>40793.307112641975</v>
      </c>
      <c r="S400" s="11">
        <v>42425.039397147651</v>
      </c>
      <c r="T400" s="11">
        <v>44056.771681653336</v>
      </c>
      <c r="U400" s="122">
        <v>8691.24</v>
      </c>
      <c r="W400" s="130" t="s">
        <v>1776</v>
      </c>
      <c r="X400" s="124" t="s">
        <v>1785</v>
      </c>
      <c r="Y400" s="114">
        <v>39990</v>
      </c>
    </row>
    <row r="401" spans="1:25">
      <c r="A401" s="91" t="s">
        <v>377</v>
      </c>
      <c r="B401" s="110" t="str">
        <f>IFERROR(HYPERLINK(VLOOKUP(A401,ÜRÜNLER!A:C,3,FALSE),VLOOKUP(A401,ÜRÜNLER!A:B,2,FALSE)),"")</f>
        <v>EQ500 classic Tam Otomatik Kahve Makinesi, Inox/Siyah</v>
      </c>
      <c r="C401" s="8">
        <v>133</v>
      </c>
      <c r="D401" s="8"/>
      <c r="E401" s="9"/>
      <c r="F401" s="9">
        <v>33</v>
      </c>
      <c r="G401" s="9"/>
      <c r="H401" s="9"/>
      <c r="I401" s="10">
        <v>7</v>
      </c>
      <c r="J401" s="10">
        <v>4</v>
      </c>
      <c r="K401" s="9">
        <v>1</v>
      </c>
      <c r="L401" s="9">
        <v>1</v>
      </c>
      <c r="M401" s="10">
        <v>5</v>
      </c>
      <c r="N401" s="119">
        <f t="shared" si="15"/>
        <v>184</v>
      </c>
      <c r="O401" s="120">
        <v>46</v>
      </c>
      <c r="P401" s="68"/>
      <c r="Q401" s="126">
        <v>32099.651498472376</v>
      </c>
      <c r="R401" s="131">
        <v>32099.651498472376</v>
      </c>
      <c r="S401" s="11">
        <v>33383.637558411268</v>
      </c>
      <c r="T401" s="11">
        <v>34667.623618350168</v>
      </c>
      <c r="U401" s="122">
        <v>6419.6</v>
      </c>
      <c r="W401" s="130" t="s">
        <v>1776</v>
      </c>
      <c r="X401" s="124" t="s">
        <v>1785</v>
      </c>
      <c r="Y401" s="114">
        <v>31990</v>
      </c>
    </row>
    <row r="402" spans="1:25">
      <c r="A402" s="15" t="s">
        <v>1829</v>
      </c>
      <c r="B402" s="110" t="str">
        <f>IFERROR(HYPERLINK(VLOOKUP(A402,ÜRÜNLER!A:C,3,FALSE),VLOOKUP(A402,ÜRÜNLER!A:B,2,FALSE)),"")</f>
        <v>EQ600 iAroma Tam Otomatik Kahve Makinesi, Sabah Sisi Grisi</v>
      </c>
      <c r="C402" s="8"/>
      <c r="D402" s="8"/>
      <c r="E402" s="9"/>
      <c r="F402" s="9"/>
      <c r="G402" s="9"/>
      <c r="H402" s="9"/>
      <c r="I402" s="10"/>
      <c r="J402" s="10"/>
      <c r="K402" s="9"/>
      <c r="L402" s="9"/>
      <c r="M402" s="10"/>
      <c r="N402" s="119">
        <f t="shared" si="15"/>
        <v>0</v>
      </c>
      <c r="O402" s="120"/>
      <c r="P402" s="68"/>
      <c r="Q402" s="126">
        <v>39763.772727272728</v>
      </c>
      <c r="R402" s="131">
        <v>39763.772727272728</v>
      </c>
      <c r="S402" s="11">
        <v>41354.323636363639</v>
      </c>
      <c r="T402" s="11">
        <v>42944.874545454542</v>
      </c>
      <c r="U402" s="122"/>
      <c r="V402" s="114"/>
      <c r="W402" s="127"/>
    </row>
    <row r="403" spans="1:25">
      <c r="A403" s="15" t="s">
        <v>1827</v>
      </c>
      <c r="B403" s="110" t="str">
        <f>IFERROR(HYPERLINK(VLOOKUP(A403,ÜRÜNLER!A:C,3,FALSE),VLOOKUP(A403,ÜRÜNLER!A:B,2,FALSE)),"")</f>
        <v>EQ600 iAroma Tam Otomatik Kahve Makinesi, Siyah/Inox</v>
      </c>
      <c r="C403" s="8"/>
      <c r="D403" s="8"/>
      <c r="E403" s="9"/>
      <c r="F403" s="9"/>
      <c r="G403" s="9"/>
      <c r="H403" s="9"/>
      <c r="I403" s="10"/>
      <c r="J403" s="10"/>
      <c r="K403" s="9"/>
      <c r="L403" s="9"/>
      <c r="M403" s="10"/>
      <c r="N403" s="119">
        <f t="shared" si="15"/>
        <v>0</v>
      </c>
      <c r="O403" s="120"/>
      <c r="P403" s="68"/>
      <c r="Q403" s="126">
        <v>42150.13636363636</v>
      </c>
      <c r="R403" s="131">
        <v>42150.13636363636</v>
      </c>
      <c r="S403" s="11">
        <v>43836.141818181815</v>
      </c>
      <c r="T403" s="11">
        <v>45522.14727272727</v>
      </c>
      <c r="U403" s="122"/>
      <c r="V403" s="114"/>
      <c r="W403" s="127"/>
    </row>
    <row r="404" spans="1:25">
      <c r="A404" s="15" t="s">
        <v>1828</v>
      </c>
      <c r="B404" s="110" t="str">
        <f>IFERROR(HYPERLINK(VLOOKUP(A404,ÜRÜNLER!A:C,3,FALSE),VLOOKUP(A404,ÜRÜNLER!A:B,2,FALSE)),"")</f>
        <v>EQ600 iAroma Tam Otomatik Kahve Makinesi, Siyah/Dark Inox</v>
      </c>
      <c r="C404" s="8"/>
      <c r="D404" s="8"/>
      <c r="E404" s="9"/>
      <c r="F404" s="9"/>
      <c r="G404" s="9"/>
      <c r="H404" s="9"/>
      <c r="I404" s="10"/>
      <c r="J404" s="10"/>
      <c r="K404" s="9"/>
      <c r="L404" s="9"/>
      <c r="M404" s="10"/>
      <c r="N404" s="119">
        <f t="shared" si="15"/>
        <v>0</v>
      </c>
      <c r="O404" s="120"/>
      <c r="P404" s="68"/>
      <c r="Q404" s="126">
        <v>45331.954545454544</v>
      </c>
      <c r="R404" s="131">
        <v>45331.954545454544</v>
      </c>
      <c r="S404" s="11">
        <v>47145.232727272727</v>
      </c>
      <c r="T404" s="11">
        <v>48958.51090909091</v>
      </c>
      <c r="U404" s="122"/>
      <c r="V404" s="114"/>
      <c r="W404" s="127"/>
    </row>
    <row r="405" spans="1:25">
      <c r="A405" s="75" t="s">
        <v>378</v>
      </c>
      <c r="B405" s="110" t="str">
        <f>IFERROR(HYPERLINK(VLOOKUP(A405,ÜRÜNLER!A:C,3,FALSE),VLOOKUP(A405,ÜRÜNLER!A:B,2,FALSE)),"")</f>
        <v>EQ700 classic Tam Otomatik Kahve Makinesi, Piyano Siyahı</v>
      </c>
      <c r="C405" s="8"/>
      <c r="D405" s="8"/>
      <c r="E405" s="9"/>
      <c r="F405" s="9">
        <v>1</v>
      </c>
      <c r="G405" s="9"/>
      <c r="H405" s="9"/>
      <c r="I405" s="10"/>
      <c r="J405" s="10"/>
      <c r="K405" s="9"/>
      <c r="L405" s="9"/>
      <c r="M405" s="10"/>
      <c r="N405" s="119">
        <f t="shared" si="15"/>
        <v>1</v>
      </c>
      <c r="O405" s="120"/>
      <c r="P405" s="68"/>
      <c r="Q405" s="121" t="s">
        <v>1788</v>
      </c>
      <c r="R405" s="114">
        <v>45000</v>
      </c>
      <c r="S405" s="11">
        <v>46800</v>
      </c>
      <c r="T405" s="11">
        <v>48600</v>
      </c>
      <c r="U405" s="122"/>
      <c r="V405" s="114"/>
      <c r="W405" s="149">
        <v>500</v>
      </c>
    </row>
    <row r="406" spans="1:25">
      <c r="A406" s="90" t="s">
        <v>380</v>
      </c>
      <c r="B406" s="110" t="str">
        <f>IFERROR(HYPERLINK(VLOOKUP(A406,ÜRÜNLER!A:C,3,FALSE),VLOOKUP(A406,ÜRÜNLER!A:B,2,FALSE)),"")</f>
        <v>EQ700 classic Tam Otomatik Kahve Makinesi, Piyano Siyahı</v>
      </c>
      <c r="C406" s="8">
        <v>13</v>
      </c>
      <c r="D406" s="8"/>
      <c r="E406" s="9"/>
      <c r="F406" s="9">
        <v>7</v>
      </c>
      <c r="G406" s="9"/>
      <c r="H406" s="9"/>
      <c r="I406" s="10"/>
      <c r="J406" s="10">
        <v>1</v>
      </c>
      <c r="K406" s="9">
        <v>1</v>
      </c>
      <c r="L406" s="9"/>
      <c r="M406" s="10">
        <v>3</v>
      </c>
      <c r="N406" s="119">
        <f t="shared" si="15"/>
        <v>25</v>
      </c>
      <c r="O406" s="120"/>
      <c r="P406" s="68"/>
      <c r="Q406" s="126">
        <v>52494.176938714467</v>
      </c>
      <c r="R406" s="131">
        <v>52494.176938714467</v>
      </c>
      <c r="S406" s="11">
        <v>54593.944016263049</v>
      </c>
      <c r="T406" s="11">
        <v>56693.711093811624</v>
      </c>
      <c r="U406" s="122"/>
      <c r="V406" s="114"/>
      <c r="W406" s="130" t="s">
        <v>1776</v>
      </c>
    </row>
    <row r="407" spans="1:25">
      <c r="A407" s="74" t="s">
        <v>381</v>
      </c>
      <c r="B407" s="110" t="str">
        <f>IFERROR(HYPERLINK(VLOOKUP(A407,ÜRÜNLER!A:C,3,FALSE),VLOOKUP(A407,ÜRÜNLER!A:B,2,FALSE)),"")</f>
        <v>EQ500 integral Tam Otomatik Kahve Makinesi, Metalik Safir Siyahı</v>
      </c>
      <c r="C407" s="8"/>
      <c r="D407" s="8"/>
      <c r="E407" s="9"/>
      <c r="F407" s="9"/>
      <c r="G407" s="9"/>
      <c r="H407" s="9"/>
      <c r="I407" s="10">
        <v>1</v>
      </c>
      <c r="J407" s="10"/>
      <c r="K407" s="9">
        <v>1</v>
      </c>
      <c r="L407" s="9">
        <v>1</v>
      </c>
      <c r="M407" s="10">
        <v>1</v>
      </c>
      <c r="N407" s="119">
        <f t="shared" si="15"/>
        <v>4</v>
      </c>
      <c r="O407" s="120"/>
      <c r="P407" s="68"/>
      <c r="Q407" s="121" t="s">
        <v>1788</v>
      </c>
      <c r="R407" s="114">
        <v>24000</v>
      </c>
      <c r="S407" s="11">
        <v>24960</v>
      </c>
      <c r="T407" s="11">
        <v>25920</v>
      </c>
      <c r="U407" s="122"/>
      <c r="V407" s="114"/>
      <c r="W407" s="149">
        <v>500</v>
      </c>
    </row>
    <row r="408" spans="1:25">
      <c r="A408" s="77" t="s">
        <v>382</v>
      </c>
      <c r="B408" s="110" t="str">
        <f>IFERROR(HYPERLINK(VLOOKUP(A408,ÜRÜNLER!A:C,3,FALSE),VLOOKUP(A408,ÜRÜNLER!A:B,2,FALSE)),"")</f>
        <v>EQ500 integral Tam Otomatik Kahve Makinesi, Inox</v>
      </c>
      <c r="C408" s="8"/>
      <c r="D408" s="8"/>
      <c r="E408" s="9"/>
      <c r="F408" s="9">
        <v>1</v>
      </c>
      <c r="G408" s="9"/>
      <c r="H408" s="9"/>
      <c r="I408" s="10">
        <v>1</v>
      </c>
      <c r="J408" s="10">
        <v>1</v>
      </c>
      <c r="K408" s="9"/>
      <c r="L408" s="9">
        <v>1</v>
      </c>
      <c r="M408" s="10">
        <v>1</v>
      </c>
      <c r="N408" s="119">
        <f t="shared" si="15"/>
        <v>5</v>
      </c>
      <c r="O408" s="120"/>
      <c r="P408" s="68"/>
      <c r="Q408" s="121" t="s">
        <v>1788</v>
      </c>
      <c r="R408" s="114">
        <v>23000</v>
      </c>
      <c r="S408" s="11">
        <v>23920</v>
      </c>
      <c r="T408" s="11">
        <v>24840</v>
      </c>
      <c r="U408" s="122"/>
      <c r="V408" s="114"/>
      <c r="W408" s="149">
        <v>500</v>
      </c>
    </row>
    <row r="409" spans="1:25">
      <c r="A409" s="92" t="s">
        <v>383</v>
      </c>
      <c r="B409" s="110" t="str">
        <f>IFERROR(HYPERLINK(VLOOKUP(A409,ÜRÜNLER!A:C,3,FALSE),VLOOKUP(A409,ÜRÜNLER!A:B,2,FALSE)),"")</f>
        <v>EQ700 integral Tam Otomatik Kahve Makinesi, Metalik Inox/Gümüş</v>
      </c>
      <c r="C409" s="8"/>
      <c r="D409" s="8"/>
      <c r="E409" s="9"/>
      <c r="F409" s="9"/>
      <c r="G409" s="9">
        <v>1</v>
      </c>
      <c r="H409" s="9"/>
      <c r="I409" s="10"/>
      <c r="J409" s="10">
        <v>1</v>
      </c>
      <c r="K409" s="9"/>
      <c r="L409" s="9"/>
      <c r="M409" s="10"/>
      <c r="N409" s="119">
        <f t="shared" si="15"/>
        <v>2</v>
      </c>
      <c r="O409" s="120"/>
      <c r="P409" s="68"/>
      <c r="Q409" s="121" t="s">
        <v>1788</v>
      </c>
      <c r="R409" s="114">
        <v>39999</v>
      </c>
      <c r="S409" s="11">
        <v>41598.959999999999</v>
      </c>
      <c r="T409" s="11">
        <v>43198.92</v>
      </c>
      <c r="U409" s="122"/>
      <c r="V409" s="114"/>
      <c r="W409" s="149">
        <v>500</v>
      </c>
    </row>
    <row r="410" spans="1:25">
      <c r="A410" s="92" t="s">
        <v>384</v>
      </c>
      <c r="B410" s="110" t="str">
        <f>IFERROR(HYPERLINK(VLOOKUP(A410,ÜRÜNLER!A:C,3,FALSE),VLOOKUP(A410,ÜRÜNLER!A:B,2,FALSE)),"")</f>
        <v>EQ700 Tam Otomatik Kahve Makinesi, Paslanmaz Çelik</v>
      </c>
      <c r="C410" s="8"/>
      <c r="D410" s="8"/>
      <c r="E410" s="9"/>
      <c r="F410" s="9"/>
      <c r="G410" s="9"/>
      <c r="H410" s="9"/>
      <c r="I410" s="10"/>
      <c r="J410" s="10"/>
      <c r="K410" s="9"/>
      <c r="L410" s="9"/>
      <c r="M410" s="10">
        <v>1</v>
      </c>
      <c r="N410" s="119">
        <f t="shared" si="15"/>
        <v>1</v>
      </c>
      <c r="O410" s="120"/>
      <c r="P410" s="68"/>
      <c r="Q410" s="126">
        <v>56989.324165687103</v>
      </c>
      <c r="R410" s="131">
        <v>56989.324165687103</v>
      </c>
      <c r="S410" s="11">
        <v>59268.897132314589</v>
      </c>
      <c r="T410" s="11">
        <v>61548.470098942074</v>
      </c>
      <c r="U410" s="122"/>
      <c r="V410" s="114"/>
      <c r="W410" s="114" t="s">
        <v>1777</v>
      </c>
    </row>
    <row r="411" spans="1:25">
      <c r="A411" s="74" t="s">
        <v>385</v>
      </c>
      <c r="B411" s="110" t="str">
        <f>IFERROR(HYPERLINK(VLOOKUP(A411,ÜRÜNLER!A:C,3,FALSE),VLOOKUP(A411,ÜRÜNLER!A:B,2,FALSE)),"")</f>
        <v>EQ900 Tam Otomatik Kahve Makinesi, Paslanmaz Çelik</v>
      </c>
      <c r="C411" s="8">
        <v>19</v>
      </c>
      <c r="D411" s="8"/>
      <c r="E411" s="9"/>
      <c r="F411" s="9">
        <v>2</v>
      </c>
      <c r="G411" s="9"/>
      <c r="H411" s="9"/>
      <c r="I411" s="10">
        <v>1</v>
      </c>
      <c r="J411" s="10"/>
      <c r="K411" s="9"/>
      <c r="L411" s="9">
        <v>1</v>
      </c>
      <c r="M411" s="10">
        <v>1</v>
      </c>
      <c r="N411" s="119">
        <f t="shared" si="15"/>
        <v>24</v>
      </c>
      <c r="O411" s="120"/>
      <c r="P411" s="68"/>
      <c r="Q411" s="126">
        <v>80886.471339026728</v>
      </c>
      <c r="R411" s="131">
        <v>80886.471339026728</v>
      </c>
      <c r="S411" s="11">
        <v>84121.930192587795</v>
      </c>
      <c r="T411" s="11">
        <v>87357.389046148863</v>
      </c>
      <c r="U411" s="122"/>
      <c r="V411" s="114"/>
      <c r="W411" s="114" t="s">
        <v>1777</v>
      </c>
    </row>
    <row r="412" spans="1:25">
      <c r="A412" s="74" t="s">
        <v>386</v>
      </c>
      <c r="B412" s="110" t="str">
        <f>IFERROR(HYPERLINK(VLOOKUP(A412,ÜRÜNLER!A:C,3,FALSE),VLOOKUP(A412,ÜRÜNLER!A:B,2,FALSE)),"")</f>
        <v>EQ900 plus Tam Otomatik Kahve Makinesi, Inox</v>
      </c>
      <c r="C412" s="8">
        <v>11</v>
      </c>
      <c r="D412" s="8"/>
      <c r="E412" s="9"/>
      <c r="F412" s="9"/>
      <c r="G412" s="9"/>
      <c r="H412" s="9"/>
      <c r="I412" s="10"/>
      <c r="J412" s="10"/>
      <c r="K412" s="9"/>
      <c r="L412" s="9"/>
      <c r="M412" s="10">
        <v>1</v>
      </c>
      <c r="N412" s="119">
        <f t="shared" si="15"/>
        <v>12</v>
      </c>
      <c r="O412" s="120"/>
      <c r="P412" s="68"/>
      <c r="Q412" s="126">
        <v>101776.37741443558</v>
      </c>
      <c r="R412" s="131">
        <v>101776.37741443558</v>
      </c>
      <c r="S412" s="11">
        <v>105847.432511013</v>
      </c>
      <c r="T412" s="11">
        <v>109918.48760759043</v>
      </c>
      <c r="U412" s="122"/>
      <c r="V412" s="114"/>
      <c r="W412" s="114" t="s">
        <v>1777</v>
      </c>
    </row>
    <row r="413" spans="1:25">
      <c r="A413" s="77" t="s">
        <v>387</v>
      </c>
      <c r="B413" s="110" t="str">
        <f>IFERROR(HYPERLINK(VLOOKUP(A413,ÜRÜNLER!A:C,3,FALSE),VLOOKUP(A413,ÜRÜNLER!A:B,2,FALSE)),"")</f>
        <v>iQ700 Sıcak Tutma Çekmecesi, 60x14cm, Siyah</v>
      </c>
      <c r="C413" s="8">
        <v>1</v>
      </c>
      <c r="D413" s="8"/>
      <c r="E413" s="9"/>
      <c r="F413" s="9"/>
      <c r="G413" s="9">
        <v>1</v>
      </c>
      <c r="H413" s="9"/>
      <c r="I413" s="10">
        <v>1</v>
      </c>
      <c r="J413" s="10">
        <v>1</v>
      </c>
      <c r="K413" s="9"/>
      <c r="L413" s="9">
        <v>1</v>
      </c>
      <c r="M413" s="10"/>
      <c r="N413" s="119">
        <f t="shared" si="15"/>
        <v>5</v>
      </c>
      <c r="O413" s="120"/>
      <c r="P413" s="68"/>
      <c r="Q413" s="121" t="s">
        <v>1788</v>
      </c>
      <c r="R413" s="114">
        <v>30000</v>
      </c>
      <c r="S413" s="11">
        <v>31200</v>
      </c>
      <c r="T413" s="11">
        <v>32400</v>
      </c>
      <c r="U413" s="122"/>
      <c r="V413" s="114"/>
      <c r="W413" s="149">
        <v>500</v>
      </c>
    </row>
    <row r="414" spans="1:25">
      <c r="A414" s="77" t="s">
        <v>1498</v>
      </c>
      <c r="B414" s="110" t="str">
        <f>IFERROR(HYPERLINK(VLOOKUP(A414,ÜRÜNLER!A:C,3,FALSE),VLOOKUP(A414,ÜRÜNLER!A:B,2,FALSE)),"")</f>
        <v>iQ700 Sıcak Tutma Çekmecesi, 60x14cm, Siyah</v>
      </c>
      <c r="C414" s="8"/>
      <c r="D414" s="8"/>
      <c r="E414" s="9"/>
      <c r="F414" s="9"/>
      <c r="G414" s="9"/>
      <c r="H414" s="9"/>
      <c r="I414" s="10"/>
      <c r="J414" s="10"/>
      <c r="K414" s="9"/>
      <c r="L414" s="9"/>
      <c r="M414" s="10"/>
      <c r="N414" s="119">
        <f t="shared" si="15"/>
        <v>0</v>
      </c>
      <c r="O414" s="120">
        <v>1</v>
      </c>
      <c r="P414" s="68"/>
      <c r="Q414" s="126">
        <v>54431</v>
      </c>
      <c r="R414" s="114">
        <v>54431</v>
      </c>
      <c r="S414" s="11">
        <v>56608.24</v>
      </c>
      <c r="T414" s="11">
        <v>58785.479999999996</v>
      </c>
      <c r="U414" s="122"/>
      <c r="V414" s="114"/>
      <c r="W414" s="149">
        <v>500</v>
      </c>
    </row>
    <row r="415" spans="1:25">
      <c r="A415" s="73" t="s">
        <v>388</v>
      </c>
      <c r="B415" s="110" t="str">
        <f>IFERROR(HYPERLINK(VLOOKUP(A415,ÜRÜNLER!A:C,3,FALSE),VLOOKUP(A415,ÜRÜNLER!A:B,2,FALSE)),"")</f>
        <v>iQ700 Sıcak Tutma Çekmecesi, 60x14cm, Beyaz</v>
      </c>
      <c r="C415" s="8">
        <v>1</v>
      </c>
      <c r="D415" s="8"/>
      <c r="E415" s="9"/>
      <c r="F415" s="9"/>
      <c r="G415" s="9"/>
      <c r="H415" s="9"/>
      <c r="I415" s="10"/>
      <c r="J415" s="10"/>
      <c r="K415" s="9"/>
      <c r="L415" s="9"/>
      <c r="M415" s="10"/>
      <c r="N415" s="119">
        <f t="shared" si="15"/>
        <v>1</v>
      </c>
      <c r="O415" s="120"/>
      <c r="P415" s="68"/>
      <c r="Q415" s="121" t="s">
        <v>1788</v>
      </c>
      <c r="R415" s="114">
        <v>30000</v>
      </c>
      <c r="S415" s="11">
        <v>31200</v>
      </c>
      <c r="T415" s="11">
        <v>32400</v>
      </c>
      <c r="U415" s="122"/>
      <c r="V415" s="114"/>
      <c r="W415" s="149">
        <v>500</v>
      </c>
    </row>
    <row r="416" spans="1:25">
      <c r="A416" s="73" t="s">
        <v>389</v>
      </c>
      <c r="B416" s="110" t="str">
        <f>IFERROR(HYPERLINK(VLOOKUP(A416,ÜRÜNLER!A:C,3,FALSE),VLOOKUP(A416,ÜRÜNLER!A:B,2,FALSE)),"")</f>
        <v>iQ700 studioLine Sıcak Tutma Çekmecesi, 60x14cm, Siyah</v>
      </c>
      <c r="C416" s="8"/>
      <c r="D416" s="8">
        <v>1</v>
      </c>
      <c r="E416" s="9"/>
      <c r="F416" s="9"/>
      <c r="G416" s="9"/>
      <c r="H416" s="9">
        <v>1</v>
      </c>
      <c r="I416" s="10"/>
      <c r="J416" s="10"/>
      <c r="K416" s="9"/>
      <c r="L416" s="9"/>
      <c r="M416" s="10"/>
      <c r="N416" s="119">
        <f t="shared" si="15"/>
        <v>2</v>
      </c>
      <c r="O416" s="120"/>
      <c r="P416" s="68"/>
      <c r="Q416" s="121" t="s">
        <v>1788</v>
      </c>
      <c r="R416" s="114">
        <v>30000</v>
      </c>
      <c r="S416" s="11">
        <v>31200</v>
      </c>
      <c r="T416" s="11">
        <v>32400</v>
      </c>
      <c r="U416" s="122"/>
      <c r="V416" s="114"/>
      <c r="W416" s="149">
        <v>500</v>
      </c>
    </row>
    <row r="417" spans="1:23" ht="40.5" customHeight="1">
      <c r="A417" s="23" t="s">
        <v>392</v>
      </c>
      <c r="B417" s="110" t="str">
        <f>IFERROR(HYPERLINK(VLOOKUP(A417,ÜRÜNLER!A:C,3,FALSE),VLOOKUP(A417,ÜRÜNLER!A:B,2,FALSE)),"")</f>
        <v/>
      </c>
      <c r="C417" s="8"/>
      <c r="D417" s="8"/>
      <c r="E417" s="9"/>
      <c r="F417" s="9"/>
      <c r="G417" s="9"/>
      <c r="H417" s="9"/>
      <c r="I417" s="10"/>
      <c r="J417" s="10"/>
      <c r="K417" s="9"/>
      <c r="L417" s="9"/>
      <c r="M417" s="10"/>
      <c r="N417" s="119">
        <f>SUM(N384:N416)</f>
        <v>505</v>
      </c>
      <c r="O417" s="120"/>
      <c r="P417" s="68"/>
      <c r="R417" s="114"/>
      <c r="S417" s="11"/>
      <c r="T417" s="11"/>
      <c r="U417" s="122"/>
      <c r="V417" s="114"/>
      <c r="W417" s="159"/>
    </row>
    <row r="418" spans="1:23">
      <c r="A418" s="14" t="s">
        <v>393</v>
      </c>
      <c r="B418" s="110" t="str">
        <f>IFERROR(HYPERLINK(VLOOKUP(A418,ÜRÜNLER!A:C,3,FALSE),VLOOKUP(A418,ÜRÜNLER!A:B,2,FALSE)),"")</f>
        <v>iQ500 Dik Şarjlı Elektrik Süpürgesi</v>
      </c>
      <c r="C418" s="8">
        <v>44</v>
      </c>
      <c r="D418" s="8"/>
      <c r="E418" s="9"/>
      <c r="F418" s="9">
        <v>196</v>
      </c>
      <c r="G418" s="9"/>
      <c r="H418" s="9"/>
      <c r="I418" s="10">
        <v>17</v>
      </c>
      <c r="J418" s="10">
        <v>4</v>
      </c>
      <c r="K418" s="9">
        <v>1</v>
      </c>
      <c r="L418" s="9">
        <v>22</v>
      </c>
      <c r="M418" s="10">
        <v>5</v>
      </c>
      <c r="N418" s="119">
        <f t="shared" ref="N418:N434" si="16">M418+K418+L418+J418+I418+H418+G418+F418+E418+D418+C418</f>
        <v>289</v>
      </c>
      <c r="O418" s="120">
        <v>1</v>
      </c>
      <c r="P418" s="68"/>
      <c r="Q418" s="126">
        <v>16035.596808446544</v>
      </c>
      <c r="R418" s="114">
        <v>16035.596808446544</v>
      </c>
      <c r="S418" s="11">
        <v>16677.020680784404</v>
      </c>
      <c r="T418" s="11">
        <v>17318.444553122266</v>
      </c>
      <c r="U418" s="122"/>
      <c r="V418" s="114"/>
      <c r="W418" s="149">
        <v>500</v>
      </c>
    </row>
    <row r="419" spans="1:23">
      <c r="A419" s="14" t="s">
        <v>394</v>
      </c>
      <c r="B419" s="110" t="str">
        <f>IFERROR(HYPERLINK(VLOOKUP(A419,ÜRÜNLER!A:C,3,FALSE),VLOOKUP(A419,ÜRÜNLER!A:B,2,FALSE)),"")</f>
        <v>iQ500 Dik Şarjlı Elektrik Süpürgesi, Çift Bataryalı</v>
      </c>
      <c r="C419" s="8">
        <v>46</v>
      </c>
      <c r="D419" s="8"/>
      <c r="E419" s="9"/>
      <c r="F419" s="9">
        <v>107</v>
      </c>
      <c r="G419" s="9"/>
      <c r="H419" s="9"/>
      <c r="I419" s="10">
        <v>1</v>
      </c>
      <c r="J419" s="10">
        <v>3</v>
      </c>
      <c r="K419" s="9">
        <v>2</v>
      </c>
      <c r="L419" s="9">
        <v>2</v>
      </c>
      <c r="M419" s="10">
        <v>4</v>
      </c>
      <c r="N419" s="119">
        <f t="shared" si="16"/>
        <v>165</v>
      </c>
      <c r="O419" s="120">
        <v>1</v>
      </c>
      <c r="P419" s="68"/>
      <c r="Q419" s="126">
        <v>21917.208728307571</v>
      </c>
      <c r="R419" s="114">
        <v>21917.208728307571</v>
      </c>
      <c r="S419" s="11">
        <v>22793.897077439873</v>
      </c>
      <c r="T419" s="11">
        <v>23670.585426572175</v>
      </c>
      <c r="U419" s="122"/>
      <c r="V419" s="114"/>
      <c r="W419" s="149">
        <v>500</v>
      </c>
    </row>
    <row r="420" spans="1:23">
      <c r="A420" s="14" t="s">
        <v>395</v>
      </c>
      <c r="B420" s="110" t="str">
        <f>IFERROR(HYPERLINK(VLOOKUP(A420,ÜRÜNLER!A:C,3,FALSE),VLOOKUP(A420,ÜRÜNLER!A:B,2,FALSE)),"")</f>
        <v>iQ500 Dik Şarjlı 2'li Süpürme&amp;Silme Elektrik Süpürgesi</v>
      </c>
      <c r="C420" s="8">
        <v>70</v>
      </c>
      <c r="D420" s="8"/>
      <c r="E420" s="9"/>
      <c r="F420" s="9">
        <v>149</v>
      </c>
      <c r="G420" s="9"/>
      <c r="H420" s="9"/>
      <c r="I420" s="10">
        <v>7</v>
      </c>
      <c r="J420" s="10">
        <v>5</v>
      </c>
      <c r="K420" s="9"/>
      <c r="L420" s="9">
        <v>1</v>
      </c>
      <c r="M420" s="10">
        <v>2</v>
      </c>
      <c r="N420" s="119">
        <f t="shared" si="16"/>
        <v>234</v>
      </c>
      <c r="O420" s="120">
        <v>1</v>
      </c>
      <c r="P420" s="68"/>
      <c r="Q420" s="126">
        <v>22889.510310267811</v>
      </c>
      <c r="R420" s="114">
        <v>22889.510310267811</v>
      </c>
      <c r="S420" s="11">
        <v>23805.090722678524</v>
      </c>
      <c r="T420" s="11">
        <v>24720.671135089236</v>
      </c>
      <c r="U420" s="122"/>
      <c r="V420" s="114"/>
      <c r="W420" s="149">
        <v>500</v>
      </c>
    </row>
    <row r="421" spans="1:23">
      <c r="A421" s="14" t="s">
        <v>396</v>
      </c>
      <c r="B421" s="110" t="str">
        <f>IFERROR(HYPERLINK(VLOOKUP(A421,ÜRÜNLER!A:C,3,FALSE),VLOOKUP(A421,ÜRÜNLER!A:B,2,FALSE)),"")</f>
        <v>Toz torbalı Süpürge synchropower, 600w, Mavi</v>
      </c>
      <c r="C421" s="8"/>
      <c r="D421" s="8"/>
      <c r="E421" s="9"/>
      <c r="F421" s="9"/>
      <c r="G421" s="9">
        <v>1</v>
      </c>
      <c r="H421" s="9"/>
      <c r="I421" s="10">
        <v>4</v>
      </c>
      <c r="J421" s="10"/>
      <c r="K421" s="9"/>
      <c r="L421" s="9"/>
      <c r="M421" s="10"/>
      <c r="N421" s="119">
        <f t="shared" si="16"/>
        <v>5</v>
      </c>
      <c r="O421" s="120"/>
      <c r="P421" s="68"/>
      <c r="Q421" s="126">
        <v>7199.9210291256977</v>
      </c>
      <c r="R421" s="114">
        <v>7199.9210291256977</v>
      </c>
      <c r="S421" s="11">
        <v>7487.9178702907257</v>
      </c>
      <c r="T421" s="11">
        <v>7775.9147114557536</v>
      </c>
      <c r="U421" s="122"/>
      <c r="V421" s="114"/>
      <c r="W421" s="149">
        <v>500</v>
      </c>
    </row>
    <row r="422" spans="1:23">
      <c r="A422" s="14" t="s">
        <v>397</v>
      </c>
      <c r="B422" s="110" t="str">
        <f>IFERROR(HYPERLINK(VLOOKUP(A422,ÜRÜNLER!A:C,3,FALSE),VLOOKUP(A422,ÜRÜNLER!A:B,2,FALSE)),"")</f>
        <v>iQ300 Toz Torbalı Süpürge, 600w, Kırmızı</v>
      </c>
      <c r="C422" s="8"/>
      <c r="D422" s="8"/>
      <c r="E422" s="9"/>
      <c r="F422" s="9">
        <v>21</v>
      </c>
      <c r="G422" s="9"/>
      <c r="H422" s="9"/>
      <c r="I422" s="10">
        <v>1</v>
      </c>
      <c r="J422" s="10"/>
      <c r="K422" s="9"/>
      <c r="L422" s="9"/>
      <c r="M422" s="10">
        <v>3</v>
      </c>
      <c r="N422" s="119">
        <f t="shared" si="16"/>
        <v>25</v>
      </c>
      <c r="O422" s="120"/>
      <c r="P422" s="68"/>
      <c r="Q422" s="126">
        <v>7890.0382904480366</v>
      </c>
      <c r="R422" s="114">
        <v>7890.0382904480366</v>
      </c>
      <c r="S422" s="11">
        <v>8205.6398220659576</v>
      </c>
      <c r="T422" s="11">
        <v>8521.2413536838794</v>
      </c>
      <c r="U422" s="122"/>
      <c r="V422" s="114"/>
      <c r="W422" s="149">
        <v>500</v>
      </c>
    </row>
    <row r="423" spans="1:23">
      <c r="A423" s="82" t="s">
        <v>398</v>
      </c>
      <c r="B423" s="110" t="str">
        <f>IFERROR(HYPERLINK(VLOOKUP(A423,ÜRÜNLER!A:C,3,FALSE),VLOOKUP(A423,ÜRÜNLER!A:B,2,FALSE)),"")</f>
        <v>iQ300 Toz Torbalı Süpürge, 600w, Mavi</v>
      </c>
      <c r="C423" s="8"/>
      <c r="D423" s="8"/>
      <c r="E423" s="9"/>
      <c r="F423" s="9">
        <v>4</v>
      </c>
      <c r="G423" s="9"/>
      <c r="H423" s="9"/>
      <c r="I423" s="10">
        <v>1</v>
      </c>
      <c r="J423" s="10">
        <v>3</v>
      </c>
      <c r="K423" s="9"/>
      <c r="L423" s="9">
        <v>2</v>
      </c>
      <c r="M423" s="10">
        <v>1</v>
      </c>
      <c r="N423" s="119">
        <f t="shared" si="16"/>
        <v>11</v>
      </c>
      <c r="O423" s="120"/>
      <c r="P423" s="68"/>
      <c r="Q423" s="121" t="s">
        <v>1788</v>
      </c>
      <c r="R423" s="129">
        <v>6599</v>
      </c>
      <c r="S423" s="11">
        <v>6862.96</v>
      </c>
      <c r="T423" s="11">
        <v>7126.92</v>
      </c>
      <c r="U423" s="122"/>
      <c r="V423" s="114"/>
      <c r="W423" s="149">
        <v>500</v>
      </c>
    </row>
    <row r="424" spans="1:23">
      <c r="A424" s="82" t="s">
        <v>399</v>
      </c>
      <c r="B424" s="110" t="str">
        <f>IFERROR(HYPERLINK(VLOOKUP(A424,ÜRÜNLER!A:C,3,FALSE),VLOOKUP(A424,ÜRÜNLER!A:B,2,FALSE)),"")</f>
        <v>iQ300 Toz Torbalı Süpürge, 600w, Açık Mavi</v>
      </c>
      <c r="C424" s="8"/>
      <c r="D424" s="8"/>
      <c r="E424" s="9"/>
      <c r="F424" s="9"/>
      <c r="G424" s="9"/>
      <c r="H424" s="9"/>
      <c r="I424" s="10"/>
      <c r="J424" s="10"/>
      <c r="K424" s="9"/>
      <c r="L424" s="9"/>
      <c r="M424" s="10">
        <v>1</v>
      </c>
      <c r="N424" s="119">
        <f t="shared" si="16"/>
        <v>1</v>
      </c>
      <c r="O424" s="120"/>
      <c r="P424" s="68"/>
      <c r="Q424" s="121" t="s">
        <v>1788</v>
      </c>
      <c r="R424" s="114">
        <v>5999</v>
      </c>
      <c r="S424" s="11">
        <v>6238.96</v>
      </c>
      <c r="T424" s="11">
        <v>6478.92</v>
      </c>
      <c r="U424" s="122"/>
      <c r="V424" s="114"/>
      <c r="W424" s="149">
        <v>500</v>
      </c>
    </row>
    <row r="425" spans="1:23">
      <c r="A425" s="14" t="s">
        <v>400</v>
      </c>
      <c r="B425" s="110" t="str">
        <f>IFERROR(HYPERLINK(VLOOKUP(A425,ÜRÜNLER!A:C,3,FALSE),VLOOKUP(A425,ÜRÜNLER!A:B,2,FALSE)),"")</f>
        <v>iQ700 Toz Torbalı Süpürge, 650w, Beyaz</v>
      </c>
      <c r="C425" s="8"/>
      <c r="D425" s="8"/>
      <c r="E425" s="9"/>
      <c r="F425" s="9">
        <v>3</v>
      </c>
      <c r="G425" s="9">
        <v>5</v>
      </c>
      <c r="H425" s="9"/>
      <c r="I425" s="10">
        <v>2</v>
      </c>
      <c r="J425" s="10">
        <v>3</v>
      </c>
      <c r="K425" s="9">
        <v>2</v>
      </c>
      <c r="L425" s="9">
        <v>2</v>
      </c>
      <c r="M425" s="10">
        <v>2</v>
      </c>
      <c r="N425" s="119">
        <f t="shared" si="16"/>
        <v>19</v>
      </c>
      <c r="O425" s="120"/>
      <c r="P425" s="68"/>
      <c r="Q425" s="126">
        <v>17385.606197683526</v>
      </c>
      <c r="R425" s="126">
        <v>17385.606197683526</v>
      </c>
      <c r="S425" s="11">
        <v>18081.030445590866</v>
      </c>
      <c r="T425" s="11">
        <v>18776.45469349821</v>
      </c>
      <c r="U425" s="122"/>
      <c r="V425" s="114"/>
      <c r="W425" s="149">
        <v>500</v>
      </c>
    </row>
    <row r="426" spans="1:23">
      <c r="A426" s="14" t="s">
        <v>401</v>
      </c>
      <c r="B426" s="110" t="str">
        <f>IFERROR(HYPERLINK(VLOOKUP(A426,ÜRÜNLER!A:C,3,FALSE),VLOOKUP(A426,ÜRÜNLER!A:B,2,FALSE)),"")</f>
        <v>iQ700 Toz Torbalı Süpürge, 650w, Kırmızı</v>
      </c>
      <c r="C426" s="8"/>
      <c r="D426" s="8"/>
      <c r="E426" s="9"/>
      <c r="F426" s="9"/>
      <c r="G426" s="9"/>
      <c r="H426" s="9"/>
      <c r="I426" s="10">
        <v>1</v>
      </c>
      <c r="J426" s="10"/>
      <c r="K426" s="9"/>
      <c r="L426" s="9"/>
      <c r="M426" s="10">
        <v>1</v>
      </c>
      <c r="N426" s="119">
        <f t="shared" si="16"/>
        <v>2</v>
      </c>
      <c r="O426" s="120"/>
      <c r="P426" s="68"/>
      <c r="Q426" s="121" t="s">
        <v>1788</v>
      </c>
      <c r="R426" s="114">
        <v>10999</v>
      </c>
      <c r="S426" s="11">
        <v>11438.96</v>
      </c>
      <c r="T426" s="11">
        <v>11878.92</v>
      </c>
      <c r="U426" s="122"/>
      <c r="V426" s="114"/>
      <c r="W426" s="149">
        <v>500</v>
      </c>
    </row>
    <row r="427" spans="1:23">
      <c r="A427" s="14" t="s">
        <v>402</v>
      </c>
      <c r="B427" s="110" t="str">
        <f>IFERROR(HYPERLINK(VLOOKUP(A427,ÜRÜNLER!A:C,3,FALSE),VLOOKUP(A427,ÜRÜNLER!A:B,2,FALSE)),"")</f>
        <v>iQ300 Plus Limited Edition Toz Torbalı Elektrik Süpürgesi, 750w, Kırmızı</v>
      </c>
      <c r="C427" s="8">
        <v>4</v>
      </c>
      <c r="D427" s="8"/>
      <c r="E427" s="9"/>
      <c r="F427" s="9">
        <v>8</v>
      </c>
      <c r="G427" s="9"/>
      <c r="H427" s="9"/>
      <c r="I427" s="10">
        <v>2</v>
      </c>
      <c r="J427" s="10">
        <v>4</v>
      </c>
      <c r="K427" s="9">
        <v>2</v>
      </c>
      <c r="L427" s="9"/>
      <c r="M427" s="10">
        <v>3</v>
      </c>
      <c r="N427" s="119">
        <f t="shared" si="16"/>
        <v>23</v>
      </c>
      <c r="O427" s="120">
        <v>1</v>
      </c>
      <c r="P427" s="68"/>
      <c r="Q427" s="126">
        <v>12473.574901724722</v>
      </c>
      <c r="R427" s="126">
        <v>12473.574901724722</v>
      </c>
      <c r="S427" s="11">
        <v>12972.51789779371</v>
      </c>
      <c r="T427" s="11">
        <v>13471.460893862699</v>
      </c>
      <c r="U427" s="122"/>
      <c r="V427" s="114"/>
      <c r="W427" s="149">
        <v>500</v>
      </c>
    </row>
    <row r="428" spans="1:23">
      <c r="A428" s="74" t="s">
        <v>403</v>
      </c>
      <c r="B428" s="110" t="str">
        <f>IFERROR(HYPERLINK(VLOOKUP(A428,ÜRÜNLER!A:C,3,FALSE),VLOOKUP(A428,ÜRÜNLER!A:B,2,FALSE)),"")</f>
        <v>iQ300 Toz Torbasız Süpürge, 550w, Kırmızı</v>
      </c>
      <c r="C428" s="8">
        <v>1</v>
      </c>
      <c r="D428" s="8"/>
      <c r="E428" s="9"/>
      <c r="F428" s="9">
        <v>34</v>
      </c>
      <c r="G428" s="9"/>
      <c r="H428" s="9"/>
      <c r="I428" s="10">
        <v>4</v>
      </c>
      <c r="J428" s="10">
        <v>1</v>
      </c>
      <c r="K428" s="9">
        <v>2</v>
      </c>
      <c r="L428" s="9">
        <v>19</v>
      </c>
      <c r="M428" s="10">
        <v>2</v>
      </c>
      <c r="N428" s="119">
        <f t="shared" si="16"/>
        <v>63</v>
      </c>
      <c r="O428" s="120"/>
      <c r="P428" s="68"/>
      <c r="Q428" s="126">
        <v>9014.0958506441748</v>
      </c>
      <c r="R428" s="126">
        <v>9014.0958506441748</v>
      </c>
      <c r="S428" s="11">
        <v>9374.6596846699413</v>
      </c>
      <c r="T428" s="11">
        <v>9735.2235186957096</v>
      </c>
      <c r="U428" s="122"/>
      <c r="V428" s="114"/>
      <c r="W428" s="149">
        <v>500</v>
      </c>
    </row>
    <row r="429" spans="1:23">
      <c r="A429" s="74" t="s">
        <v>404</v>
      </c>
      <c r="B429" s="110" t="str">
        <f>IFERROR(HYPERLINK(VLOOKUP(A429,ÜRÜNLER!A:C,3,FALSE),VLOOKUP(A429,ÜRÜNLER!A:B,2,FALSE)),"")</f>
        <v>iQ300 Toz Torbasız Süpürge, 750w, Mavi</v>
      </c>
      <c r="C429" s="8">
        <v>9</v>
      </c>
      <c r="D429" s="8"/>
      <c r="E429" s="9"/>
      <c r="F429" s="9">
        <v>23</v>
      </c>
      <c r="G429" s="9"/>
      <c r="H429" s="9"/>
      <c r="I429" s="10">
        <v>1</v>
      </c>
      <c r="J429" s="10">
        <v>3</v>
      </c>
      <c r="K429" s="9">
        <v>2</v>
      </c>
      <c r="L429" s="9">
        <v>3</v>
      </c>
      <c r="M429" s="10">
        <v>1</v>
      </c>
      <c r="N429" s="119">
        <f t="shared" si="16"/>
        <v>42</v>
      </c>
      <c r="O429" s="120"/>
      <c r="P429" s="68"/>
      <c r="Q429" s="126">
        <v>11340.828006656646</v>
      </c>
      <c r="R429" s="126">
        <v>11340.828006656646</v>
      </c>
      <c r="S429" s="11">
        <v>11794.461126922912</v>
      </c>
      <c r="T429" s="11">
        <v>12248.094247189178</v>
      </c>
      <c r="U429" s="122"/>
      <c r="V429" s="114"/>
      <c r="W429" s="149">
        <v>500</v>
      </c>
    </row>
    <row r="430" spans="1:23">
      <c r="A430" s="74" t="s">
        <v>405</v>
      </c>
      <c r="B430" s="110" t="str">
        <f>IFERROR(HYPERLINK(VLOOKUP(A430,ÜRÜNLER!A:C,3,FALSE),VLOOKUP(A430,ÜRÜNLER!A:B,2,FALSE)),"")</f>
        <v>iQ500 Toz Torbasız Süpürge, 550w, Kırmızı</v>
      </c>
      <c r="C430" s="8">
        <v>35</v>
      </c>
      <c r="D430" s="8"/>
      <c r="E430" s="9"/>
      <c r="F430" s="9">
        <v>10</v>
      </c>
      <c r="G430" s="9"/>
      <c r="H430" s="9"/>
      <c r="I430" s="10">
        <v>1</v>
      </c>
      <c r="J430" s="10">
        <v>3</v>
      </c>
      <c r="K430" s="9">
        <v>1</v>
      </c>
      <c r="L430" s="9">
        <v>4</v>
      </c>
      <c r="M430" s="10">
        <v>3</v>
      </c>
      <c r="N430" s="119">
        <f t="shared" si="16"/>
        <v>57</v>
      </c>
      <c r="O430" s="120"/>
      <c r="P430" s="68"/>
      <c r="Q430" s="126">
        <v>9537.7576196999089</v>
      </c>
      <c r="R430" s="126">
        <v>9537.7576196999089</v>
      </c>
      <c r="S430" s="11">
        <v>9919.2679244879055</v>
      </c>
      <c r="T430" s="11">
        <v>10300.778229275902</v>
      </c>
      <c r="U430" s="122"/>
      <c r="V430" s="114"/>
      <c r="W430" s="149">
        <v>500</v>
      </c>
    </row>
    <row r="431" spans="1:23">
      <c r="A431" s="74" t="s">
        <v>406</v>
      </c>
      <c r="B431" s="110" t="str">
        <f>IFERROR(HYPERLINK(VLOOKUP(A431,ÜRÜNLER!A:C,3,FALSE),VLOOKUP(A431,ÜRÜNLER!A:B,2,FALSE)),"")</f>
        <v>iQ500 Toz Torbasız Süpürge, 550w, Mavi</v>
      </c>
      <c r="C431" s="8"/>
      <c r="D431" s="8"/>
      <c r="E431" s="9"/>
      <c r="F431" s="9">
        <v>1</v>
      </c>
      <c r="G431" s="9"/>
      <c r="H431" s="9"/>
      <c r="I431" s="10">
        <v>1</v>
      </c>
      <c r="J431" s="10"/>
      <c r="K431" s="9"/>
      <c r="L431" s="9">
        <v>2</v>
      </c>
      <c r="M431" s="10"/>
      <c r="N431" s="119">
        <f t="shared" si="16"/>
        <v>4</v>
      </c>
      <c r="O431" s="120"/>
      <c r="P431" s="68"/>
      <c r="Q431" s="121" t="s">
        <v>1788</v>
      </c>
      <c r="R431" s="129">
        <v>6500</v>
      </c>
      <c r="S431" s="11">
        <v>6760</v>
      </c>
      <c r="T431" s="11">
        <v>7020</v>
      </c>
      <c r="U431" s="122"/>
      <c r="V431" s="114"/>
      <c r="W431" s="149">
        <v>500</v>
      </c>
    </row>
    <row r="432" spans="1:23">
      <c r="A432" s="74" t="s">
        <v>407</v>
      </c>
      <c r="B432" s="110" t="str">
        <f>IFERROR(HYPERLINK(VLOOKUP(A432,ÜRÜNLER!A:C,3,FALSE),VLOOKUP(A432,ÜRÜNLER!A:B,2,FALSE)),"")</f>
        <v>iQ500 Toz Torbasız Elektrik Süpürgesi, 750w, Siyah</v>
      </c>
      <c r="C432" s="8">
        <v>66</v>
      </c>
      <c r="D432" s="8"/>
      <c r="E432" s="9"/>
      <c r="F432" s="9">
        <v>41</v>
      </c>
      <c r="G432" s="9"/>
      <c r="H432" s="9"/>
      <c r="I432" s="10">
        <v>12</v>
      </c>
      <c r="J432" s="10">
        <v>4</v>
      </c>
      <c r="K432" s="9">
        <v>1</v>
      </c>
      <c r="L432" s="9">
        <v>3</v>
      </c>
      <c r="M432" s="10">
        <v>4</v>
      </c>
      <c r="N432" s="119">
        <f t="shared" si="16"/>
        <v>131</v>
      </c>
      <c r="O432" s="120">
        <v>1</v>
      </c>
      <c r="P432" s="68"/>
      <c r="Q432" s="126">
        <v>12397.26916737494</v>
      </c>
      <c r="R432" s="126">
        <v>12397.26916737494</v>
      </c>
      <c r="S432" s="11">
        <v>12893.159934069938</v>
      </c>
      <c r="T432" s="11">
        <v>13389.050700764934</v>
      </c>
      <c r="U432" s="122"/>
      <c r="V432" s="114"/>
      <c r="W432" s="149">
        <v>500</v>
      </c>
    </row>
    <row r="433" spans="1:25">
      <c r="A433" s="74" t="s">
        <v>408</v>
      </c>
      <c r="B433" s="110" t="str">
        <f>IFERROR(HYPERLINK(VLOOKUP(A433,ÜRÜNLER!A:C,3,FALSE),VLOOKUP(A433,ÜRÜNLER!A:B,2,FALSE)),"")</f>
        <v>Siemens Toz Torbasız Süpürge, 600w, Kırmızı</v>
      </c>
      <c r="C433" s="8"/>
      <c r="D433" s="8"/>
      <c r="E433" s="9"/>
      <c r="F433" s="9"/>
      <c r="G433" s="9"/>
      <c r="H433" s="9"/>
      <c r="I433" s="10">
        <v>1</v>
      </c>
      <c r="J433" s="10"/>
      <c r="K433" s="9"/>
      <c r="L433" s="9"/>
      <c r="M433" s="10"/>
      <c r="N433" s="119">
        <f t="shared" si="16"/>
        <v>1</v>
      </c>
      <c r="O433" s="120"/>
      <c r="P433" s="68"/>
      <c r="Q433" s="121" t="s">
        <v>1788</v>
      </c>
      <c r="R433" s="114">
        <v>4999</v>
      </c>
      <c r="S433" s="11">
        <v>5198.96</v>
      </c>
      <c r="T433" s="11">
        <v>5398.92</v>
      </c>
      <c r="U433" s="122"/>
      <c r="V433" s="114"/>
      <c r="W433" s="149">
        <v>500</v>
      </c>
    </row>
    <row r="434" spans="1:25">
      <c r="A434" s="74" t="s">
        <v>409</v>
      </c>
      <c r="B434" s="110" t="str">
        <f>IFERROR(HYPERLINK(VLOOKUP(A434,ÜRÜNLER!A:C,3,FALSE),VLOOKUP(A434,ÜRÜNLER!A:B,2,FALSE)),"")</f>
        <v>iQ700 Toz Torbasız Elektrik Süpürgesi, 850w, Siyah</v>
      </c>
      <c r="C434" s="8">
        <v>1</v>
      </c>
      <c r="D434" s="8"/>
      <c r="E434" s="9"/>
      <c r="F434" s="9">
        <v>34</v>
      </c>
      <c r="G434" s="9"/>
      <c r="H434" s="9"/>
      <c r="I434" s="10">
        <v>6</v>
      </c>
      <c r="J434" s="10">
        <v>13</v>
      </c>
      <c r="K434" s="9">
        <v>3</v>
      </c>
      <c r="L434" s="9">
        <v>8</v>
      </c>
      <c r="M434" s="10">
        <v>3</v>
      </c>
      <c r="N434" s="119">
        <f t="shared" si="16"/>
        <v>68</v>
      </c>
      <c r="O434" s="120">
        <v>1</v>
      </c>
      <c r="P434" s="68"/>
      <c r="Q434" s="126">
        <v>21734.966643145952</v>
      </c>
      <c r="R434" s="126">
        <v>21734.966643145952</v>
      </c>
      <c r="S434" s="11">
        <v>22604.365308871791</v>
      </c>
      <c r="T434" s="11">
        <v>23473.763974597627</v>
      </c>
      <c r="U434" s="122"/>
      <c r="V434" s="114"/>
      <c r="W434" s="149">
        <v>500</v>
      </c>
    </row>
    <row r="435" spans="1:25" ht="36.75" customHeight="1">
      <c r="A435" s="23" t="s">
        <v>412</v>
      </c>
      <c r="B435" s="110" t="str">
        <f>IFERROR(HYPERLINK(VLOOKUP(A435,ÜRÜNLER!A:C,3,FALSE),VLOOKUP(A435,ÜRÜNLER!A:B,2,FALSE)),"")</f>
        <v/>
      </c>
      <c r="C435" s="8"/>
      <c r="D435" s="8"/>
      <c r="E435" s="9"/>
      <c r="F435" s="9"/>
      <c r="G435" s="9"/>
      <c r="H435" s="9"/>
      <c r="I435" s="10"/>
      <c r="J435" s="10"/>
      <c r="K435" s="9"/>
      <c r="L435" s="9"/>
      <c r="M435" s="10"/>
      <c r="N435" s="119">
        <f>SUM(N418:N434)</f>
        <v>1140</v>
      </c>
      <c r="O435" s="120"/>
      <c r="P435" s="9"/>
      <c r="R435" s="114"/>
      <c r="S435" s="11"/>
      <c r="T435" s="11"/>
      <c r="U435" s="122"/>
      <c r="V435" s="114"/>
      <c r="W435" s="130"/>
    </row>
    <row r="436" spans="1:25">
      <c r="A436" s="14" t="s">
        <v>415</v>
      </c>
      <c r="B436" s="110" t="str">
        <f>IFERROR(HYPERLINK(VLOOKUP(A436,ÜRÜNLER!A:C,3,FALSE),VLOOKUP(A436,ÜRÜNLER!A:B,2,FALSE)),"")</f>
        <v>Soğuk Su Sebili, Gri</v>
      </c>
      <c r="C436" s="8"/>
      <c r="D436" s="8"/>
      <c r="E436" s="9"/>
      <c r="F436" s="9">
        <v>1</v>
      </c>
      <c r="G436" s="9"/>
      <c r="H436" s="9"/>
      <c r="I436" s="10">
        <v>2</v>
      </c>
      <c r="J436" s="10">
        <v>1</v>
      </c>
      <c r="K436" s="9">
        <v>1</v>
      </c>
      <c r="L436" s="9">
        <v>1</v>
      </c>
      <c r="M436" s="10">
        <v>1</v>
      </c>
      <c r="N436" s="119">
        <f t="shared" ref="N436:N468" si="17">M436+K436+L436+J436+I436+H436+G436+F436+E436+D436+C436</f>
        <v>7</v>
      </c>
      <c r="O436" s="120">
        <v>1</v>
      </c>
      <c r="P436" s="68"/>
      <c r="Q436" s="126">
        <v>12135.512944202061</v>
      </c>
      <c r="R436" s="116">
        <v>14562.615533042474</v>
      </c>
      <c r="S436" s="11">
        <v>15145.120154364173</v>
      </c>
      <c r="T436" s="11">
        <v>15727.624775685872</v>
      </c>
      <c r="V436" s="114"/>
      <c r="W436" s="149">
        <v>500</v>
      </c>
      <c r="Y436" s="122" t="s">
        <v>1807</v>
      </c>
    </row>
    <row r="437" spans="1:25">
      <c r="A437" s="14" t="s">
        <v>416</v>
      </c>
      <c r="B437" s="110" t="str">
        <f>IFERROR(HYPERLINK(VLOOKUP(A437,ÜRÜNLER!A:C,3,FALSE),VLOOKUP(A437,ÜRÜNLER!A:B,2,FALSE)),"")</f>
        <v>Soğuk Su Sebili, Siyah/Gri, Dokunmatik</v>
      </c>
      <c r="C437" s="8">
        <v>9</v>
      </c>
      <c r="D437" s="8"/>
      <c r="E437" s="9"/>
      <c r="F437" s="9">
        <v>7</v>
      </c>
      <c r="G437" s="9"/>
      <c r="H437" s="9"/>
      <c r="I437" s="10"/>
      <c r="J437" s="10">
        <v>1</v>
      </c>
      <c r="K437" s="9"/>
      <c r="L437" s="9">
        <v>1</v>
      </c>
      <c r="M437" s="10">
        <v>1</v>
      </c>
      <c r="N437" s="119">
        <f t="shared" si="17"/>
        <v>19</v>
      </c>
      <c r="O437" s="120">
        <v>1</v>
      </c>
      <c r="P437" s="68"/>
      <c r="Q437" s="126">
        <v>17668.041771474731</v>
      </c>
      <c r="R437" s="116">
        <v>21201.650125769676</v>
      </c>
      <c r="S437" s="11">
        <v>22049.716130800465</v>
      </c>
      <c r="T437" s="11">
        <v>22897.78213583125</v>
      </c>
      <c r="V437" s="114"/>
      <c r="W437" s="149">
        <v>500</v>
      </c>
      <c r="Y437" s="122" t="s">
        <v>1807</v>
      </c>
    </row>
    <row r="438" spans="1:25">
      <c r="A438" s="14" t="s">
        <v>417</v>
      </c>
      <c r="B438" s="110" t="str">
        <f>IFERROR(HYPERLINK(VLOOKUP(A438,ÜRÜNLER!A:C,3,FALSE),VLOOKUP(A438,ÜRÜNLER!A:B,2,FALSE)),"")</f>
        <v>Soğuk Su Sebili, Siyah/Gri</v>
      </c>
      <c r="C438" s="8">
        <v>35</v>
      </c>
      <c r="D438" s="8"/>
      <c r="E438" s="9"/>
      <c r="F438" s="9">
        <v>1</v>
      </c>
      <c r="G438" s="9"/>
      <c r="H438" s="9"/>
      <c r="I438" s="10">
        <v>1</v>
      </c>
      <c r="J438" s="10"/>
      <c r="K438" s="9">
        <v>1</v>
      </c>
      <c r="L438" s="9"/>
      <c r="M438" s="10">
        <v>1</v>
      </c>
      <c r="N438" s="119">
        <f t="shared" si="17"/>
        <v>39</v>
      </c>
      <c r="O438" s="120">
        <v>1</v>
      </c>
      <c r="P438" s="68"/>
      <c r="Q438" s="126">
        <v>17457.966393900053</v>
      </c>
      <c r="R438" s="116">
        <v>20949.559672680065</v>
      </c>
      <c r="S438" s="11">
        <v>21787.542059587267</v>
      </c>
      <c r="T438" s="11">
        <v>22625.52444649447</v>
      </c>
      <c r="V438" s="114"/>
      <c r="W438" s="149">
        <v>500</v>
      </c>
      <c r="Y438" s="122" t="s">
        <v>1807</v>
      </c>
    </row>
    <row r="439" spans="1:25">
      <c r="A439" s="14" t="s">
        <v>418</v>
      </c>
      <c r="B439" s="110" t="str">
        <f>IFERROR(HYPERLINK(VLOOKUP(A439,ÜRÜNLER!A:C,3,FALSE),VLOOKUP(A439,ÜRÜNLER!A:B,2,FALSE)),"")</f>
        <v>Sıcak/Soğuk Su Sebili, Beyaz</v>
      </c>
      <c r="C439" s="8">
        <v>29</v>
      </c>
      <c r="D439" s="8"/>
      <c r="E439" s="9"/>
      <c r="F439" s="9"/>
      <c r="G439" s="9"/>
      <c r="H439" s="9"/>
      <c r="I439" s="10">
        <v>2</v>
      </c>
      <c r="J439" s="10">
        <v>2</v>
      </c>
      <c r="K439" s="9">
        <v>1</v>
      </c>
      <c r="L439" s="9"/>
      <c r="M439" s="10">
        <v>1</v>
      </c>
      <c r="N439" s="119">
        <f t="shared" si="17"/>
        <v>35</v>
      </c>
      <c r="O439" s="120">
        <v>1</v>
      </c>
      <c r="P439" s="68"/>
      <c r="Q439" s="126">
        <v>16162.0709903153</v>
      </c>
      <c r="R439" s="116">
        <v>19394.485188378359</v>
      </c>
      <c r="S439" s="11">
        <v>20170.264595913493</v>
      </c>
      <c r="T439" s="11">
        <v>20946.044003448627</v>
      </c>
      <c r="V439" s="114"/>
      <c r="W439" s="149">
        <v>500</v>
      </c>
      <c r="Y439" s="122" t="s">
        <v>1807</v>
      </c>
    </row>
    <row r="440" spans="1:25">
      <c r="A440" s="14" t="s">
        <v>419</v>
      </c>
      <c r="B440" s="110" t="str">
        <f>IFERROR(HYPERLINK(VLOOKUP(A440,ÜRÜNLER!A:C,3,FALSE),VLOOKUP(A440,ÜRÜNLER!A:B,2,FALSE)),"")</f>
        <v>Soğuk Su Sebili, Siyah/Gri, Sensörlü</v>
      </c>
      <c r="C440" s="8">
        <v>34</v>
      </c>
      <c r="D440" s="8"/>
      <c r="E440" s="9"/>
      <c r="F440" s="9">
        <v>10</v>
      </c>
      <c r="G440" s="9"/>
      <c r="H440" s="9"/>
      <c r="I440" s="10"/>
      <c r="J440" s="10"/>
      <c r="K440" s="9"/>
      <c r="L440" s="9"/>
      <c r="M440" s="10"/>
      <c r="N440" s="119">
        <f t="shared" si="17"/>
        <v>44</v>
      </c>
      <c r="O440" s="120">
        <v>1</v>
      </c>
      <c r="P440" s="68"/>
      <c r="Q440" s="126">
        <v>18505.986449058491</v>
      </c>
      <c r="R440" s="116">
        <v>22207.18373887019</v>
      </c>
      <c r="S440" s="11">
        <v>23095.471088424998</v>
      </c>
      <c r="T440" s="11">
        <v>23983.758437979806</v>
      </c>
      <c r="V440" s="114"/>
      <c r="W440" s="149">
        <v>500</v>
      </c>
      <c r="Y440" s="122" t="s">
        <v>1807</v>
      </c>
    </row>
    <row r="441" spans="1:25">
      <c r="A441" s="73" t="s">
        <v>390</v>
      </c>
      <c r="B441" s="110" t="str">
        <f>IFERROR(HYPERLINK(VLOOKUP(A441,ÜRÜNLER!A:C,3,FALSE),VLOOKUP(A441,ÜRÜNLER!A:B,2,FALSE)),"")</f>
        <v>Temizleme Tableti</v>
      </c>
      <c r="C441" s="8"/>
      <c r="D441" s="8"/>
      <c r="E441" s="9"/>
      <c r="F441" s="9">
        <v>66</v>
      </c>
      <c r="G441" s="9"/>
      <c r="H441" s="9"/>
      <c r="I441" s="10">
        <v>41</v>
      </c>
      <c r="J441" s="10">
        <v>26</v>
      </c>
      <c r="K441" s="9">
        <v>6</v>
      </c>
      <c r="L441" s="9">
        <v>12</v>
      </c>
      <c r="M441" s="10">
        <v>16</v>
      </c>
      <c r="N441" s="119">
        <f t="shared" si="17"/>
        <v>167</v>
      </c>
      <c r="O441" s="120"/>
      <c r="P441" s="68"/>
      <c r="Q441" s="126">
        <v>480</v>
      </c>
      <c r="R441" s="114">
        <v>650</v>
      </c>
      <c r="S441" s="11">
        <v>700</v>
      </c>
      <c r="T441" s="11">
        <v>800</v>
      </c>
      <c r="U441" s="122"/>
      <c r="V441" s="114"/>
      <c r="W441" s="130">
        <v>50</v>
      </c>
    </row>
    <row r="442" spans="1:25">
      <c r="A442" s="73" t="s">
        <v>391</v>
      </c>
      <c r="B442" s="110" t="str">
        <f>IFERROR(HYPERLINK(VLOOKUP(A442,ÜRÜNLER!A:C,3,FALSE),VLOOKUP(A442,ÜRÜNLER!A:B,2,FALSE)),"")</f>
        <v>Kireç Temizleme Tableti</v>
      </c>
      <c r="C442" s="8"/>
      <c r="D442" s="8"/>
      <c r="E442" s="9"/>
      <c r="F442" s="9"/>
      <c r="G442" s="9"/>
      <c r="H442" s="9"/>
      <c r="I442" s="10">
        <v>43</v>
      </c>
      <c r="J442" s="10">
        <v>2</v>
      </c>
      <c r="K442" s="9">
        <v>5</v>
      </c>
      <c r="L442" s="9">
        <v>10</v>
      </c>
      <c r="M442" s="10">
        <v>16</v>
      </c>
      <c r="N442" s="119">
        <f t="shared" si="17"/>
        <v>76</v>
      </c>
      <c r="O442" s="120"/>
      <c r="P442" s="68"/>
      <c r="Q442" s="126">
        <v>480</v>
      </c>
      <c r="R442" s="114">
        <v>650</v>
      </c>
      <c r="S442" s="11">
        <v>700</v>
      </c>
      <c r="T442" s="11">
        <v>800</v>
      </c>
      <c r="U442" s="122"/>
      <c r="V442" s="114"/>
      <c r="W442" s="130">
        <v>50</v>
      </c>
    </row>
    <row r="443" spans="1:25">
      <c r="A443" s="74" t="s">
        <v>201</v>
      </c>
      <c r="B443" s="110" t="str">
        <f>IFERROR(HYPERLINK(VLOOKUP(A443,ÜRÜNLER!A:C,3,FALSE),VLOOKUP(A443,ÜRÜNLER!A:B,2,FALSE)),"")</f>
        <v>3D Fry Tepsi</v>
      </c>
      <c r="C443" s="8">
        <v>21</v>
      </c>
      <c r="D443" s="8"/>
      <c r="E443" s="9"/>
      <c r="F443" s="9"/>
      <c r="G443" s="9">
        <v>12</v>
      </c>
      <c r="H443" s="9"/>
      <c r="I443" s="10">
        <v>3</v>
      </c>
      <c r="J443" s="10">
        <v>6</v>
      </c>
      <c r="K443" s="9">
        <v>2</v>
      </c>
      <c r="L443" s="9">
        <v>9</v>
      </c>
      <c r="M443" s="10">
        <v>3</v>
      </c>
      <c r="N443" s="119">
        <f t="shared" si="17"/>
        <v>56</v>
      </c>
      <c r="O443" s="120">
        <v>14</v>
      </c>
      <c r="P443" s="68"/>
      <c r="Q443" s="141">
        <v>344</v>
      </c>
      <c r="R443" s="114">
        <v>700</v>
      </c>
      <c r="S443" s="11">
        <v>700</v>
      </c>
      <c r="T443" s="11">
        <v>800</v>
      </c>
      <c r="U443" s="122"/>
      <c r="V443" s="114"/>
      <c r="W443" s="149">
        <v>100</v>
      </c>
    </row>
    <row r="444" spans="1:25">
      <c r="A444" s="74" t="s">
        <v>202</v>
      </c>
      <c r="B444" s="110" t="str">
        <f>IFERROR(HYPERLINK(VLOOKUP(A444,ÜRÜNLER!A:C,3,FALSE),VLOOKUP(A444,ÜRÜNLER!A:B,2,FALSE)),"")</f>
        <v>Siemens starter kit unducted recirculation</v>
      </c>
      <c r="C444" s="8">
        <v>2</v>
      </c>
      <c r="D444" s="8"/>
      <c r="E444" s="9"/>
      <c r="F444" s="9"/>
      <c r="G444" s="9"/>
      <c r="H444" s="9"/>
      <c r="I444" s="10"/>
      <c r="J444" s="10"/>
      <c r="K444" s="9"/>
      <c r="L444" s="9"/>
      <c r="M444" s="10"/>
      <c r="N444" s="119">
        <f t="shared" si="17"/>
        <v>2</v>
      </c>
      <c r="O444" s="120"/>
      <c r="P444" s="68"/>
      <c r="Q444" s="126">
        <v>420</v>
      </c>
      <c r="R444" s="114">
        <v>750</v>
      </c>
      <c r="S444" s="11">
        <v>850</v>
      </c>
      <c r="T444" s="11">
        <v>900</v>
      </c>
      <c r="U444" s="122"/>
      <c r="V444" s="114"/>
      <c r="W444" s="149">
        <v>100</v>
      </c>
    </row>
    <row r="445" spans="1:25">
      <c r="A445" s="74" t="s">
        <v>410</v>
      </c>
      <c r="B445" s="110" t="str">
        <f>IFERROR(HYPERLINK(VLOOKUP(A445,ÜRÜNLER!A:C,3,FALSE),VLOOKUP(A445,ÜRÜNLER!A:B,2,FALSE)),"")</f>
        <v>Siemens Elektrikli Süpürgeler için Toz Torbası (P Tip) 4'lü Paket</v>
      </c>
      <c r="C445" s="8"/>
      <c r="D445" s="8"/>
      <c r="E445" s="9"/>
      <c r="F445" s="9"/>
      <c r="G445" s="9"/>
      <c r="H445" s="9"/>
      <c r="I445" s="10">
        <v>6</v>
      </c>
      <c r="J445" s="10"/>
      <c r="K445" s="9"/>
      <c r="L445" s="9"/>
      <c r="M445" s="10"/>
      <c r="N445" s="119">
        <f t="shared" si="17"/>
        <v>6</v>
      </c>
      <c r="O445" s="120"/>
      <c r="P445" s="68"/>
      <c r="R445" s="114">
        <v>550</v>
      </c>
      <c r="S445" s="11">
        <v>600</v>
      </c>
      <c r="T445" s="11">
        <v>650</v>
      </c>
      <c r="U445" s="122"/>
      <c r="V445" s="114"/>
      <c r="W445" s="149">
        <v>100</v>
      </c>
    </row>
    <row r="446" spans="1:25">
      <c r="A446" s="74" t="s">
        <v>411</v>
      </c>
      <c r="B446" s="110" t="str">
        <f>IFERROR(HYPERLINK(VLOOKUP(A446,ÜRÜNLER!A:C,3,FALSE),VLOOKUP(A446,ÜRÜNLER!A:B,2,FALSE)),"")</f>
        <v>Elektrik Süpürgesi Toz Torbası 4'lü</v>
      </c>
      <c r="C446" s="8">
        <v>2</v>
      </c>
      <c r="D446" s="8"/>
      <c r="E446" s="9"/>
      <c r="F446" s="9"/>
      <c r="G446" s="9"/>
      <c r="H446" s="9"/>
      <c r="I446" s="10">
        <v>62</v>
      </c>
      <c r="J446" s="10">
        <v>51</v>
      </c>
      <c r="K446" s="9">
        <v>54</v>
      </c>
      <c r="L446" s="9">
        <v>5</v>
      </c>
      <c r="M446" s="10">
        <v>46</v>
      </c>
      <c r="N446" s="119">
        <f t="shared" si="17"/>
        <v>220</v>
      </c>
      <c r="O446" s="120">
        <v>1</v>
      </c>
      <c r="P446" s="68"/>
      <c r="Q446" s="126">
        <v>328</v>
      </c>
      <c r="R446" s="114">
        <v>550</v>
      </c>
      <c r="S446" s="11">
        <v>600</v>
      </c>
      <c r="T446" s="11">
        <v>650</v>
      </c>
      <c r="U446" s="122"/>
      <c r="V446" s="114"/>
      <c r="W446" s="149">
        <v>100</v>
      </c>
    </row>
    <row r="447" spans="1:25">
      <c r="A447" s="74" t="s">
        <v>413</v>
      </c>
      <c r="B447" s="110" t="str">
        <f>IFERROR(HYPERLINK(VLOOKUP(A447,ÜRÜNLER!A:C,3,FALSE),VLOOKUP(A447,ÜRÜNLER!A:B,2,FALSE)),"")</f>
        <v>Siemens Trifaze Ani Su Isıtıcı</v>
      </c>
      <c r="C447" s="8"/>
      <c r="D447" s="8"/>
      <c r="E447" s="9"/>
      <c r="F447" s="9"/>
      <c r="G447" s="9"/>
      <c r="H447" s="9"/>
      <c r="I447" s="10"/>
      <c r="J447" s="10"/>
      <c r="K447" s="9"/>
      <c r="L447" s="9">
        <v>1</v>
      </c>
      <c r="M447" s="10"/>
      <c r="N447" s="119">
        <f t="shared" si="17"/>
        <v>1</v>
      </c>
      <c r="O447" s="120"/>
      <c r="P447" s="68"/>
      <c r="R447" s="114">
        <v>39999</v>
      </c>
      <c r="S447" s="11">
        <v>41598.959999999999</v>
      </c>
      <c r="T447" s="11">
        <v>43198.92</v>
      </c>
      <c r="U447" s="122"/>
      <c r="V447" s="114"/>
      <c r="W447" s="127">
        <v>250</v>
      </c>
    </row>
    <row r="448" spans="1:25">
      <c r="A448" s="74" t="s">
        <v>414</v>
      </c>
      <c r="B448" s="110" t="str">
        <f>IFERROR(HYPERLINK(VLOOKUP(A448,ÜRÜNLER!A:C,3,FALSE),VLOOKUP(A448,ÜRÜNLER!A:B,2,FALSE)),"")</f>
        <v>Siemens Trifaze Ani Su Isıtıcı</v>
      </c>
      <c r="C448" s="8"/>
      <c r="D448" s="8"/>
      <c r="E448" s="9"/>
      <c r="F448" s="9"/>
      <c r="G448" s="9">
        <v>1</v>
      </c>
      <c r="H448" s="9"/>
      <c r="I448" s="10"/>
      <c r="J448" s="10"/>
      <c r="K448" s="9"/>
      <c r="L448" s="9"/>
      <c r="M448" s="10"/>
      <c r="N448" s="119">
        <f t="shared" si="17"/>
        <v>1</v>
      </c>
      <c r="O448" s="120"/>
      <c r="P448" s="68"/>
      <c r="R448" s="114">
        <v>49999</v>
      </c>
      <c r="S448" s="11">
        <v>51998.96</v>
      </c>
      <c r="T448" s="11">
        <v>53998.92</v>
      </c>
      <c r="U448" s="122"/>
      <c r="V448" s="114"/>
      <c r="W448" s="127">
        <v>250</v>
      </c>
    </row>
    <row r="449" spans="1:23">
      <c r="A449" s="74" t="s">
        <v>420</v>
      </c>
      <c r="B449" s="110" t="str">
        <f>IFERROR(HYPERLINK(VLOOKUP(A449,ÜRÜNLER!A:C,3,FALSE),VLOOKUP(A449,ÜRÜNLER!A:B,2,FALSE)),"")</f>
        <v>Siemens Çay Makinesi</v>
      </c>
      <c r="C449" s="8"/>
      <c r="D449" s="8"/>
      <c r="E449" s="9"/>
      <c r="F449" s="9"/>
      <c r="G449" s="9"/>
      <c r="H449" s="9"/>
      <c r="I449" s="10">
        <v>3</v>
      </c>
      <c r="J449" s="10">
        <v>1</v>
      </c>
      <c r="K449" s="9"/>
      <c r="L449" s="9">
        <v>1</v>
      </c>
      <c r="M449" s="10">
        <v>1</v>
      </c>
      <c r="N449" s="119">
        <f t="shared" si="17"/>
        <v>6</v>
      </c>
      <c r="O449" s="120"/>
      <c r="P449" s="68"/>
      <c r="R449" s="114">
        <v>3999</v>
      </c>
      <c r="S449" s="11">
        <v>4158.96</v>
      </c>
      <c r="T449" s="11">
        <v>4318.92</v>
      </c>
      <c r="U449" s="122"/>
      <c r="V449" s="114"/>
      <c r="W449" s="127">
        <v>50</v>
      </c>
    </row>
    <row r="450" spans="1:23">
      <c r="A450" s="74" t="s">
        <v>421</v>
      </c>
      <c r="B450" s="110" t="str">
        <f>IFERROR(HYPERLINK(VLOOKUP(A450,ÜRÜNLER!A:C,3,FALSE),VLOOKUP(A450,ÜRÜNLER!A:B,2,FALSE)),"")</f>
        <v>Siemens Filtre Kahve Makinesi</v>
      </c>
      <c r="C450" s="8"/>
      <c r="D450" s="8"/>
      <c r="E450" s="9"/>
      <c r="F450" s="9"/>
      <c r="G450" s="9"/>
      <c r="H450" s="9"/>
      <c r="I450" s="10">
        <v>1</v>
      </c>
      <c r="J450" s="10"/>
      <c r="K450" s="9"/>
      <c r="L450" s="9"/>
      <c r="M450" s="10"/>
      <c r="N450" s="119">
        <f t="shared" si="17"/>
        <v>1</v>
      </c>
      <c r="O450" s="120"/>
      <c r="P450" s="68"/>
      <c r="R450" s="114">
        <v>4999</v>
      </c>
      <c r="S450" s="11">
        <v>5198.96</v>
      </c>
      <c r="T450" s="11">
        <v>5398.92</v>
      </c>
      <c r="U450" s="122"/>
      <c r="V450" s="114"/>
      <c r="W450" s="127">
        <v>50</v>
      </c>
    </row>
    <row r="451" spans="1:23">
      <c r="A451" s="74" t="s">
        <v>422</v>
      </c>
      <c r="B451" s="110" t="str">
        <f>IFERROR(HYPERLINK(VLOOKUP(A451,ÜRÜNLER!A:C,3,FALSE),VLOOKUP(A451,ÜRÜNLER!A:B,2,FALSE)),"")</f>
        <v>Siemens El Blenderı ergonomicEdition, 600w, Beyaz/Mavi</v>
      </c>
      <c r="C451" s="8"/>
      <c r="D451" s="8"/>
      <c r="E451" s="9"/>
      <c r="F451" s="9"/>
      <c r="G451" s="9"/>
      <c r="H451" s="9"/>
      <c r="I451" s="10">
        <v>2</v>
      </c>
      <c r="J451" s="10"/>
      <c r="K451" s="9"/>
      <c r="L451" s="9"/>
      <c r="M451" s="10"/>
      <c r="N451" s="119">
        <f t="shared" si="17"/>
        <v>2</v>
      </c>
      <c r="O451" s="120"/>
      <c r="P451" s="68"/>
      <c r="R451" s="114">
        <v>1999</v>
      </c>
      <c r="S451" s="11">
        <v>2078.96</v>
      </c>
      <c r="T451" s="11">
        <v>2158.92</v>
      </c>
      <c r="U451" s="122"/>
      <c r="V451" s="114"/>
      <c r="W451" s="127">
        <v>50</v>
      </c>
    </row>
    <row r="452" spans="1:23">
      <c r="A452" s="74" t="s">
        <v>423</v>
      </c>
      <c r="B452" s="110" t="str">
        <f>IFERROR(HYPERLINK(VLOOKUP(A452,ÜRÜNLER!A:C,3,FALSE),VLOOKUP(A452,ÜRÜNLER!A:B,2,FALSE)),"")</f>
        <v>Siemens El Blenderı, 600w, Beyaz/Mavi</v>
      </c>
      <c r="C452" s="8"/>
      <c r="D452" s="8"/>
      <c r="E452" s="9"/>
      <c r="F452" s="9"/>
      <c r="G452" s="9"/>
      <c r="H452" s="9"/>
      <c r="I452" s="10">
        <v>1</v>
      </c>
      <c r="J452" s="10"/>
      <c r="K452" s="9"/>
      <c r="L452" s="9"/>
      <c r="M452" s="10"/>
      <c r="N452" s="119">
        <f t="shared" si="17"/>
        <v>1</v>
      </c>
      <c r="O452" s="120"/>
      <c r="P452" s="68"/>
      <c r="R452" s="114">
        <v>2499</v>
      </c>
      <c r="S452" s="11">
        <v>2598.96</v>
      </c>
      <c r="T452" s="11">
        <v>2698.92</v>
      </c>
      <c r="U452" s="122"/>
      <c r="V452" s="114"/>
      <c r="W452" s="127">
        <v>50</v>
      </c>
    </row>
    <row r="453" spans="1:23">
      <c r="A453" s="74" t="s">
        <v>424</v>
      </c>
      <c r="B453" s="110" t="str">
        <f>IFERROR(HYPERLINK(VLOOKUP(A453,ÜRÜNLER!A:C,3,FALSE),VLOOKUP(A453,ÜRÜNLER!A:B,2,FALSE)),"")</f>
        <v>Siemens El Blenderı FQ.1, 750w, Siyah/Gri</v>
      </c>
      <c r="C453" s="8"/>
      <c r="D453" s="8"/>
      <c r="E453" s="9"/>
      <c r="F453" s="9"/>
      <c r="G453" s="9"/>
      <c r="H453" s="9"/>
      <c r="I453" s="10">
        <v>2</v>
      </c>
      <c r="J453" s="10"/>
      <c r="K453" s="9"/>
      <c r="L453" s="9"/>
      <c r="M453" s="10"/>
      <c r="N453" s="119">
        <f t="shared" si="17"/>
        <v>2</v>
      </c>
      <c r="O453" s="120"/>
      <c r="P453" s="68"/>
      <c r="R453" s="114">
        <v>1999</v>
      </c>
      <c r="S453" s="11">
        <v>2078.96</v>
      </c>
      <c r="T453" s="11">
        <v>2158.92</v>
      </c>
      <c r="U453" s="122"/>
      <c r="V453" s="114"/>
      <c r="W453" s="127">
        <v>50</v>
      </c>
    </row>
    <row r="454" spans="1:23">
      <c r="A454" s="74" t="s">
        <v>426</v>
      </c>
      <c r="B454" s="110" t="str">
        <f>IFERROR(HYPERLINK(VLOOKUP(A454,ÜRÜNLER!A:C,3,FALSE),VLOOKUP(A454,ÜRÜNLER!A:B,2,FALSE)),"")</f>
        <v>Siemens El Mikseri, 450w, Beyaz/Antrasit</v>
      </c>
      <c r="C454" s="8"/>
      <c r="D454" s="8"/>
      <c r="E454" s="9"/>
      <c r="F454" s="9"/>
      <c r="G454" s="9"/>
      <c r="H454" s="9"/>
      <c r="I454" s="10">
        <v>1</v>
      </c>
      <c r="J454" s="10"/>
      <c r="K454" s="9"/>
      <c r="L454" s="9"/>
      <c r="M454" s="10"/>
      <c r="N454" s="119">
        <f t="shared" si="17"/>
        <v>1</v>
      </c>
      <c r="O454" s="120"/>
      <c r="P454" s="68"/>
      <c r="R454" s="114">
        <v>999</v>
      </c>
      <c r="S454" s="11">
        <v>1038.96</v>
      </c>
      <c r="T454" s="11">
        <v>1078.92</v>
      </c>
      <c r="U454" s="122"/>
      <c r="V454" s="114"/>
      <c r="W454" s="127">
        <v>50</v>
      </c>
    </row>
    <row r="455" spans="1:23">
      <c r="A455" s="74" t="s">
        <v>427</v>
      </c>
      <c r="B455" s="110" t="str">
        <f>IFERROR(HYPERLINK(VLOOKUP(A455,ÜRÜNLER!A:C,3,FALSE),VLOOKUP(A455,ÜRÜNLER!A:B,2,FALSE)),"")</f>
        <v>Siemens El Mikseri, 450w, Beyaz/Mavi</v>
      </c>
      <c r="C455" s="8"/>
      <c r="D455" s="8"/>
      <c r="E455" s="9"/>
      <c r="F455" s="9"/>
      <c r="G455" s="9"/>
      <c r="H455" s="9"/>
      <c r="I455" s="10">
        <v>1</v>
      </c>
      <c r="J455" s="10"/>
      <c r="K455" s="9"/>
      <c r="L455" s="9"/>
      <c r="M455" s="10"/>
      <c r="N455" s="119">
        <f t="shared" si="17"/>
        <v>1</v>
      </c>
      <c r="O455" s="120"/>
      <c r="P455" s="68"/>
      <c r="R455" s="114">
        <v>1499</v>
      </c>
      <c r="S455" s="11">
        <v>1558.96</v>
      </c>
      <c r="T455" s="11">
        <v>1618.92</v>
      </c>
      <c r="U455" s="122"/>
      <c r="V455" s="114"/>
      <c r="W455" s="127">
        <v>50</v>
      </c>
    </row>
    <row r="456" spans="1:23">
      <c r="A456" s="74" t="s">
        <v>428</v>
      </c>
      <c r="B456" s="110" t="str">
        <f>IFERROR(HYPERLINK(VLOOKUP(A456,ÜRÜNLER!A:C,3,FALSE),VLOOKUP(A456,ÜRÜNLER!A:B,2,FALSE)),"")</f>
        <v>El Mikser Seti, 500w, Siyah</v>
      </c>
      <c r="C456" s="8"/>
      <c r="D456" s="8"/>
      <c r="E456" s="9"/>
      <c r="F456" s="9"/>
      <c r="G456" s="9"/>
      <c r="H456" s="9"/>
      <c r="I456" s="10">
        <v>3</v>
      </c>
      <c r="J456" s="10"/>
      <c r="K456" s="9"/>
      <c r="L456" s="9"/>
      <c r="M456" s="10"/>
      <c r="N456" s="119">
        <f t="shared" si="17"/>
        <v>3</v>
      </c>
      <c r="O456" s="120"/>
      <c r="P456" s="68"/>
      <c r="R456" s="114">
        <v>2999</v>
      </c>
      <c r="S456" s="11">
        <v>3118.96</v>
      </c>
      <c r="T456" s="11">
        <v>3238.92</v>
      </c>
      <c r="U456" s="122"/>
      <c r="V456" s="114"/>
      <c r="W456" s="127">
        <v>50</v>
      </c>
    </row>
    <row r="457" spans="1:23">
      <c r="A457" s="74" t="s">
        <v>432</v>
      </c>
      <c r="B457" s="110" t="str">
        <f>IFERROR(HYPERLINK(VLOOKUP(A457,ÜRÜNLER!A:C,3,FALSE),VLOOKUP(A457,ÜRÜNLER!A:B,2,FALSE)),"")</f>
        <v>Siemens Buzdolabı Kulpu 79cm, Inox</v>
      </c>
      <c r="C457" s="8">
        <v>1</v>
      </c>
      <c r="D457" s="8"/>
      <c r="E457" s="9"/>
      <c r="F457" s="9"/>
      <c r="G457" s="9"/>
      <c r="H457" s="9"/>
      <c r="I457" s="10"/>
      <c r="J457" s="10"/>
      <c r="K457" s="9"/>
      <c r="L457" s="9">
        <v>4</v>
      </c>
      <c r="M457" s="10"/>
      <c r="N457" s="119">
        <f t="shared" si="17"/>
        <v>5</v>
      </c>
      <c r="O457" s="120"/>
      <c r="P457" s="68"/>
      <c r="R457" s="114">
        <v>24999</v>
      </c>
      <c r="S457" s="11">
        <v>25998.959999999999</v>
      </c>
      <c r="T457" s="11">
        <v>26998.92</v>
      </c>
      <c r="U457" s="122"/>
      <c r="V457" s="114"/>
      <c r="W457" s="127">
        <v>250</v>
      </c>
    </row>
    <row r="458" spans="1:23">
      <c r="A458" s="74" t="s">
        <v>433</v>
      </c>
      <c r="B458" s="110" t="str">
        <f>IFERROR(HYPERLINK(VLOOKUP(A458,ÜRÜNLER!A:C,3,FALSE),VLOOKUP(A458,ÜRÜNLER!A:B,2,FALSE)),"")</f>
        <v>Siemens Buzdolabı Kulpu</v>
      </c>
      <c r="C458" s="8"/>
      <c r="D458" s="8"/>
      <c r="E458" s="9"/>
      <c r="F458" s="9"/>
      <c r="G458" s="9"/>
      <c r="H458" s="9"/>
      <c r="I458" s="10"/>
      <c r="J458" s="10">
        <v>1</v>
      </c>
      <c r="K458" s="9"/>
      <c r="L458" s="9">
        <v>1</v>
      </c>
      <c r="M458" s="10"/>
      <c r="N458" s="119">
        <f t="shared" si="17"/>
        <v>2</v>
      </c>
      <c r="O458" s="120"/>
      <c r="P458" s="68"/>
      <c r="R458" s="114">
        <v>6148.9750000000004</v>
      </c>
      <c r="S458" s="11">
        <v>6394.9340000000002</v>
      </c>
      <c r="T458" s="11">
        <v>6640.893</v>
      </c>
      <c r="U458" s="122"/>
      <c r="V458" s="114"/>
      <c r="W458" s="127">
        <v>250</v>
      </c>
    </row>
    <row r="459" spans="1:23">
      <c r="A459" s="74" t="s">
        <v>434</v>
      </c>
      <c r="B459" s="110" t="str">
        <f>IFERROR(HYPERLINK(VLOOKUP(A459,ÜRÜNLER!A:C,3,FALSE),VLOOKUP(A459,ÜRÜNLER!A:B,2,FALSE)),"")</f>
        <v>Siemens Buzdolabı Kulpu</v>
      </c>
      <c r="C459" s="8">
        <v>5</v>
      </c>
      <c r="D459" s="8">
        <v>4</v>
      </c>
      <c r="E459" s="9"/>
      <c r="F459" s="9"/>
      <c r="G459" s="9"/>
      <c r="H459" s="9"/>
      <c r="I459" s="10"/>
      <c r="J459" s="10"/>
      <c r="K459" s="9"/>
      <c r="L459" s="9"/>
      <c r="M459" s="10"/>
      <c r="N459" s="119">
        <f t="shared" si="17"/>
        <v>9</v>
      </c>
      <c r="O459" s="120"/>
      <c r="P459" s="68" t="s">
        <v>1545</v>
      </c>
      <c r="Q459" s="141">
        <v>8867.3785891660682</v>
      </c>
      <c r="R459" s="139">
        <v>7980.6407302494617</v>
      </c>
      <c r="S459" s="11">
        <v>8299.86635945944</v>
      </c>
      <c r="T459" s="11">
        <v>8619.0919886694192</v>
      </c>
      <c r="U459" s="122"/>
      <c r="V459" s="114"/>
      <c r="W459" s="127">
        <v>500</v>
      </c>
    </row>
    <row r="460" spans="1:23">
      <c r="A460" s="74" t="s">
        <v>435</v>
      </c>
      <c r="B460" s="110" t="str">
        <f>IFERROR(HYPERLINK(VLOOKUP(A460,ÜRÜNLER!A:C,3,FALSE),VLOOKUP(A460,ÜRÜNLER!A:B,2,FALSE)),"")</f>
        <v>Siemens studioLine Buzdolabı Kulpu</v>
      </c>
      <c r="C460" s="8"/>
      <c r="D460" s="8">
        <v>4</v>
      </c>
      <c r="E460" s="9"/>
      <c r="F460" s="9"/>
      <c r="G460" s="9"/>
      <c r="H460" s="9"/>
      <c r="I460" s="10"/>
      <c r="J460" s="10"/>
      <c r="K460" s="9"/>
      <c r="L460" s="9"/>
      <c r="M460" s="10"/>
      <c r="N460" s="119">
        <f t="shared" si="17"/>
        <v>4</v>
      </c>
      <c r="O460" s="120"/>
      <c r="P460" s="68" t="s">
        <v>1545</v>
      </c>
      <c r="Q460" s="141">
        <v>3521.1995943386523</v>
      </c>
      <c r="R460" s="139">
        <v>3169.0796349047869</v>
      </c>
      <c r="S460" s="11">
        <v>3295.8428203009785</v>
      </c>
      <c r="T460" s="11">
        <v>3422.6060056971696</v>
      </c>
      <c r="U460" s="122"/>
      <c r="V460" s="114"/>
      <c r="W460" s="127">
        <v>500</v>
      </c>
    </row>
    <row r="461" spans="1:23">
      <c r="A461" s="74" t="s">
        <v>436</v>
      </c>
      <c r="B461" s="110" t="str">
        <f>IFERROR(HYPERLINK(VLOOKUP(A461,ÜRÜNLER!A:C,3,FALSE),VLOOKUP(A461,ÜRÜNLER!A:B,2,FALSE)),"")</f>
        <v>Siemens Buzdolabı Kulpu 79cm, Inox</v>
      </c>
      <c r="C461" s="8">
        <v>1</v>
      </c>
      <c r="D461" s="8"/>
      <c r="E461" s="9"/>
      <c r="F461" s="9"/>
      <c r="G461" s="9"/>
      <c r="H461" s="9"/>
      <c r="I461" s="10"/>
      <c r="J461" s="10"/>
      <c r="K461" s="9"/>
      <c r="L461" s="9"/>
      <c r="M461" s="10"/>
      <c r="N461" s="119">
        <f t="shared" si="17"/>
        <v>1</v>
      </c>
      <c r="O461" s="120"/>
      <c r="P461" s="68" t="s">
        <v>1545</v>
      </c>
      <c r="Q461" s="141">
        <v>2510.3949651838452</v>
      </c>
      <c r="R461" s="131">
        <v>2510.3949651838452</v>
      </c>
      <c r="S461" s="11">
        <v>2610.810763791199</v>
      </c>
      <c r="T461" s="11">
        <v>2711.2265623985527</v>
      </c>
      <c r="U461" s="122"/>
      <c r="V461" s="114"/>
      <c r="W461" s="127">
        <v>250</v>
      </c>
    </row>
    <row r="462" spans="1:23">
      <c r="A462" s="14" t="s">
        <v>437</v>
      </c>
      <c r="B462" s="110" t="str">
        <f>IFERROR(HYPERLINK(VLOOKUP(A462,ÜRÜNLER!A:C,3,FALSE),VLOOKUP(A462,ÜRÜNLER!A:B,2,FALSE)),"")</f>
        <v>Siemens studioLine Buzdolabı Kapı Paneli, 202.9x60.3cm</v>
      </c>
      <c r="C462" s="8"/>
      <c r="D462" s="8">
        <v>2</v>
      </c>
      <c r="E462" s="9"/>
      <c r="F462" s="9"/>
      <c r="G462" s="9"/>
      <c r="H462" s="9"/>
      <c r="I462" s="10"/>
      <c r="J462" s="10"/>
      <c r="K462" s="9"/>
      <c r="L462" s="9">
        <v>1</v>
      </c>
      <c r="M462" s="10"/>
      <c r="N462" s="119">
        <f t="shared" si="17"/>
        <v>3</v>
      </c>
      <c r="O462" s="120"/>
      <c r="P462" s="68" t="s">
        <v>1545</v>
      </c>
      <c r="Q462" s="141">
        <v>6515.7970471358785</v>
      </c>
      <c r="R462" s="139">
        <v>5864.217342422291</v>
      </c>
      <c r="S462" s="11">
        <v>6098.7860361191824</v>
      </c>
      <c r="T462" s="11">
        <v>6333.3547298160747</v>
      </c>
      <c r="U462" s="122"/>
      <c r="V462" s="114"/>
      <c r="W462" s="127">
        <v>500</v>
      </c>
    </row>
    <row r="463" spans="1:23">
      <c r="A463" s="14" t="s">
        <v>438</v>
      </c>
      <c r="B463" s="110" t="str">
        <f>IFERROR(HYPERLINK(VLOOKUP(A463,ÜRÜNLER!A:C,3,FALSE),VLOOKUP(A463,ÜRÜNLER!A:B,2,FALSE)),"")</f>
        <v>Siemens Buzdolabı Kapı Paneli, 202.9x75.6cm</v>
      </c>
      <c r="C463" s="8">
        <v>4</v>
      </c>
      <c r="D463" s="8">
        <v>2</v>
      </c>
      <c r="E463" s="9"/>
      <c r="F463" s="9"/>
      <c r="G463" s="9"/>
      <c r="H463" s="9"/>
      <c r="I463" s="10"/>
      <c r="J463" s="10"/>
      <c r="K463" s="9"/>
      <c r="L463" s="9">
        <v>1</v>
      </c>
      <c r="M463" s="10"/>
      <c r="N463" s="119">
        <f t="shared" si="17"/>
        <v>7</v>
      </c>
      <c r="O463" s="120"/>
      <c r="P463" s="68" t="s">
        <v>1545</v>
      </c>
      <c r="Q463" s="141">
        <v>12864.686900934046</v>
      </c>
      <c r="R463" s="139">
        <v>11578.218210840641</v>
      </c>
      <c r="S463" s="11">
        <v>12041.346939274266</v>
      </c>
      <c r="T463" s="11">
        <v>12504.475667707893</v>
      </c>
      <c r="U463" s="122"/>
      <c r="V463" s="114"/>
      <c r="W463" s="127">
        <v>500</v>
      </c>
    </row>
    <row r="464" spans="1:23">
      <c r="A464" s="74" t="s">
        <v>439</v>
      </c>
      <c r="B464" s="110" t="str">
        <f>IFERROR(HYPERLINK(VLOOKUP(A464,ÜRÜNLER!A:C,3,FALSE),VLOOKUP(A464,ÜRÜNLER!A:B,2,FALSE)),"")</f>
        <v>Siemens Buzdolabı Kapı Paneli, 202.9x90.8cm</v>
      </c>
      <c r="C464" s="8">
        <v>5</v>
      </c>
      <c r="D464" s="8">
        <v>2</v>
      </c>
      <c r="E464" s="9"/>
      <c r="F464" s="9"/>
      <c r="G464" s="9"/>
      <c r="H464" s="9"/>
      <c r="I464" s="10"/>
      <c r="J464" s="10">
        <v>1</v>
      </c>
      <c r="K464" s="9"/>
      <c r="L464" s="9">
        <v>1</v>
      </c>
      <c r="M464" s="10"/>
      <c r="N464" s="119">
        <f t="shared" si="17"/>
        <v>9</v>
      </c>
      <c r="O464" s="120"/>
      <c r="P464" s="68" t="s">
        <v>1545</v>
      </c>
      <c r="Q464" s="141">
        <v>18868.450592859805</v>
      </c>
      <c r="R464" s="139">
        <v>16981.605533573824</v>
      </c>
      <c r="S464" s="11">
        <v>17660.869754916777</v>
      </c>
      <c r="T464" s="11">
        <v>18340.133976259731</v>
      </c>
      <c r="U464" s="122"/>
      <c r="V464" s="114"/>
      <c r="W464" s="127">
        <v>500</v>
      </c>
    </row>
    <row r="465" spans="1:24">
      <c r="A465" s="74" t="s">
        <v>440</v>
      </c>
      <c r="B465" s="110" t="str">
        <f>IFERROR(HYPERLINK(VLOOKUP(A465,ÜRÜNLER!A:C,3,FALSE),VLOOKUP(A465,ÜRÜNLER!A:B,2,FALSE)),"")</f>
        <v>Siemens Buzdolabı Bağlantı Seti</v>
      </c>
      <c r="C465" s="8">
        <v>4</v>
      </c>
      <c r="D465" s="8"/>
      <c r="E465" s="9"/>
      <c r="F465" s="9"/>
      <c r="G465" s="9"/>
      <c r="H465" s="9"/>
      <c r="I465" s="10"/>
      <c r="J465" s="10"/>
      <c r="K465" s="9"/>
      <c r="L465" s="9"/>
      <c r="M465" s="10"/>
      <c r="N465" s="119">
        <f t="shared" si="17"/>
        <v>4</v>
      </c>
      <c r="O465" s="120"/>
      <c r="P465" s="68" t="s">
        <v>1545</v>
      </c>
      <c r="R465" s="114"/>
      <c r="S465" s="11"/>
      <c r="T465" s="11"/>
      <c r="U465" s="122"/>
      <c r="V465" s="114"/>
      <c r="W465" s="127"/>
    </row>
    <row r="466" spans="1:24">
      <c r="A466" s="74" t="s">
        <v>441</v>
      </c>
      <c r="B466" s="110" t="str">
        <f>IFERROR(HYPERLINK(VLOOKUP(A466,ÜRÜNLER!A:C,3,FALSE),VLOOKUP(A466,ÜRÜNLER!A:B,2,FALSE)),"")</f>
        <v>Siemens Buzdolabı Bağlantı Seti</v>
      </c>
      <c r="C466" s="8">
        <v>2</v>
      </c>
      <c r="D466" s="8">
        <v>1</v>
      </c>
      <c r="E466" s="9"/>
      <c r="F466" s="9"/>
      <c r="G466" s="9"/>
      <c r="H466" s="9">
        <v>2</v>
      </c>
      <c r="I466" s="10"/>
      <c r="J466" s="10"/>
      <c r="K466" s="9"/>
      <c r="L466" s="9"/>
      <c r="M466" s="10"/>
      <c r="N466" s="119">
        <f t="shared" si="17"/>
        <v>5</v>
      </c>
      <c r="O466" s="120"/>
      <c r="P466" s="68" t="s">
        <v>1545</v>
      </c>
      <c r="Q466" s="121" t="s">
        <v>1788</v>
      </c>
      <c r="R466" s="160">
        <v>5000</v>
      </c>
      <c r="S466" s="11">
        <v>5200</v>
      </c>
      <c r="T466" s="11">
        <v>5400</v>
      </c>
      <c r="U466" s="122"/>
      <c r="V466" s="114"/>
      <c r="W466" s="127">
        <v>500</v>
      </c>
    </row>
    <row r="467" spans="1:24">
      <c r="A467" s="74" t="s">
        <v>442</v>
      </c>
      <c r="B467" s="110" t="str">
        <f>IFERROR(HYPERLINK(VLOOKUP(A467,ÜRÜNLER!A:C,3,FALSE),VLOOKUP(A467,ÜRÜNLER!A:B,2,FALSE)),"")</f>
        <v>Siemens studioLine Buzdolabı Çekmecesi</v>
      </c>
      <c r="C467" s="8"/>
      <c r="D467" s="8">
        <v>1</v>
      </c>
      <c r="E467" s="9"/>
      <c r="F467" s="9"/>
      <c r="G467" s="9"/>
      <c r="H467" s="9"/>
      <c r="I467" s="10"/>
      <c r="J467" s="10"/>
      <c r="K467" s="9"/>
      <c r="L467" s="9"/>
      <c r="M467" s="10"/>
      <c r="N467" s="119">
        <f t="shared" si="17"/>
        <v>1</v>
      </c>
      <c r="O467" s="120"/>
      <c r="P467" s="68" t="s">
        <v>1545</v>
      </c>
      <c r="Q467" s="141">
        <v>2251.7843805077478</v>
      </c>
      <c r="R467" s="139">
        <v>2026.605942456973</v>
      </c>
      <c r="S467" s="11">
        <v>2097.5371504429672</v>
      </c>
      <c r="T467" s="11">
        <v>2188.7344178535309</v>
      </c>
      <c r="U467" s="122"/>
      <c r="V467" s="114"/>
      <c r="W467" s="127">
        <v>500</v>
      </c>
    </row>
    <row r="468" spans="1:24">
      <c r="A468" s="74" t="s">
        <v>443</v>
      </c>
      <c r="B468" s="110" t="str">
        <f>IFERROR(HYPERLINK(VLOOKUP(A468,ÜRÜNLER!A:C,3,FALSE),VLOOKUP(A468,ÜRÜNLER!A:B,2,FALSE)),"")</f>
        <v>Siemens studioLine 36'' Buzdolabı Kapı Paneli, Paslanmaz Çelik, 3 Kapı</v>
      </c>
      <c r="C468" s="8"/>
      <c r="D468" s="8">
        <v>1</v>
      </c>
      <c r="E468" s="9"/>
      <c r="F468" s="9"/>
      <c r="G468" s="9"/>
      <c r="H468" s="9"/>
      <c r="I468" s="10"/>
      <c r="J468" s="10"/>
      <c r="K468" s="9"/>
      <c r="L468" s="9"/>
      <c r="M468" s="10"/>
      <c r="N468" s="119">
        <f t="shared" si="17"/>
        <v>1</v>
      </c>
      <c r="O468" s="120"/>
      <c r="P468" s="68" t="s">
        <v>1545</v>
      </c>
      <c r="Q468" s="141">
        <v>10600.401058527552</v>
      </c>
      <c r="R468" s="139">
        <v>9540.3609526747969</v>
      </c>
      <c r="S468" s="11">
        <v>9874.2735860184148</v>
      </c>
      <c r="T468" s="11">
        <v>10303.58982888878</v>
      </c>
      <c r="U468" s="122"/>
      <c r="V468" s="114"/>
      <c r="W468" s="127">
        <v>500</v>
      </c>
    </row>
    <row r="469" spans="1:24">
      <c r="A469" s="19" t="s">
        <v>1558</v>
      </c>
      <c r="B469" s="110" t="str">
        <f>IFERROR(HYPERLINK(VLOOKUP(A469,ÜRÜNLER!A:C,3,FALSE),VLOOKUP(A469,ÜRÜNLER!A:B,2,FALSE)),"")</f>
        <v/>
      </c>
      <c r="C469" s="8"/>
      <c r="D469" s="8"/>
      <c r="E469" s="9"/>
      <c r="F469" s="9"/>
      <c r="G469" s="9"/>
      <c r="H469" s="9"/>
      <c r="I469" s="10"/>
      <c r="J469" s="10"/>
      <c r="K469" s="9"/>
      <c r="L469" s="9"/>
      <c r="M469" s="10"/>
      <c r="N469" s="119"/>
      <c r="O469" s="120"/>
      <c r="P469" s="68"/>
      <c r="R469" s="161"/>
      <c r="S469" s="11"/>
      <c r="T469" s="11"/>
      <c r="U469" s="122"/>
      <c r="V469" s="114"/>
      <c r="W469" s="127"/>
    </row>
    <row r="470" spans="1:24">
      <c r="A470" s="72" t="s">
        <v>444</v>
      </c>
      <c r="B470" s="110" t="str">
        <f>IFERROR(HYPERLINK(VLOOKUP(A470,ÜRÜNLER!A:C,3,FALSE),VLOOKUP(A470,ÜRÜNLER!A:B,2,FALSE)),"")</f>
        <v>Siemens Ev Tipi Klima İç Ünite, 9.000BTU, Beyaz</v>
      </c>
      <c r="C470" s="8">
        <v>5</v>
      </c>
      <c r="D470" s="8"/>
      <c r="E470" s="9"/>
      <c r="F470" s="9"/>
      <c r="G470" s="9"/>
      <c r="H470" s="9"/>
      <c r="I470" s="10">
        <v>1</v>
      </c>
      <c r="J470" s="10"/>
      <c r="K470" s="9"/>
      <c r="L470" s="9"/>
      <c r="M470" s="10"/>
      <c r="N470" s="119">
        <f t="shared" ref="N470:N487" si="18">M470+K470+L470+J470+I470+H470+G470+F470+E470+D470+C470</f>
        <v>6</v>
      </c>
      <c r="O470" s="120"/>
      <c r="P470" s="68" t="s">
        <v>1545</v>
      </c>
      <c r="Q470" s="126">
        <v>16020.74074189603</v>
      </c>
      <c r="R470" s="162">
        <v>18000</v>
      </c>
      <c r="S470" s="11">
        <v>18630</v>
      </c>
      <c r="T470" s="11">
        <v>19440</v>
      </c>
      <c r="U470" s="122">
        <v>4000.282348013614</v>
      </c>
      <c r="V470" s="114"/>
      <c r="W470" s="127">
        <v>250</v>
      </c>
    </row>
    <row r="471" spans="1:24">
      <c r="A471" s="72" t="s">
        <v>445</v>
      </c>
      <c r="B471" s="110" t="str">
        <f>IFERROR(HYPERLINK(VLOOKUP(A471,ÜRÜNLER!A:C,3,FALSE),VLOOKUP(A471,ÜRÜNLER!A:B,2,FALSE)),"")</f>
        <v>Siemens Ev Tipi Klima Dış Ünite, 9.000BTU, Beyaz</v>
      </c>
      <c r="C471" s="8">
        <v>6</v>
      </c>
      <c r="D471" s="8"/>
      <c r="E471" s="9"/>
      <c r="F471" s="9"/>
      <c r="G471" s="9"/>
      <c r="H471" s="9"/>
      <c r="I471" s="10"/>
      <c r="J471" s="10"/>
      <c r="K471" s="9"/>
      <c r="L471" s="9"/>
      <c r="M471" s="10"/>
      <c r="N471" s="119">
        <f t="shared" si="18"/>
        <v>6</v>
      </c>
      <c r="O471" s="120"/>
      <c r="P471" s="68" t="s">
        <v>1545</v>
      </c>
      <c r="Q471" s="126">
        <v>24031.111112844046</v>
      </c>
      <c r="R471" s="162">
        <v>26000</v>
      </c>
      <c r="S471" s="11">
        <v>26910</v>
      </c>
      <c r="T471" s="11">
        <v>28080</v>
      </c>
      <c r="U471" s="122"/>
      <c r="V471" s="114"/>
      <c r="W471" s="127"/>
    </row>
    <row r="472" spans="1:24">
      <c r="A472" s="93" t="s">
        <v>446</v>
      </c>
      <c r="B472" s="110" t="str">
        <f>IFERROR(HYPERLINK(VLOOKUP(A472,ÜRÜNLER!A:C,3,FALSE),VLOOKUP(A472,ÜRÜNLER!A:B,2,FALSE)),"")</f>
        <v>Siemens Ev Tipi Klima İç Ünite, 12.000BTU, Beyaz</v>
      </c>
      <c r="C472" s="8"/>
      <c r="D472" s="8"/>
      <c r="E472" s="9"/>
      <c r="F472" s="9"/>
      <c r="G472" s="9"/>
      <c r="H472" s="9"/>
      <c r="I472" s="10"/>
      <c r="J472" s="10"/>
      <c r="K472" s="9"/>
      <c r="L472" s="9">
        <v>1</v>
      </c>
      <c r="M472" s="10"/>
      <c r="N472" s="119">
        <f t="shared" si="18"/>
        <v>1</v>
      </c>
      <c r="O472" s="120"/>
      <c r="P472" s="69" t="s">
        <v>1545</v>
      </c>
      <c r="Q472" s="163"/>
      <c r="R472" s="164">
        <v>15000</v>
      </c>
      <c r="S472" s="56">
        <v>15525</v>
      </c>
      <c r="T472" s="11">
        <v>16200</v>
      </c>
      <c r="U472" s="122"/>
      <c r="V472" s="114"/>
      <c r="W472" s="127">
        <v>250</v>
      </c>
    </row>
    <row r="473" spans="1:24">
      <c r="A473" s="93" t="s">
        <v>447</v>
      </c>
      <c r="B473" s="110" t="str">
        <f>IFERROR(HYPERLINK(VLOOKUP(A473,ÜRÜNLER!A:C,3,FALSE),VLOOKUP(A473,ÜRÜNLER!A:B,2,FALSE)),"")</f>
        <v>Siemens Ev Tipi Klima Dış Ünite, 12.000BTU, Beyaz</v>
      </c>
      <c r="C473" s="8">
        <v>1</v>
      </c>
      <c r="D473" s="8"/>
      <c r="E473" s="9"/>
      <c r="F473" s="9"/>
      <c r="G473" s="9"/>
      <c r="H473" s="9"/>
      <c r="I473" s="10"/>
      <c r="J473" s="10"/>
      <c r="K473" s="9"/>
      <c r="L473" s="9"/>
      <c r="M473" s="10"/>
      <c r="N473" s="119">
        <f t="shared" si="18"/>
        <v>1</v>
      </c>
      <c r="O473" s="120"/>
      <c r="P473" s="69" t="s">
        <v>1545</v>
      </c>
      <c r="Q473" s="163"/>
      <c r="R473" s="164">
        <v>20000</v>
      </c>
      <c r="S473" s="56">
        <v>20700</v>
      </c>
      <c r="T473" s="11">
        <v>21600</v>
      </c>
      <c r="U473" s="122"/>
      <c r="V473" s="114"/>
      <c r="W473" s="127"/>
    </row>
    <row r="474" spans="1:24">
      <c r="A474" s="94" t="s">
        <v>448</v>
      </c>
      <c r="B474" s="110" t="str">
        <f>IFERROR(HYPERLINK(VLOOKUP(A474,ÜRÜNLER!A:C,3,FALSE),VLOOKUP(A474,ÜRÜNLER!A:B,2,FALSE)),"")</f>
        <v>Siemens Ev Tipi Klima İç Ünite, 12.000BTU, Beyaz</v>
      </c>
      <c r="C474" s="8"/>
      <c r="D474" s="8"/>
      <c r="E474" s="9"/>
      <c r="F474" s="9">
        <v>1</v>
      </c>
      <c r="G474" s="9"/>
      <c r="H474" s="9"/>
      <c r="I474" s="10">
        <v>1</v>
      </c>
      <c r="J474" s="10"/>
      <c r="K474" s="9"/>
      <c r="L474" s="9"/>
      <c r="M474" s="10"/>
      <c r="N474" s="119">
        <f t="shared" si="18"/>
        <v>2</v>
      </c>
      <c r="O474" s="120"/>
      <c r="P474" s="68" t="s">
        <v>1545</v>
      </c>
      <c r="Q474" s="126">
        <v>17599.318782707702</v>
      </c>
      <c r="R474" s="162">
        <v>19000</v>
      </c>
      <c r="S474" s="11">
        <v>19665</v>
      </c>
      <c r="T474" s="11">
        <v>20520</v>
      </c>
      <c r="U474" s="122">
        <v>4399.6422482490671</v>
      </c>
      <c r="V474" s="114"/>
      <c r="W474" s="127">
        <v>250</v>
      </c>
    </row>
    <row r="475" spans="1:24">
      <c r="A475" s="94" t="s">
        <v>449</v>
      </c>
      <c r="B475" s="110" t="str">
        <f>IFERROR(HYPERLINK(VLOOKUP(A475,ÜRÜNLER!A:C,3,FALSE),VLOOKUP(A475,ÜRÜNLER!A:B,2,FALSE)),"")</f>
        <v>Siemens Ev Tipi Klima Dış Ünite, 12.000BTU, Beyaz</v>
      </c>
      <c r="C475" s="8"/>
      <c r="D475" s="8"/>
      <c r="E475" s="9"/>
      <c r="F475" s="9">
        <v>1</v>
      </c>
      <c r="G475" s="9"/>
      <c r="H475" s="9"/>
      <c r="I475" s="10"/>
      <c r="J475" s="10"/>
      <c r="K475" s="9"/>
      <c r="L475" s="9">
        <v>1</v>
      </c>
      <c r="M475" s="10"/>
      <c r="N475" s="119">
        <f t="shared" si="18"/>
        <v>2</v>
      </c>
      <c r="O475" s="120"/>
      <c r="P475" s="68" t="s">
        <v>1545</v>
      </c>
      <c r="Q475" s="126">
        <v>26398.978174061547</v>
      </c>
      <c r="R475" s="162">
        <v>28000</v>
      </c>
      <c r="S475" s="11">
        <v>28980</v>
      </c>
      <c r="T475" s="11">
        <v>30240</v>
      </c>
      <c r="U475" s="122"/>
      <c r="V475" s="114"/>
      <c r="W475" s="127"/>
    </row>
    <row r="476" spans="1:24">
      <c r="A476" s="95" t="s">
        <v>450</v>
      </c>
      <c r="B476" s="110" t="str">
        <f>IFERROR(HYPERLINK(VLOOKUP(A476,ÜRÜNLER!A:C,3,FALSE),VLOOKUP(A476,ÜRÜNLER!A:B,2,FALSE)),"")</f>
        <v>Siemens Ev Tipi Klima İç Ünite, 12.000BTU, Siyah</v>
      </c>
      <c r="C476" s="8">
        <v>2</v>
      </c>
      <c r="D476" s="8"/>
      <c r="E476" s="9"/>
      <c r="F476" s="9"/>
      <c r="G476" s="9"/>
      <c r="H476" s="9"/>
      <c r="I476" s="10"/>
      <c r="J476" s="10"/>
      <c r="K476" s="9"/>
      <c r="L476" s="9"/>
      <c r="M476" s="10"/>
      <c r="N476" s="119">
        <f t="shared" si="18"/>
        <v>2</v>
      </c>
      <c r="O476" s="120"/>
      <c r="P476" s="69" t="s">
        <v>1545</v>
      </c>
      <c r="Q476" s="163">
        <v>19638.932436439351</v>
      </c>
      <c r="R476" s="162">
        <v>22000</v>
      </c>
      <c r="S476" s="56">
        <v>22770</v>
      </c>
      <c r="T476" s="11">
        <v>23760</v>
      </c>
      <c r="U476" s="122">
        <v>4907.8692076903026</v>
      </c>
      <c r="V476" s="114"/>
      <c r="W476" s="127">
        <v>250</v>
      </c>
    </row>
    <row r="477" spans="1:24">
      <c r="A477" s="95" t="s">
        <v>451</v>
      </c>
      <c r="B477" s="110" t="str">
        <f>IFERROR(HYPERLINK(VLOOKUP(A477,ÜRÜNLER!A:C,3,FALSE),VLOOKUP(A477,ÜRÜNLER!A:B,2,FALSE)),"")</f>
        <v>Siemens Ev Tipi Klima Dış Ünite, 12.000BTU, Beyaz</v>
      </c>
      <c r="C477" s="8">
        <v>2</v>
      </c>
      <c r="D477" s="8"/>
      <c r="E477" s="9"/>
      <c r="F477" s="9"/>
      <c r="G477" s="9"/>
      <c r="H477" s="9"/>
      <c r="I477" s="10"/>
      <c r="J477" s="10"/>
      <c r="K477" s="9"/>
      <c r="L477" s="9"/>
      <c r="M477" s="10"/>
      <c r="N477" s="119">
        <f t="shared" si="18"/>
        <v>2</v>
      </c>
      <c r="O477" s="120"/>
      <c r="P477" s="69" t="s">
        <v>1545</v>
      </c>
      <c r="Q477" s="163">
        <v>29458.398654659028</v>
      </c>
      <c r="R477" s="162">
        <v>32000</v>
      </c>
      <c r="S477" s="56">
        <v>33120</v>
      </c>
      <c r="T477" s="11">
        <v>34560</v>
      </c>
      <c r="U477" s="122"/>
      <c r="V477" s="114"/>
      <c r="W477" s="127"/>
    </row>
    <row r="478" spans="1:24" s="12" customFormat="1">
      <c r="A478" s="94" t="s">
        <v>452</v>
      </c>
      <c r="B478" s="110" t="str">
        <f>IFERROR(HYPERLINK(VLOOKUP(A478,ÜRÜNLER!A:C,3,FALSE),VLOOKUP(A478,ÜRÜNLER!A:B,2,FALSE)),"")</f>
        <v>Siemens Ev Tipi Klima İç Ünite, 18.000BTU, Beyaz</v>
      </c>
      <c r="C478" s="8">
        <v>5</v>
      </c>
      <c r="D478" s="8"/>
      <c r="E478" s="9"/>
      <c r="F478" s="9"/>
      <c r="G478" s="9"/>
      <c r="H478" s="9"/>
      <c r="I478" s="10">
        <v>1</v>
      </c>
      <c r="J478" s="10"/>
      <c r="K478" s="9"/>
      <c r="L478" s="9">
        <v>2</v>
      </c>
      <c r="M478" s="10"/>
      <c r="N478" s="119">
        <f t="shared" si="18"/>
        <v>8</v>
      </c>
      <c r="O478" s="120"/>
      <c r="P478" s="68" t="s">
        <v>1545</v>
      </c>
      <c r="Q478" s="126"/>
      <c r="R478" s="114">
        <v>22000</v>
      </c>
      <c r="S478" s="11">
        <v>22770</v>
      </c>
      <c r="T478" s="11">
        <v>23760</v>
      </c>
      <c r="U478" s="122"/>
      <c r="V478" s="114"/>
      <c r="W478" s="127">
        <v>250</v>
      </c>
      <c r="X478" s="124"/>
    </row>
    <row r="479" spans="1:24" s="12" customFormat="1">
      <c r="A479" s="94" t="s">
        <v>453</v>
      </c>
      <c r="B479" s="110" t="str">
        <f>IFERROR(HYPERLINK(VLOOKUP(A479,ÜRÜNLER!A:C,3,FALSE),VLOOKUP(A479,ÜRÜNLER!A:B,2,FALSE)),"")</f>
        <v>Siemens Ev Tipi Klima Dış Ünite, 18.000BTU, Beyaz</v>
      </c>
      <c r="C479" s="8">
        <v>7</v>
      </c>
      <c r="D479" s="8"/>
      <c r="E479" s="9"/>
      <c r="F479" s="9"/>
      <c r="G479" s="9"/>
      <c r="H479" s="9"/>
      <c r="I479" s="10"/>
      <c r="J479" s="10"/>
      <c r="K479" s="9"/>
      <c r="L479" s="9">
        <v>1</v>
      </c>
      <c r="M479" s="10"/>
      <c r="N479" s="119">
        <f t="shared" si="18"/>
        <v>8</v>
      </c>
      <c r="O479" s="120"/>
      <c r="P479" s="68" t="s">
        <v>1545</v>
      </c>
      <c r="Q479" s="126"/>
      <c r="R479" s="114">
        <v>35000</v>
      </c>
      <c r="S479" s="11">
        <v>36225</v>
      </c>
      <c r="T479" s="11">
        <v>37800</v>
      </c>
      <c r="U479" s="122"/>
      <c r="V479" s="114"/>
      <c r="W479" s="127"/>
      <c r="X479" s="124"/>
    </row>
    <row r="480" spans="1:24">
      <c r="A480" s="95" t="s">
        <v>454</v>
      </c>
      <c r="B480" s="110" t="str">
        <f>IFERROR(HYPERLINK(VLOOKUP(A480,ÜRÜNLER!A:C,3,FALSE),VLOOKUP(A480,ÜRÜNLER!A:B,2,FALSE)),"")</f>
        <v>Siemens Ev Tipi Klima İç Ünite, 18.000BTU, Siyah</v>
      </c>
      <c r="C480" s="8">
        <v>1</v>
      </c>
      <c r="D480" s="8"/>
      <c r="E480" s="9"/>
      <c r="F480" s="9"/>
      <c r="G480" s="9"/>
      <c r="H480" s="9"/>
      <c r="I480" s="10"/>
      <c r="J480" s="10"/>
      <c r="K480" s="9"/>
      <c r="L480" s="9"/>
      <c r="M480" s="10"/>
      <c r="N480" s="119">
        <f t="shared" si="18"/>
        <v>1</v>
      </c>
      <c r="O480" s="120"/>
      <c r="P480" s="69" t="s">
        <v>1545</v>
      </c>
      <c r="Q480" s="163">
        <v>27721.370472790273</v>
      </c>
      <c r="R480" s="162">
        <v>30000</v>
      </c>
      <c r="S480" s="56">
        <v>31050</v>
      </c>
      <c r="T480" s="11">
        <v>32400</v>
      </c>
      <c r="U480" s="122">
        <v>6923.3813389263523</v>
      </c>
      <c r="V480" s="114"/>
      <c r="W480" s="127">
        <v>250</v>
      </c>
    </row>
    <row r="481" spans="1:24">
      <c r="A481" s="95" t="s">
        <v>455</v>
      </c>
      <c r="B481" s="110" t="str">
        <f>IFERROR(HYPERLINK(VLOOKUP(A481,ÜRÜNLER!A:C,3,FALSE),VLOOKUP(A481,ÜRÜNLER!A:B,2,FALSE)),"")</f>
        <v>Siemens Ev Tipi Klima Dış Ünite, 18.000BTU, Beyaz</v>
      </c>
      <c r="C481" s="8">
        <v>1</v>
      </c>
      <c r="D481" s="8"/>
      <c r="E481" s="9"/>
      <c r="F481" s="9"/>
      <c r="G481" s="9"/>
      <c r="H481" s="9"/>
      <c r="I481" s="10"/>
      <c r="J481" s="10"/>
      <c r="K481" s="9"/>
      <c r="L481" s="9"/>
      <c r="M481" s="10"/>
      <c r="N481" s="119">
        <f t="shared" si="18"/>
        <v>1</v>
      </c>
      <c r="O481" s="120"/>
      <c r="P481" s="69" t="s">
        <v>1545</v>
      </c>
      <c r="Q481" s="163">
        <v>41582.055709185406</v>
      </c>
      <c r="R481" s="162">
        <v>44000</v>
      </c>
      <c r="S481" s="56">
        <v>45540</v>
      </c>
      <c r="T481" s="11">
        <v>47520</v>
      </c>
      <c r="U481" s="122"/>
      <c r="V481" s="114"/>
      <c r="W481" s="127"/>
    </row>
    <row r="482" spans="1:24" s="12" customFormat="1">
      <c r="A482" s="74" t="s">
        <v>456</v>
      </c>
      <c r="B482" s="110" t="str">
        <f>IFERROR(HYPERLINK(VLOOKUP(A482,ÜRÜNLER!A:C,3,FALSE),VLOOKUP(A482,ÜRÜNLER!A:B,2,FALSE)),"")</f>
        <v>Siemens Ev Tipi Klima İç Ünite, 24.000BTU, Beyaz</v>
      </c>
      <c r="C482" s="8"/>
      <c r="D482" s="8"/>
      <c r="E482" s="9"/>
      <c r="F482" s="9"/>
      <c r="G482" s="9"/>
      <c r="H482" s="9"/>
      <c r="I482" s="10"/>
      <c r="J482" s="10"/>
      <c r="K482" s="9"/>
      <c r="L482" s="9">
        <v>1</v>
      </c>
      <c r="M482" s="10"/>
      <c r="N482" s="119">
        <f t="shared" si="18"/>
        <v>1</v>
      </c>
      <c r="O482" s="120"/>
      <c r="P482" s="68"/>
      <c r="Q482" s="126"/>
      <c r="R482" s="114">
        <v>25000</v>
      </c>
      <c r="S482" s="11">
        <v>25875</v>
      </c>
      <c r="T482" s="11">
        <v>27000</v>
      </c>
      <c r="U482" s="122"/>
      <c r="V482" s="114"/>
      <c r="W482" s="127">
        <v>250</v>
      </c>
      <c r="X482" s="124"/>
    </row>
    <row r="483" spans="1:24" s="12" customFormat="1">
      <c r="A483" s="74" t="s">
        <v>457</v>
      </c>
      <c r="B483" s="110" t="str">
        <f>IFERROR(HYPERLINK(VLOOKUP(A483,ÜRÜNLER!A:C,3,FALSE),VLOOKUP(A483,ÜRÜNLER!A:B,2,FALSE)),"")</f>
        <v>Siemens Ev Tipi Klima Dış Ünite, 24.000BTU, Beyaz</v>
      </c>
      <c r="C483" s="8"/>
      <c r="D483" s="8"/>
      <c r="E483" s="9"/>
      <c r="F483" s="9"/>
      <c r="G483" s="9"/>
      <c r="H483" s="9"/>
      <c r="I483" s="10"/>
      <c r="J483" s="10"/>
      <c r="K483" s="9"/>
      <c r="L483" s="9">
        <v>1</v>
      </c>
      <c r="M483" s="10"/>
      <c r="N483" s="119">
        <f t="shared" si="18"/>
        <v>1</v>
      </c>
      <c r="O483" s="120"/>
      <c r="P483" s="68"/>
      <c r="Q483" s="126"/>
      <c r="R483" s="114">
        <v>36000</v>
      </c>
      <c r="S483" s="11">
        <v>37260</v>
      </c>
      <c r="T483" s="11">
        <v>38880</v>
      </c>
      <c r="U483" s="122"/>
      <c r="V483" s="114"/>
      <c r="W483" s="127"/>
      <c r="X483" s="124"/>
    </row>
    <row r="484" spans="1:24" s="12" customFormat="1">
      <c r="A484" s="96" t="s">
        <v>1477</v>
      </c>
      <c r="B484" s="110" t="str">
        <f>IFERROR(HYPERLINK(VLOOKUP(A484,ÜRÜNLER!A:C,3,FALSE),VLOOKUP(A484,ÜRÜNLER!A:B,2,FALSE)),"")</f>
        <v>Siemens Ev Tipi Klima İç Ünite, 24.000BTU, Beyaz</v>
      </c>
      <c r="C484" s="8">
        <v>3</v>
      </c>
      <c r="D484" s="8"/>
      <c r="E484" s="9"/>
      <c r="F484" s="9"/>
      <c r="G484" s="9"/>
      <c r="H484" s="9"/>
      <c r="I484" s="10"/>
      <c r="J484" s="10"/>
      <c r="K484" s="9"/>
      <c r="L484" s="9"/>
      <c r="M484" s="10"/>
      <c r="N484" s="119">
        <f t="shared" si="18"/>
        <v>3</v>
      </c>
      <c r="O484" s="165"/>
      <c r="P484" s="69"/>
      <c r="Q484" s="163">
        <v>30075.909952049711</v>
      </c>
      <c r="R484" s="162">
        <v>35000</v>
      </c>
      <c r="S484" s="56">
        <v>36225</v>
      </c>
      <c r="T484" s="11">
        <v>37800</v>
      </c>
      <c r="U484" s="122">
        <v>7512.6448352812149</v>
      </c>
      <c r="V484" s="114"/>
      <c r="W484" s="127">
        <v>250</v>
      </c>
      <c r="X484" s="124"/>
    </row>
    <row r="485" spans="1:24" s="12" customFormat="1">
      <c r="A485" s="96" t="s">
        <v>1478</v>
      </c>
      <c r="B485" s="110" t="str">
        <f>IFERROR(HYPERLINK(VLOOKUP(A485,ÜRÜNLER!A:C,3,FALSE),VLOOKUP(A485,ÜRÜNLER!A:B,2,FALSE)),"")</f>
        <v>Siemens Ev Tipi Klima Dış Ünite, 24.000BTU, Beyaz</v>
      </c>
      <c r="C485" s="8">
        <v>3</v>
      </c>
      <c r="D485" s="8"/>
      <c r="E485" s="9"/>
      <c r="F485" s="9"/>
      <c r="G485" s="9"/>
      <c r="H485" s="9"/>
      <c r="I485" s="10"/>
      <c r="J485" s="10"/>
      <c r="K485" s="9"/>
      <c r="L485" s="9"/>
      <c r="M485" s="10"/>
      <c r="N485" s="119">
        <f t="shared" si="18"/>
        <v>3</v>
      </c>
      <c r="O485" s="165"/>
      <c r="P485" s="69"/>
      <c r="Q485" s="163">
        <v>45113.864928074559</v>
      </c>
      <c r="R485" s="162">
        <v>50000</v>
      </c>
      <c r="S485" s="56">
        <v>51750</v>
      </c>
      <c r="T485" s="11">
        <v>54000</v>
      </c>
      <c r="U485" s="122"/>
      <c r="V485" s="114"/>
      <c r="W485" s="127"/>
      <c r="X485" s="124"/>
    </row>
    <row r="486" spans="1:24">
      <c r="A486" s="74" t="s">
        <v>1314</v>
      </c>
      <c r="B486" s="110" t="str">
        <f>IFERROR(HYPERLINK(VLOOKUP(A486,ÜRÜNLER!A:C,3,FALSE),VLOOKUP(A486,ÜRÜNLER!A:B,2,FALSE)),"")</f>
        <v>SHAZA Akım Korumalı Akıllı Priz (Beyaz)</v>
      </c>
      <c r="C486" s="8"/>
      <c r="D486" s="8"/>
      <c r="E486" s="9"/>
      <c r="F486" s="9"/>
      <c r="G486" s="9"/>
      <c r="H486" s="9"/>
      <c r="I486" s="10">
        <v>1</v>
      </c>
      <c r="J486" s="10">
        <v>4</v>
      </c>
      <c r="K486" s="9"/>
      <c r="L486" s="9"/>
      <c r="M486" s="10"/>
      <c r="N486" s="119">
        <f t="shared" si="18"/>
        <v>5</v>
      </c>
      <c r="O486" s="120"/>
      <c r="P486" s="69" t="s">
        <v>1545</v>
      </c>
      <c r="Q486" s="126">
        <v>520</v>
      </c>
      <c r="R486" s="129">
        <v>850</v>
      </c>
      <c r="S486" s="26">
        <v>879.75</v>
      </c>
      <c r="T486" s="11">
        <v>918</v>
      </c>
      <c r="U486" s="122"/>
      <c r="V486" s="114"/>
      <c r="W486" s="166">
        <v>100</v>
      </c>
    </row>
    <row r="487" spans="1:24">
      <c r="A487" s="74" t="s">
        <v>1315</v>
      </c>
      <c r="B487" s="110" t="str">
        <f>IFERROR(HYPERLINK(VLOOKUP(A487,ÜRÜNLER!A:C,3,FALSE),VLOOKUP(A487,ÜRÜNLER!A:B,2,FALSE)),"")</f>
        <v>SHAZA Akım Korumalı Üçlü Priz (Beyaz)</v>
      </c>
      <c r="C487" s="8"/>
      <c r="D487" s="8"/>
      <c r="E487" s="9"/>
      <c r="F487" s="9"/>
      <c r="G487" s="9"/>
      <c r="H487" s="9"/>
      <c r="I487" s="10">
        <v>8</v>
      </c>
      <c r="J487" s="10">
        <v>16</v>
      </c>
      <c r="K487" s="9">
        <v>33</v>
      </c>
      <c r="L487" s="9"/>
      <c r="M487" s="10">
        <v>20</v>
      </c>
      <c r="N487" s="119">
        <f t="shared" si="18"/>
        <v>77</v>
      </c>
      <c r="O487" s="120"/>
      <c r="P487" s="69" t="s">
        <v>1545</v>
      </c>
      <c r="Q487" s="126">
        <v>520</v>
      </c>
      <c r="R487" s="167">
        <v>850</v>
      </c>
      <c r="S487" s="26">
        <v>879.75</v>
      </c>
      <c r="T487" s="11">
        <v>918</v>
      </c>
      <c r="U487" s="122"/>
      <c r="V487" s="114"/>
      <c r="W487" s="166">
        <v>100</v>
      </c>
    </row>
  </sheetData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42" customWidth="1"/>
    <col min="9" max="9" width="15.42578125" style="42" customWidth="1"/>
    <col min="10" max="10" width="10.7109375" style="4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33" t="str">
        <f>Sayfa1!C1</f>
        <v>17 AĞUSTOS HOROZ</v>
      </c>
      <c r="D1" s="34" t="str">
        <f>Sayfa1!$S$1</f>
        <v>TEK ÇEKİM FİYATI</v>
      </c>
      <c r="E1" s="35" t="str">
        <f>Sayfa1!$T$1</f>
        <v>TAKSİTLİ FİYATI 3/6 TAKSİT</v>
      </c>
      <c r="F1" s="36" t="str">
        <f>Sayfa1!$U$1</f>
        <v>AĞUSTOS  BİP</v>
      </c>
      <c r="G1" s="59" t="str">
        <f>Sayfa1!$V$1</f>
        <v>30.09.2026 montaj zorunlu PHASE OUT</v>
      </c>
      <c r="H1" s="60" t="str">
        <f>Sayfa1!$W$1</f>
        <v>Hakedişler LİSTE FİYATINDAN SATILIRSA geçerli olacak</v>
      </c>
      <c r="I1" s="38" t="s">
        <v>462</v>
      </c>
      <c r="J1" s="37" t="str">
        <f>Sayfa1!$Y$1</f>
        <v>ONLINE FİYATI</v>
      </c>
      <c r="K1" s="39" t="str">
        <f>Sayfa1!$X$1</f>
        <v>VARSA BİP KOŞULU</v>
      </c>
      <c r="L1" s="47" t="s">
        <v>1557</v>
      </c>
    </row>
    <row r="2" spans="1:12">
      <c r="A2" s="29" t="s">
        <v>176</v>
      </c>
      <c r="B2" s="40" t="str">
        <f>IFERROR(VLOOKUP(A2,Sayfa1!A:B,2,FALSE),"?")</f>
        <v>iQ300 Ankastre Fırın, 1 Teleskopik Ray, Arkası Kendini Temizler, Siyah/Inox</v>
      </c>
      <c r="C2" s="41">
        <f>IFERROR(VLOOKUP(A2,Sayfa1!A:C,3,FALSE),"?")</f>
        <v>0</v>
      </c>
      <c r="D2" s="42" t="str">
        <f>IFERROR(VLOOKUP(A2,Sayfa1!$A:$S,17,FALSE),"?")</f>
        <v>devamı yok</v>
      </c>
      <c r="E2" s="42">
        <f>IFERROR(VLOOKUP(A2,Sayfa1!$A:$T,18,FALSE),"?")</f>
        <v>18607</v>
      </c>
      <c r="F2" s="42">
        <f>IFERROR(VLOOKUP(A2,Sayfa1!$A:$U,19,FALSE),"?")</f>
        <v>19351.28</v>
      </c>
      <c r="G2" s="42">
        <f>IFERROR(VLOOKUP(A2,Sayfa1!$A:$V,20,FALSE),"?")</f>
        <v>20095.560000000001</v>
      </c>
      <c r="H2" s="42">
        <f>IFERROR(VLOOKUP(A2,Sayfa1!$A:$W,21,FALSE),"?")</f>
        <v>0</v>
      </c>
      <c r="I2" s="181"/>
      <c r="J2" s="32">
        <f>IFERROR(VLOOKUP(A2,Sayfa1!$A:$Y,23,FALSE),"?")</f>
        <v>500</v>
      </c>
      <c r="K2" s="32">
        <f>IFERROR(VLOOKUP(A2,Sayfa1!$A:$X,22,FALSE),"?")</f>
        <v>1606.5839999999998</v>
      </c>
      <c r="L2" s="32">
        <f>IFERROR(VLOOKUP(A2,Sayfa1!$A:$Z,24,FALSE),"?")</f>
        <v>0</v>
      </c>
    </row>
    <row r="3" spans="1:12">
      <c r="A3" s="29"/>
      <c r="B3" s="40" t="str">
        <f>IFERROR(VLOOKUP(A3,Sayfa1!A:B,2,FALSE),"?")</f>
        <v>?</v>
      </c>
      <c r="C3" s="41" t="str">
        <f>IFERROR(VLOOKUP(A3,Sayfa1!A:C,3,FALSE),"?")</f>
        <v>?</v>
      </c>
      <c r="D3" s="42" t="str">
        <f>IFERROR(VLOOKUP(A3,Sayfa1!$A:$S,17,FALSE),"?")</f>
        <v>?</v>
      </c>
      <c r="E3" s="42" t="str">
        <f>IFERROR(VLOOKUP(A3,Sayfa1!$A:$T,18,FALSE),"?")</f>
        <v>?</v>
      </c>
      <c r="F3" s="42" t="str">
        <f>IFERROR(VLOOKUP(A3,Sayfa1!$A:$U,19,FALSE),"?")</f>
        <v>?</v>
      </c>
      <c r="G3" s="42" t="str">
        <f>IFERROR(VLOOKUP(A3,Sayfa1!$A:$V,20,FALSE),"?")</f>
        <v>?</v>
      </c>
      <c r="H3" s="42" t="str">
        <f>IFERROR(VLOOKUP(A3,Sayfa1!$A:$W,21,FALSE),"?")</f>
        <v>?</v>
      </c>
      <c r="I3" s="181"/>
      <c r="J3" s="32" t="str">
        <f>IFERROR(VLOOKUP(A3,Sayfa1!$A:$Y,23,FALSE),"?")</f>
        <v>?</v>
      </c>
      <c r="K3" s="32" t="str">
        <f>IFERROR(VLOOKUP(A3,Sayfa1!$A:$X,22,FALSE),"?")</f>
        <v>?</v>
      </c>
      <c r="L3" s="32" t="str">
        <f>IFERROR(VLOOKUP(A3,Sayfa1!$A:$Z,24,FALSE),"?")</f>
        <v>?</v>
      </c>
    </row>
    <row r="4" spans="1:12">
      <c r="A4" s="29"/>
      <c r="B4" s="40" t="str">
        <f>IFERROR(VLOOKUP(A4,Sayfa1!A:B,2,FALSE),"?")</f>
        <v>?</v>
      </c>
      <c r="C4" s="41" t="str">
        <f>IFERROR(VLOOKUP(A4,Sayfa1!A:C,3,FALSE),"?")</f>
        <v>?</v>
      </c>
      <c r="D4" s="42" t="str">
        <f>IFERROR(VLOOKUP(A4,Sayfa1!$A:$S,17,FALSE),"?")</f>
        <v>?</v>
      </c>
      <c r="E4" s="42" t="str">
        <f>IFERROR(VLOOKUP(A4,Sayfa1!$A:$T,18,FALSE),"?")</f>
        <v>?</v>
      </c>
      <c r="F4" s="42" t="str">
        <f>IFERROR(VLOOKUP(A4,Sayfa1!$A:$U,19,FALSE),"?")</f>
        <v>?</v>
      </c>
      <c r="G4" s="42" t="str">
        <f>IFERROR(VLOOKUP(A4,Sayfa1!$A:$V,20,FALSE),"?")</f>
        <v>?</v>
      </c>
      <c r="H4" s="42" t="str">
        <f>IFERROR(VLOOKUP(A4,Sayfa1!$A:$W,21,FALSE),"?")</f>
        <v>?</v>
      </c>
      <c r="I4"/>
      <c r="J4" s="32" t="str">
        <f>IFERROR(VLOOKUP(A4,Sayfa1!$A:$Y,23,FALSE),"?")</f>
        <v>?</v>
      </c>
      <c r="K4" s="32" t="str">
        <f>IFERROR(VLOOKUP(A4,Sayfa1!$A:$X,22,FALSE),"?")</f>
        <v>?</v>
      </c>
      <c r="L4" s="32" t="str">
        <f>IFERROR(VLOOKUP(A4,Sayfa1!$A:$Z,24,FALSE),"?")</f>
        <v>?</v>
      </c>
    </row>
    <row r="5" spans="1:12">
      <c r="A5" s="29"/>
      <c r="B5" s="40" t="str">
        <f>IFERROR(VLOOKUP(A5,Sayfa1!A:B,2,FALSE),"?")</f>
        <v>?</v>
      </c>
      <c r="C5" s="41" t="str">
        <f>IFERROR(VLOOKUP(A5,Sayfa1!A:C,3,FALSE),"?")</f>
        <v>?</v>
      </c>
      <c r="D5" s="42" t="str">
        <f>IFERROR(VLOOKUP(A5,Sayfa1!$A:$S,17,FALSE),"?")</f>
        <v>?</v>
      </c>
      <c r="E5" s="42" t="str">
        <f>IFERROR(VLOOKUP(A5,Sayfa1!$A:$T,18,FALSE),"?")</f>
        <v>?</v>
      </c>
      <c r="F5" s="42" t="str">
        <f>IFERROR(VLOOKUP(A5,Sayfa1!$A:$U,19,FALSE),"?")</f>
        <v>?</v>
      </c>
      <c r="G5" s="42" t="str">
        <f>IFERROR(VLOOKUP(A5,Sayfa1!$A:$V,20,FALSE),"?")</f>
        <v>?</v>
      </c>
      <c r="H5" s="42" t="str">
        <f>IFERROR(VLOOKUP(A5,Sayfa1!$A:$W,21,FALSE),"?")</f>
        <v>?</v>
      </c>
      <c r="I5"/>
      <c r="J5" s="32" t="str">
        <f>IFERROR(VLOOKUP(A5,Sayfa1!$A:$Y,23,FALSE),"?")</f>
        <v>?</v>
      </c>
      <c r="K5" s="32" t="str">
        <f>IFERROR(VLOOKUP(A5,Sayfa1!$A:$X,22,FALSE),"?")</f>
        <v>?</v>
      </c>
      <c r="L5" s="32" t="str">
        <f>IFERROR(VLOOKUP(A5,Sayfa1!$A:$Z,24,FALSE),"?")</f>
        <v>?</v>
      </c>
    </row>
    <row r="6" spans="1:12">
      <c r="A6" s="29"/>
      <c r="B6" s="40" t="str">
        <f>IFERROR(VLOOKUP(A6,Sayfa1!A:B,2,FALSE),"?")</f>
        <v>?</v>
      </c>
      <c r="C6" s="41" t="str">
        <f>IFERROR(VLOOKUP(A6,Sayfa1!A:C,3,FALSE),"?")</f>
        <v>?</v>
      </c>
      <c r="D6" s="42" t="str">
        <f>IFERROR(VLOOKUP(A6,Sayfa1!$A:$S,17,FALSE),"?")</f>
        <v>?</v>
      </c>
      <c r="E6" s="42" t="str">
        <f>IFERROR(VLOOKUP(A6,Sayfa1!$A:$T,18,FALSE),"?")</f>
        <v>?</v>
      </c>
      <c r="F6" s="42" t="str">
        <f>IFERROR(VLOOKUP(A6,Sayfa1!$A:$U,19,FALSE),"?")</f>
        <v>?</v>
      </c>
      <c r="G6" s="42" t="str">
        <f>IFERROR(VLOOKUP(A6,Sayfa1!$A:$V,20,FALSE),"?")</f>
        <v>?</v>
      </c>
      <c r="H6" s="42" t="str">
        <f>IFERROR(VLOOKUP(A6,Sayfa1!$A:$W,21,FALSE),"?")</f>
        <v>?</v>
      </c>
      <c r="I6"/>
      <c r="J6" s="32" t="str">
        <f>IFERROR(VLOOKUP(A6,Sayfa1!$A:$Y,23,FALSE),"?")</f>
        <v>?</v>
      </c>
      <c r="K6" s="32" t="str">
        <f>IFERROR(VLOOKUP(A6,Sayfa1!$A:$X,22,FALSE),"?")</f>
        <v>?</v>
      </c>
      <c r="L6" s="32" t="str">
        <f>IFERROR(VLOOKUP(A6,Sayfa1!$A:$Z,24,FALSE),"?")</f>
        <v>?</v>
      </c>
    </row>
    <row r="7" spans="1:12">
      <c r="A7" s="29"/>
      <c r="B7" s="40" t="str">
        <f>IFERROR(VLOOKUP(A7,Sayfa1!A:B,2,FALSE),"?")</f>
        <v>?</v>
      </c>
      <c r="C7" s="41" t="str">
        <f>IFERROR(VLOOKUP(A7,Sayfa1!A:C,3,FALSE),"?")</f>
        <v>?</v>
      </c>
      <c r="D7" s="42" t="str">
        <f>IFERROR(VLOOKUP(A7,Sayfa1!$A:$S,17,FALSE),"?")</f>
        <v>?</v>
      </c>
      <c r="E7" s="42" t="str">
        <f>IFERROR(VLOOKUP(A7,Sayfa1!$A:$T,18,FALSE),"?")</f>
        <v>?</v>
      </c>
      <c r="F7" s="42" t="str">
        <f>IFERROR(VLOOKUP(A7,Sayfa1!$A:$U,19,FALSE),"?")</f>
        <v>?</v>
      </c>
      <c r="G7" s="42" t="str">
        <f>IFERROR(VLOOKUP(A7,Sayfa1!$A:$V,20,FALSE),"?")</f>
        <v>?</v>
      </c>
      <c r="H7" s="42" t="str">
        <f>IFERROR(VLOOKUP(A7,Sayfa1!$A:$W,21,FALSE),"?")</f>
        <v>?</v>
      </c>
      <c r="I7"/>
      <c r="J7" s="32" t="str">
        <f>IFERROR(VLOOKUP(A7,Sayfa1!$A:$Y,23,FALSE),"?")</f>
        <v>?</v>
      </c>
      <c r="K7" s="32" t="str">
        <f>IFERROR(VLOOKUP(A7,Sayfa1!$A:$X,22,FALSE),"?")</f>
        <v>?</v>
      </c>
      <c r="L7" s="32" t="str">
        <f>IFERROR(VLOOKUP(A7,Sayfa1!$A:$Z,24,FALSE),"?")</f>
        <v>?</v>
      </c>
    </row>
    <row r="8" spans="1:12">
      <c r="A8" s="29"/>
      <c r="B8" s="40" t="str">
        <f>IFERROR(VLOOKUP(A8,Sayfa1!A:B,2,FALSE),"?")</f>
        <v>?</v>
      </c>
      <c r="C8" s="41" t="str">
        <f>IFERROR(VLOOKUP(A8,Sayfa1!A:C,3,FALSE),"?")</f>
        <v>?</v>
      </c>
      <c r="D8" s="42" t="str">
        <f>IFERROR(VLOOKUP(A8,Sayfa1!$A:$S,17,FALSE),"?")</f>
        <v>?</v>
      </c>
      <c r="E8" s="42" t="str">
        <f>IFERROR(VLOOKUP(A8,Sayfa1!$A:$T,18,FALSE),"?")</f>
        <v>?</v>
      </c>
      <c r="F8" s="42" t="str">
        <f>IFERROR(VLOOKUP(A8,Sayfa1!$A:$U,19,FALSE),"?")</f>
        <v>?</v>
      </c>
      <c r="G8" s="42" t="str">
        <f>IFERROR(VLOOKUP(A8,Sayfa1!$A:$V,20,FALSE),"?")</f>
        <v>?</v>
      </c>
      <c r="H8" s="42" t="str">
        <f>IFERROR(VLOOKUP(A8,Sayfa1!$A:$W,21,FALSE),"?")</f>
        <v>?</v>
      </c>
      <c r="I8"/>
      <c r="J8" s="32" t="str">
        <f>IFERROR(VLOOKUP(A8,Sayfa1!$A:$Y,23,FALSE),"?")</f>
        <v>?</v>
      </c>
      <c r="K8" s="32" t="str">
        <f>IFERROR(VLOOKUP(A8,Sayfa1!$A:$X,22,FALSE),"?")</f>
        <v>?</v>
      </c>
      <c r="L8" s="32" t="str">
        <f>IFERROR(VLOOKUP(A8,Sayfa1!$A:$Z,24,FALSE),"?")</f>
        <v>?</v>
      </c>
    </row>
    <row r="9" spans="1:12">
      <c r="A9" s="29"/>
      <c r="B9" s="40" t="str">
        <f>IFERROR(VLOOKUP(A9,Sayfa1!A:B,2,FALSE),"?")</f>
        <v>?</v>
      </c>
      <c r="C9" s="41" t="str">
        <f>IFERROR(VLOOKUP(A9,Sayfa1!A:C,3,FALSE),"?")</f>
        <v>?</v>
      </c>
      <c r="D9" s="42" t="str">
        <f>IFERROR(VLOOKUP(A9,Sayfa1!$A:$S,17,FALSE),"?")</f>
        <v>?</v>
      </c>
      <c r="E9" s="42" t="str">
        <f>IFERROR(VLOOKUP(A9,Sayfa1!$A:$T,18,FALSE),"?")</f>
        <v>?</v>
      </c>
      <c r="F9" s="42" t="str">
        <f>IFERROR(VLOOKUP(A9,Sayfa1!$A:$U,19,FALSE),"?")</f>
        <v>?</v>
      </c>
      <c r="G9" s="42" t="str">
        <f>IFERROR(VLOOKUP(A9,Sayfa1!$A:$V,20,FALSE),"?")</f>
        <v>?</v>
      </c>
      <c r="H9" s="42" t="str">
        <f>IFERROR(VLOOKUP(A9,Sayfa1!$A:$W,21,FALSE),"?")</f>
        <v>?</v>
      </c>
      <c r="I9"/>
      <c r="J9" s="32" t="str">
        <f>IFERROR(VLOOKUP(A9,Sayfa1!$A:$Y,23,FALSE),"?")</f>
        <v>?</v>
      </c>
      <c r="K9" s="32" t="str">
        <f>IFERROR(VLOOKUP(A9,Sayfa1!$A:$X,22,FALSE),"?")</f>
        <v>?</v>
      </c>
      <c r="L9" s="32" t="str">
        <f>IFERROR(VLOOKUP(A9,Sayfa1!$A:$Z,24,FALSE),"?")</f>
        <v>?</v>
      </c>
    </row>
    <row r="10" spans="1:12">
      <c r="A10" s="29"/>
      <c r="B10" s="40" t="str">
        <f>IFERROR(VLOOKUP(A10,Sayfa1!A:B,2,FALSE),"?")</f>
        <v>?</v>
      </c>
      <c r="C10" s="41" t="str">
        <f>IFERROR(VLOOKUP(A10,Sayfa1!A:C,3,FALSE),"?")</f>
        <v>?</v>
      </c>
      <c r="D10" s="42" t="str">
        <f>IFERROR(VLOOKUP(A10,Sayfa1!$A:$S,17,FALSE),"?")</f>
        <v>?</v>
      </c>
      <c r="E10" s="42" t="str">
        <f>IFERROR(VLOOKUP(A10,Sayfa1!$A:$T,18,FALSE),"?")</f>
        <v>?</v>
      </c>
      <c r="F10" s="42" t="str">
        <f>IFERROR(VLOOKUP(A10,Sayfa1!$A:$U,19,FALSE),"?")</f>
        <v>?</v>
      </c>
      <c r="G10" s="42" t="str">
        <f>IFERROR(VLOOKUP(A10,Sayfa1!$A:$V,20,FALSE),"?")</f>
        <v>?</v>
      </c>
      <c r="H10" s="42" t="str">
        <f>IFERROR(VLOOKUP(A10,Sayfa1!$A:$W,21,FALSE),"?")</f>
        <v>?</v>
      </c>
      <c r="I10"/>
      <c r="J10" s="32" t="str">
        <f>IFERROR(VLOOKUP(A10,Sayfa1!$A:$Y,23,FALSE),"?")</f>
        <v>?</v>
      </c>
      <c r="K10" s="32" t="str">
        <f>IFERROR(VLOOKUP(A10,Sayfa1!$A:$X,22,FALSE),"?")</f>
        <v>?</v>
      </c>
      <c r="L10" s="32" t="str">
        <f>IFERROR(VLOOKUP(A10,Sayfa1!$A:$Z,24,FALSE),"?")</f>
        <v>?</v>
      </c>
    </row>
    <row r="11" spans="1:12">
      <c r="A11" s="29"/>
      <c r="B11" s="40" t="str">
        <f>IFERROR(VLOOKUP(A11,Sayfa1!A:B,2,FALSE),"?")</f>
        <v>?</v>
      </c>
      <c r="C11" s="41" t="str">
        <f>IFERROR(VLOOKUP(A11,Sayfa1!A:C,3,FALSE),"?")</f>
        <v>?</v>
      </c>
      <c r="D11" s="42" t="str">
        <f>IFERROR(VLOOKUP(A11,Sayfa1!$A:$S,17,FALSE),"?")</f>
        <v>?</v>
      </c>
      <c r="E11" s="42" t="str">
        <f>IFERROR(VLOOKUP(A11,Sayfa1!$A:$T,18,FALSE),"?")</f>
        <v>?</v>
      </c>
      <c r="F11" s="42" t="str">
        <f>IFERROR(VLOOKUP(A11,Sayfa1!$A:$U,19,FALSE),"?")</f>
        <v>?</v>
      </c>
      <c r="G11" s="42" t="str">
        <f>IFERROR(VLOOKUP(A11,Sayfa1!$A:$V,20,FALSE),"?")</f>
        <v>?</v>
      </c>
      <c r="H11" s="42" t="str">
        <f>IFERROR(VLOOKUP(A11,Sayfa1!$A:$W,21,FALSE),"?")</f>
        <v>?</v>
      </c>
      <c r="I11"/>
      <c r="J11" s="32" t="str">
        <f>IFERROR(VLOOKUP(A11,Sayfa1!$A:$Y,23,FALSE),"?")</f>
        <v>?</v>
      </c>
      <c r="K11" s="32" t="str">
        <f>IFERROR(VLOOKUP(A11,Sayfa1!$A:$X,22,FALSE),"?")</f>
        <v>?</v>
      </c>
      <c r="L11" s="32" t="str">
        <f>IFERROR(VLOOKUP(A11,Sayfa1!$A:$Z,24,FALSE),"?")</f>
        <v>?</v>
      </c>
    </row>
    <row r="12" spans="1:12">
      <c r="A12" s="182" t="s">
        <v>458</v>
      </c>
      <c r="B12" s="182"/>
      <c r="C12" s="182"/>
      <c r="D12" s="182"/>
      <c r="E12" s="43">
        <f>SUM(E2:E11)</f>
        <v>18607</v>
      </c>
      <c r="F12" s="43">
        <f>SUM(F2:F11)</f>
        <v>19351.28</v>
      </c>
      <c r="I12"/>
      <c r="J12"/>
      <c r="K12" s="32"/>
      <c r="L12" s="32"/>
    </row>
    <row r="13" spans="1:12">
      <c r="A13" s="182" t="s">
        <v>459</v>
      </c>
      <c r="B13" s="182"/>
      <c r="C13" s="182"/>
      <c r="D13" s="182"/>
      <c r="E13" s="43">
        <f>SUM(G:G)*-1</f>
        <v>-20095.560000000001</v>
      </c>
      <c r="F13" s="43">
        <f>SUM(G:G)*-1</f>
        <v>-20095.560000000001</v>
      </c>
      <c r="I13"/>
      <c r="J13"/>
      <c r="K13" s="32"/>
      <c r="L13" s="32"/>
    </row>
    <row r="14" spans="1:12">
      <c r="A14" s="182" t="s">
        <v>1307</v>
      </c>
      <c r="B14" s="182"/>
      <c r="C14" s="182"/>
      <c r="D14" s="182"/>
      <c r="E14" s="43">
        <f>SUM(H:H)*-1</f>
        <v>0</v>
      </c>
      <c r="F14" s="43">
        <f>SUM(H:H)*-1</f>
        <v>0</v>
      </c>
      <c r="I14"/>
      <c r="J14"/>
      <c r="K14" s="32"/>
      <c r="L14" s="32"/>
    </row>
    <row r="15" spans="1:12">
      <c r="A15" s="182" t="s">
        <v>461</v>
      </c>
      <c r="B15" s="182"/>
      <c r="C15" s="182"/>
      <c r="D15" s="182"/>
      <c r="E15" s="43">
        <f>I2*-1</f>
        <v>0</v>
      </c>
      <c r="F15" s="43">
        <f>I2*-1</f>
        <v>0</v>
      </c>
      <c r="I15"/>
      <c r="J15"/>
      <c r="K15" s="32"/>
      <c r="L15" s="32"/>
    </row>
    <row r="16" spans="1:12">
      <c r="A16" s="180" t="s">
        <v>460</v>
      </c>
      <c r="B16" s="180"/>
      <c r="C16" s="180"/>
      <c r="D16" s="180"/>
      <c r="E16" s="44">
        <f>SUM(E12:E15)</f>
        <v>-1488.5600000000013</v>
      </c>
      <c r="F16" s="44">
        <f>SUM(F12:F15)</f>
        <v>-744.28000000000247</v>
      </c>
      <c r="I16"/>
      <c r="J16"/>
    </row>
    <row r="17" spans="1:8">
      <c r="A17" s="178" t="s">
        <v>1338</v>
      </c>
      <c r="B17" s="178"/>
      <c r="C17" s="178"/>
      <c r="D17" s="178"/>
      <c r="E17" s="179">
        <f>E16*1.08</f>
        <v>-1607.6448000000016</v>
      </c>
      <c r="F17" s="179"/>
    </row>
    <row r="20" spans="1:8">
      <c r="F20" s="45"/>
    </row>
    <row r="21" spans="1:8">
      <c r="G21" s="31"/>
      <c r="H21" s="31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G32"/>
  <sheetViews>
    <sheetView showGridLines="0" zoomScale="28" zoomScaleNormal="28" workbookViewId="0">
      <selection activeCell="E29" sqref="E29"/>
    </sheetView>
  </sheetViews>
  <sheetFormatPr defaultColWidth="9.140625" defaultRowHeight="34.5"/>
  <cols>
    <col min="1" max="1" width="5.140625" style="99" customWidth="1"/>
    <col min="2" max="2" width="2.28515625" style="97" customWidth="1"/>
    <col min="3" max="3" width="79.5703125" style="97" customWidth="1"/>
    <col min="4" max="4" width="79.140625" style="97" customWidth="1"/>
    <col min="5" max="5" width="125.140625" style="97" customWidth="1"/>
    <col min="6" max="6" width="5.42578125" style="97" bestFit="1" customWidth="1"/>
    <col min="7" max="7" width="9.140625" style="97" hidden="1" customWidth="1"/>
    <col min="8" max="8" width="9.140625" style="97"/>
    <col min="9" max="9" width="9.140625" style="97" customWidth="1"/>
    <col min="10" max="10" width="9.140625" style="97"/>
    <col min="11" max="11" width="60.5703125" style="97" customWidth="1"/>
    <col min="12" max="12" width="97.28515625" style="97" customWidth="1"/>
    <col min="13" max="13" width="92.42578125" style="97" customWidth="1"/>
    <col min="14" max="16384" width="9.140625" style="97"/>
  </cols>
  <sheetData>
    <row r="2" spans="3:13" ht="35.25" thickBot="1"/>
    <row r="3" spans="3:13" ht="35.25">
      <c r="C3" s="101"/>
      <c r="D3" s="99"/>
      <c r="E3" s="99"/>
      <c r="K3" s="183" t="s">
        <v>1789</v>
      </c>
      <c r="L3" s="204" t="s">
        <v>467</v>
      </c>
      <c r="M3" s="205"/>
    </row>
    <row r="4" spans="3:13" ht="35.25" thickBot="1">
      <c r="K4" s="184"/>
      <c r="L4" s="206"/>
      <c r="M4" s="207"/>
    </row>
    <row r="5" spans="3:13">
      <c r="C5" s="183" t="s">
        <v>1790</v>
      </c>
      <c r="D5" s="186" t="s">
        <v>1791</v>
      </c>
      <c r="E5" s="187"/>
      <c r="K5" s="184"/>
      <c r="L5" s="192" t="s">
        <v>1792</v>
      </c>
      <c r="M5" s="193"/>
    </row>
    <row r="6" spans="3:13">
      <c r="C6" s="184"/>
      <c r="D6" s="188"/>
      <c r="E6" s="189"/>
      <c r="K6" s="184"/>
      <c r="L6" s="194"/>
      <c r="M6" s="195"/>
    </row>
    <row r="7" spans="3:13">
      <c r="C7" s="184"/>
      <c r="D7" s="188"/>
      <c r="E7" s="189"/>
      <c r="K7" s="184"/>
      <c r="L7" s="194"/>
      <c r="M7" s="195"/>
    </row>
    <row r="8" spans="3:13" ht="35.25" thickBot="1">
      <c r="C8" s="184"/>
      <c r="D8" s="188"/>
      <c r="E8" s="189"/>
      <c r="K8" s="184"/>
      <c r="L8" s="196"/>
      <c r="M8" s="197"/>
    </row>
    <row r="9" spans="3:13">
      <c r="C9" s="184"/>
      <c r="D9" s="188"/>
      <c r="E9" s="189"/>
      <c r="K9" s="184"/>
      <c r="L9" s="198" t="s">
        <v>1793</v>
      </c>
      <c r="M9" s="199"/>
    </row>
    <row r="10" spans="3:13">
      <c r="C10" s="184"/>
      <c r="D10" s="188"/>
      <c r="E10" s="189"/>
      <c r="K10" s="184"/>
      <c r="L10" s="200"/>
      <c r="M10" s="201"/>
    </row>
    <row r="11" spans="3:13">
      <c r="C11" s="184"/>
      <c r="D11" s="188"/>
      <c r="E11" s="189"/>
      <c r="K11" s="184"/>
      <c r="L11" s="200"/>
      <c r="M11" s="201"/>
    </row>
    <row r="12" spans="3:13" ht="35.25" thickBot="1">
      <c r="C12" s="185"/>
      <c r="D12" s="190"/>
      <c r="E12" s="191"/>
      <c r="K12" s="184"/>
      <c r="L12" s="200"/>
      <c r="M12" s="201"/>
    </row>
    <row r="13" spans="3:13" ht="35.25">
      <c r="C13" s="117"/>
      <c r="D13" s="99"/>
      <c r="E13" s="99"/>
      <c r="K13" s="184"/>
      <c r="L13" s="200"/>
      <c r="M13" s="201"/>
    </row>
    <row r="14" spans="3:13" ht="35.25" thickBot="1">
      <c r="K14" s="185"/>
      <c r="L14" s="202"/>
      <c r="M14" s="203"/>
    </row>
    <row r="16" spans="3:13" ht="35.25" thickBot="1"/>
    <row r="17" spans="11:33">
      <c r="K17" s="183" t="s">
        <v>1794</v>
      </c>
      <c r="L17" s="204" t="s">
        <v>468</v>
      </c>
      <c r="M17" s="205"/>
    </row>
    <row r="18" spans="11:33" ht="35.25" thickBot="1">
      <c r="K18" s="184"/>
      <c r="L18" s="206"/>
      <c r="M18" s="207"/>
    </row>
    <row r="19" spans="11:33">
      <c r="K19" s="184"/>
      <c r="L19" s="192" t="s">
        <v>1795</v>
      </c>
      <c r="M19" s="193"/>
    </row>
    <row r="20" spans="11:33">
      <c r="K20" s="184"/>
      <c r="L20" s="194"/>
      <c r="M20" s="195"/>
    </row>
    <row r="21" spans="11:33">
      <c r="K21" s="184"/>
      <c r="L21" s="194"/>
      <c r="M21" s="195"/>
    </row>
    <row r="22" spans="11:33" ht="35.25" thickBot="1">
      <c r="K22" s="184"/>
      <c r="L22" s="196"/>
      <c r="M22" s="197"/>
    </row>
    <row r="23" spans="11:33">
      <c r="K23" s="184"/>
      <c r="L23" s="208" t="s">
        <v>1796</v>
      </c>
      <c r="M23" s="209"/>
    </row>
    <row r="24" spans="11:33">
      <c r="K24" s="184"/>
      <c r="L24" s="210"/>
      <c r="M24" s="211"/>
    </row>
    <row r="25" spans="11:33">
      <c r="K25" s="184"/>
      <c r="L25" s="210"/>
      <c r="M25" s="211"/>
      <c r="AG25" s="98"/>
    </row>
    <row r="26" spans="11:33">
      <c r="K26" s="184"/>
      <c r="L26" s="210"/>
      <c r="M26" s="211"/>
      <c r="AG26" s="98"/>
    </row>
    <row r="27" spans="11:33">
      <c r="K27" s="184"/>
      <c r="L27" s="210"/>
      <c r="M27" s="211"/>
      <c r="AG27" s="98"/>
    </row>
    <row r="28" spans="11:33" ht="35.25" thickBot="1">
      <c r="K28" s="185"/>
      <c r="L28" s="212"/>
      <c r="M28" s="213"/>
      <c r="AG28" s="98"/>
    </row>
    <row r="29" spans="11:33">
      <c r="AG29" s="98"/>
    </row>
    <row r="30" spans="11:33">
      <c r="AG30" s="98"/>
    </row>
    <row r="31" spans="11:33">
      <c r="AD31" s="98"/>
    </row>
    <row r="32" spans="11:33">
      <c r="AD32" s="98"/>
    </row>
  </sheetData>
  <mergeCells count="10">
    <mergeCell ref="C5:C12"/>
    <mergeCell ref="D5:E12"/>
    <mergeCell ref="L5:M8"/>
    <mergeCell ref="L9:M14"/>
    <mergeCell ref="K17:K28"/>
    <mergeCell ref="L17:M18"/>
    <mergeCell ref="L19:M22"/>
    <mergeCell ref="L23:M28"/>
    <mergeCell ref="K3:K14"/>
    <mergeCell ref="L3:M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6"/>
  <sheetViews>
    <sheetView topLeftCell="A602" workbookViewId="0">
      <selection activeCell="B636" sqref="B636"/>
    </sheetView>
  </sheetViews>
  <sheetFormatPr defaultColWidth="9.140625" defaultRowHeight="15"/>
  <cols>
    <col min="1" max="1" width="13.7109375" style="63" customWidth="1"/>
    <col min="2" max="2" width="72.5703125" style="63" customWidth="1"/>
    <col min="3" max="3" width="139.7109375" style="64" customWidth="1"/>
    <col min="4" max="4" width="24.7109375" style="63" customWidth="1"/>
    <col min="5" max="16384" width="9.140625" style="63"/>
  </cols>
  <sheetData>
    <row r="1" spans="1:5">
      <c r="A1" s="105" t="s">
        <v>845</v>
      </c>
      <c r="B1" s="105" t="s">
        <v>846</v>
      </c>
      <c r="C1" s="106" t="s">
        <v>847</v>
      </c>
      <c r="D1" s="106" t="s">
        <v>1572</v>
      </c>
      <c r="E1" s="106" t="s">
        <v>1753</v>
      </c>
    </row>
    <row r="2" spans="1:5">
      <c r="A2" s="63" t="s">
        <v>1485</v>
      </c>
      <c r="B2" s="49" t="s">
        <v>1559</v>
      </c>
      <c r="C2" s="52" t="s">
        <v>1506</v>
      </c>
      <c r="D2" s="63" t="s">
        <v>1573</v>
      </c>
      <c r="E2" s="63" t="s">
        <v>1754</v>
      </c>
    </row>
    <row r="3" spans="1:5">
      <c r="A3" s="64" t="s">
        <v>1663</v>
      </c>
      <c r="B3" s="49" t="s">
        <v>1664</v>
      </c>
      <c r="C3" s="52" t="s">
        <v>1665</v>
      </c>
      <c r="D3" s="63" t="s">
        <v>1573</v>
      </c>
      <c r="E3" s="63" t="s">
        <v>1754</v>
      </c>
    </row>
    <row r="4" spans="1:5">
      <c r="A4" s="48" t="s">
        <v>444</v>
      </c>
      <c r="B4" s="49" t="s">
        <v>835</v>
      </c>
      <c r="C4" s="50" t="s">
        <v>1299</v>
      </c>
      <c r="D4" s="63" t="s">
        <v>1574</v>
      </c>
      <c r="E4" s="63" t="s">
        <v>1755</v>
      </c>
    </row>
    <row r="5" spans="1:5">
      <c r="A5" s="48" t="s">
        <v>445</v>
      </c>
      <c r="B5" s="49" t="s">
        <v>836</v>
      </c>
      <c r="C5" s="50" t="s">
        <v>1299</v>
      </c>
      <c r="D5" s="63" t="s">
        <v>1574</v>
      </c>
      <c r="E5" s="63" t="s">
        <v>1755</v>
      </c>
    </row>
    <row r="6" spans="1:5">
      <c r="A6" s="48" t="s">
        <v>446</v>
      </c>
      <c r="B6" s="49" t="s">
        <v>837</v>
      </c>
      <c r="C6" s="50" t="s">
        <v>1300</v>
      </c>
      <c r="D6" s="63" t="s">
        <v>1574</v>
      </c>
      <c r="E6" s="63" t="s">
        <v>1755</v>
      </c>
    </row>
    <row r="7" spans="1:5">
      <c r="A7" s="48" t="s">
        <v>448</v>
      </c>
      <c r="B7" s="49" t="s">
        <v>837</v>
      </c>
      <c r="C7" s="50" t="s">
        <v>1300</v>
      </c>
      <c r="D7" s="63" t="s">
        <v>1574</v>
      </c>
      <c r="E7" s="63" t="s">
        <v>1755</v>
      </c>
    </row>
    <row r="8" spans="1:5">
      <c r="A8" s="48" t="s">
        <v>450</v>
      </c>
      <c r="B8" s="49" t="s">
        <v>839</v>
      </c>
      <c r="C8" s="50" t="s">
        <v>1301</v>
      </c>
      <c r="D8" s="63" t="s">
        <v>1574</v>
      </c>
      <c r="E8" s="63" t="s">
        <v>1755</v>
      </c>
    </row>
    <row r="9" spans="1:5">
      <c r="A9" s="48" t="s">
        <v>447</v>
      </c>
      <c r="B9" s="49" t="s">
        <v>838</v>
      </c>
      <c r="C9" s="50" t="s">
        <v>1300</v>
      </c>
      <c r="D9" s="63" t="s">
        <v>1574</v>
      </c>
      <c r="E9" s="63" t="s">
        <v>1755</v>
      </c>
    </row>
    <row r="10" spans="1:5">
      <c r="A10" s="48" t="s">
        <v>449</v>
      </c>
      <c r="B10" s="49" t="s">
        <v>838</v>
      </c>
      <c r="C10" s="50" t="s">
        <v>1300</v>
      </c>
      <c r="D10" s="63" t="s">
        <v>1574</v>
      </c>
      <c r="E10" s="63" t="s">
        <v>1755</v>
      </c>
    </row>
    <row r="11" spans="1:5">
      <c r="A11" s="48" t="s">
        <v>451</v>
      </c>
      <c r="B11" s="49" t="s">
        <v>838</v>
      </c>
      <c r="C11" s="50" t="s">
        <v>1301</v>
      </c>
      <c r="D11" s="63" t="s">
        <v>1574</v>
      </c>
      <c r="E11" s="63" t="s">
        <v>1755</v>
      </c>
    </row>
    <row r="12" spans="1:5">
      <c r="A12" s="48" t="s">
        <v>452</v>
      </c>
      <c r="B12" s="49" t="s">
        <v>840</v>
      </c>
      <c r="C12" s="50" t="s">
        <v>1302</v>
      </c>
      <c r="D12" s="63" t="s">
        <v>1574</v>
      </c>
      <c r="E12" s="63" t="s">
        <v>1755</v>
      </c>
    </row>
    <row r="13" spans="1:5">
      <c r="A13" s="29" t="s">
        <v>1756</v>
      </c>
      <c r="B13" s="49" t="s">
        <v>840</v>
      </c>
      <c r="C13" s="64" t="s">
        <v>1757</v>
      </c>
      <c r="D13" s="63" t="s">
        <v>1574</v>
      </c>
      <c r="E13" s="63" t="s">
        <v>1755</v>
      </c>
    </row>
    <row r="14" spans="1:5">
      <c r="A14" s="48" t="s">
        <v>454</v>
      </c>
      <c r="B14" s="49" t="s">
        <v>842</v>
      </c>
      <c r="C14" s="50" t="s">
        <v>1303</v>
      </c>
      <c r="D14" s="63" t="s">
        <v>1574</v>
      </c>
      <c r="E14" s="63" t="s">
        <v>1755</v>
      </c>
    </row>
    <row r="15" spans="1:5">
      <c r="A15" s="48" t="s">
        <v>453</v>
      </c>
      <c r="B15" s="49" t="s">
        <v>841</v>
      </c>
      <c r="C15" s="50" t="s">
        <v>1302</v>
      </c>
      <c r="D15" s="63" t="s">
        <v>1574</v>
      </c>
      <c r="E15" s="63" t="s">
        <v>1755</v>
      </c>
    </row>
    <row r="16" spans="1:5">
      <c r="A16" s="29" t="s">
        <v>1758</v>
      </c>
      <c r="B16" s="49" t="s">
        <v>841</v>
      </c>
      <c r="C16" s="64" t="s">
        <v>1759</v>
      </c>
      <c r="D16" s="63" t="s">
        <v>1574</v>
      </c>
      <c r="E16" s="63" t="s">
        <v>1755</v>
      </c>
    </row>
    <row r="17" spans="1:5">
      <c r="A17" s="48" t="s">
        <v>455</v>
      </c>
      <c r="B17" s="49" t="s">
        <v>841</v>
      </c>
      <c r="C17" s="50" t="s">
        <v>1303</v>
      </c>
      <c r="D17" s="63" t="s">
        <v>1574</v>
      </c>
      <c r="E17" s="63" t="s">
        <v>1755</v>
      </c>
    </row>
    <row r="18" spans="1:5">
      <c r="A18" s="48" t="s">
        <v>456</v>
      </c>
      <c r="B18" s="49" t="s">
        <v>843</v>
      </c>
      <c r="C18" s="50" t="s">
        <v>1304</v>
      </c>
      <c r="D18" s="63" t="s">
        <v>1574</v>
      </c>
      <c r="E18" s="63" t="s">
        <v>1755</v>
      </c>
    </row>
    <row r="19" spans="1:5">
      <c r="A19" s="48" t="s">
        <v>1477</v>
      </c>
      <c r="B19" s="49" t="s">
        <v>843</v>
      </c>
      <c r="C19" s="50" t="s">
        <v>1494</v>
      </c>
      <c r="D19" s="63" t="s">
        <v>1574</v>
      </c>
      <c r="E19" s="63" t="s">
        <v>1755</v>
      </c>
    </row>
    <row r="20" spans="1:5">
      <c r="A20" s="48" t="s">
        <v>457</v>
      </c>
      <c r="B20" s="49" t="s">
        <v>844</v>
      </c>
      <c r="C20" s="50" t="s">
        <v>1304</v>
      </c>
      <c r="D20" s="63" t="s">
        <v>1574</v>
      </c>
      <c r="E20" s="63" t="s">
        <v>1755</v>
      </c>
    </row>
    <row r="21" spans="1:5">
      <c r="A21" s="48" t="s">
        <v>1478</v>
      </c>
      <c r="B21" s="49" t="s">
        <v>844</v>
      </c>
      <c r="C21" s="50" t="s">
        <v>1495</v>
      </c>
      <c r="D21" s="63" t="s">
        <v>1574</v>
      </c>
      <c r="E21" s="63" t="s">
        <v>1755</v>
      </c>
    </row>
    <row r="22" spans="1:5">
      <c r="A22" s="51" t="s">
        <v>204</v>
      </c>
      <c r="B22" s="30" t="s">
        <v>620</v>
      </c>
      <c r="C22" s="50" t="s">
        <v>848</v>
      </c>
      <c r="D22" s="63" t="s">
        <v>1575</v>
      </c>
      <c r="E22" s="63" t="s">
        <v>1755</v>
      </c>
    </row>
    <row r="23" spans="1:5">
      <c r="A23" s="51" t="s">
        <v>206</v>
      </c>
      <c r="B23" s="30" t="s">
        <v>622</v>
      </c>
      <c r="C23" s="50" t="s">
        <v>849</v>
      </c>
      <c r="D23" s="63" t="s">
        <v>1575</v>
      </c>
      <c r="E23" s="63" t="s">
        <v>1755</v>
      </c>
    </row>
    <row r="24" spans="1:5">
      <c r="A24" s="48" t="s">
        <v>205</v>
      </c>
      <c r="B24" s="49" t="s">
        <v>621</v>
      </c>
      <c r="C24" s="50" t="s">
        <v>1072</v>
      </c>
      <c r="D24" s="63" t="s">
        <v>1575</v>
      </c>
      <c r="E24" s="63" t="s">
        <v>1755</v>
      </c>
    </row>
    <row r="25" spans="1:5">
      <c r="A25" s="48" t="s">
        <v>208</v>
      </c>
      <c r="B25" s="49" t="s">
        <v>624</v>
      </c>
      <c r="C25" s="50" t="s">
        <v>1074</v>
      </c>
      <c r="D25" s="63" t="s">
        <v>1575</v>
      </c>
      <c r="E25" s="63" t="s">
        <v>1755</v>
      </c>
    </row>
    <row r="26" spans="1:5">
      <c r="A26" s="48" t="s">
        <v>207</v>
      </c>
      <c r="B26" s="49" t="s">
        <v>623</v>
      </c>
      <c r="C26" s="50" t="s">
        <v>1073</v>
      </c>
      <c r="D26" s="63" t="s">
        <v>1575</v>
      </c>
      <c r="E26" s="63" t="s">
        <v>1755</v>
      </c>
    </row>
    <row r="27" spans="1:5">
      <c r="A27" s="51" t="s">
        <v>210</v>
      </c>
      <c r="B27" s="30" t="s">
        <v>620</v>
      </c>
      <c r="C27" s="50" t="s">
        <v>850</v>
      </c>
      <c r="D27" s="63" t="s">
        <v>1575</v>
      </c>
      <c r="E27" s="63" t="s">
        <v>1755</v>
      </c>
    </row>
    <row r="28" spans="1:5">
      <c r="A28" s="48" t="s">
        <v>209</v>
      </c>
      <c r="B28" s="49" t="s">
        <v>625</v>
      </c>
      <c r="C28" s="50" t="s">
        <v>1075</v>
      </c>
      <c r="D28" s="63" t="s">
        <v>1575</v>
      </c>
      <c r="E28" s="63" t="s">
        <v>1755</v>
      </c>
    </row>
    <row r="29" spans="1:5">
      <c r="A29" s="48" t="s">
        <v>211</v>
      </c>
      <c r="B29" s="49" t="s">
        <v>626</v>
      </c>
      <c r="C29" s="50" t="s">
        <v>1076</v>
      </c>
      <c r="D29" s="63" t="s">
        <v>1575</v>
      </c>
      <c r="E29" s="63" t="s">
        <v>1755</v>
      </c>
    </row>
    <row r="30" spans="1:5">
      <c r="A30" s="48" t="s">
        <v>212</v>
      </c>
      <c r="B30" s="49" t="s">
        <v>627</v>
      </c>
      <c r="C30" s="50" t="s">
        <v>1077</v>
      </c>
      <c r="D30" s="63" t="s">
        <v>1575</v>
      </c>
      <c r="E30" s="63" t="s">
        <v>1755</v>
      </c>
    </row>
    <row r="31" spans="1:5">
      <c r="A31" s="48" t="s">
        <v>213</v>
      </c>
      <c r="B31" s="49" t="s">
        <v>628</v>
      </c>
      <c r="C31" s="50" t="s">
        <v>1078</v>
      </c>
      <c r="D31" s="63" t="s">
        <v>1575</v>
      </c>
      <c r="E31" s="63" t="s">
        <v>1755</v>
      </c>
    </row>
    <row r="32" spans="1:5">
      <c r="A32" s="51" t="s">
        <v>214</v>
      </c>
      <c r="B32" s="30" t="s">
        <v>851</v>
      </c>
      <c r="C32" s="50" t="s">
        <v>852</v>
      </c>
      <c r="D32" s="63" t="s">
        <v>1575</v>
      </c>
      <c r="E32" s="63" t="s">
        <v>1755</v>
      </c>
    </row>
    <row r="33" spans="1:5">
      <c r="A33" s="48" t="s">
        <v>215</v>
      </c>
      <c r="B33" s="49" t="s">
        <v>629</v>
      </c>
      <c r="C33" s="50" t="s">
        <v>1079</v>
      </c>
      <c r="D33" s="63" t="s">
        <v>1575</v>
      </c>
      <c r="E33" s="63" t="s">
        <v>1755</v>
      </c>
    </row>
    <row r="34" spans="1:5">
      <c r="A34" s="48" t="s">
        <v>216</v>
      </c>
      <c r="B34" s="49" t="s">
        <v>630</v>
      </c>
      <c r="C34" s="50" t="s">
        <v>1080</v>
      </c>
      <c r="D34" s="63" t="s">
        <v>1575</v>
      </c>
      <c r="E34" s="63" t="s">
        <v>1755</v>
      </c>
    </row>
    <row r="35" spans="1:5">
      <c r="A35" s="51" t="s">
        <v>217</v>
      </c>
      <c r="B35" s="30" t="s">
        <v>631</v>
      </c>
      <c r="C35" s="50" t="s">
        <v>853</v>
      </c>
      <c r="D35" s="63" t="s">
        <v>1575</v>
      </c>
      <c r="E35" s="63" t="s">
        <v>1755</v>
      </c>
    </row>
    <row r="36" spans="1:5">
      <c r="A36" s="48" t="s">
        <v>218</v>
      </c>
      <c r="B36" s="49" t="s">
        <v>632</v>
      </c>
      <c r="C36" s="50" t="s">
        <v>1081</v>
      </c>
      <c r="D36" s="63" t="s">
        <v>1575</v>
      </c>
      <c r="E36" s="63" t="s">
        <v>1755</v>
      </c>
    </row>
    <row r="37" spans="1:5">
      <c r="A37" s="48" t="s">
        <v>219</v>
      </c>
      <c r="B37" s="49" t="s">
        <v>633</v>
      </c>
      <c r="C37" s="50" t="s">
        <v>1082</v>
      </c>
      <c r="D37" s="63" t="s">
        <v>1576</v>
      </c>
      <c r="E37" s="63" t="s">
        <v>1755</v>
      </c>
    </row>
    <row r="38" spans="1:5">
      <c r="A38" s="48" t="s">
        <v>220</v>
      </c>
      <c r="B38" s="49" t="s">
        <v>633</v>
      </c>
      <c r="C38" s="50" t="s">
        <v>1083</v>
      </c>
      <c r="D38" s="63" t="s">
        <v>1576</v>
      </c>
      <c r="E38" s="63" t="s">
        <v>1755</v>
      </c>
    </row>
    <row r="39" spans="1:5">
      <c r="A39" s="48" t="s">
        <v>387</v>
      </c>
      <c r="B39" s="49" t="s">
        <v>782</v>
      </c>
      <c r="C39" s="50" t="s">
        <v>1252</v>
      </c>
      <c r="D39" s="63" t="s">
        <v>1576</v>
      </c>
      <c r="E39" s="63" t="s">
        <v>1755</v>
      </c>
    </row>
    <row r="40" spans="1:5">
      <c r="A40" s="48" t="s">
        <v>388</v>
      </c>
      <c r="B40" s="49" t="s">
        <v>783</v>
      </c>
      <c r="C40" s="50" t="s">
        <v>1253</v>
      </c>
      <c r="D40" s="63" t="s">
        <v>1576</v>
      </c>
      <c r="E40" s="63" t="s">
        <v>1755</v>
      </c>
    </row>
    <row r="41" spans="1:5">
      <c r="A41" s="48" t="s">
        <v>389</v>
      </c>
      <c r="B41" s="49" t="s">
        <v>784</v>
      </c>
      <c r="C41" s="50" t="s">
        <v>1254</v>
      </c>
      <c r="D41" s="63" t="s">
        <v>1576</v>
      </c>
      <c r="E41" s="63" t="s">
        <v>1755</v>
      </c>
    </row>
    <row r="42" spans="1:5">
      <c r="A42" s="64" t="s">
        <v>1498</v>
      </c>
      <c r="B42" s="49" t="s">
        <v>782</v>
      </c>
      <c r="C42" s="64" t="s">
        <v>1499</v>
      </c>
      <c r="D42" s="63" t="s">
        <v>1576</v>
      </c>
      <c r="E42" s="63" t="s">
        <v>1755</v>
      </c>
    </row>
    <row r="43" spans="1:5">
      <c r="A43" s="48" t="s">
        <v>198</v>
      </c>
      <c r="B43" s="49" t="s">
        <v>617</v>
      </c>
      <c r="C43" s="50" t="s">
        <v>1069</v>
      </c>
      <c r="D43" s="63" t="s">
        <v>1577</v>
      </c>
      <c r="E43" s="63" t="s">
        <v>1755</v>
      </c>
    </row>
    <row r="44" spans="1:5">
      <c r="A44" s="48" t="s">
        <v>199</v>
      </c>
      <c r="B44" s="49" t="s">
        <v>618</v>
      </c>
      <c r="C44" s="50" t="s">
        <v>1070</v>
      </c>
      <c r="D44" s="63" t="s">
        <v>1577</v>
      </c>
      <c r="E44" s="63" t="s">
        <v>1755</v>
      </c>
    </row>
    <row r="45" spans="1:5">
      <c r="A45" s="63" t="s">
        <v>1578</v>
      </c>
      <c r="B45" s="49" t="s">
        <v>1579</v>
      </c>
      <c r="C45" s="64" t="s">
        <v>1580</v>
      </c>
      <c r="D45" s="63" t="s">
        <v>1581</v>
      </c>
      <c r="E45" s="63" t="s">
        <v>1581</v>
      </c>
    </row>
    <row r="46" spans="1:5">
      <c r="A46" s="63" t="s">
        <v>1582</v>
      </c>
      <c r="B46" s="49" t="s">
        <v>1583</v>
      </c>
      <c r="C46" s="64" t="s">
        <v>1584</v>
      </c>
      <c r="D46" s="63" t="s">
        <v>1581</v>
      </c>
      <c r="E46" s="63" t="s">
        <v>1581</v>
      </c>
    </row>
    <row r="47" spans="1:5">
      <c r="A47" s="63" t="s">
        <v>1585</v>
      </c>
      <c r="B47" s="49" t="s">
        <v>1586</v>
      </c>
      <c r="C47" s="64" t="s">
        <v>1587</v>
      </c>
      <c r="D47" s="63" t="s">
        <v>1581</v>
      </c>
      <c r="E47" s="63" t="s">
        <v>1581</v>
      </c>
    </row>
    <row r="48" spans="1:5">
      <c r="A48" s="63" t="s">
        <v>1588</v>
      </c>
      <c r="B48" s="49" t="s">
        <v>1589</v>
      </c>
      <c r="C48" s="64" t="s">
        <v>1590</v>
      </c>
      <c r="D48" s="63" t="s">
        <v>1581</v>
      </c>
      <c r="E48" s="63" t="s">
        <v>1581</v>
      </c>
    </row>
    <row r="49" spans="1:5">
      <c r="A49" s="63" t="s">
        <v>1591</v>
      </c>
      <c r="B49" s="49" t="s">
        <v>1592</v>
      </c>
      <c r="C49" s="64" t="s">
        <v>1593</v>
      </c>
      <c r="D49" s="63" t="s">
        <v>1581</v>
      </c>
      <c r="E49" s="63" t="s">
        <v>1581</v>
      </c>
    </row>
    <row r="50" spans="1:5">
      <c r="A50" s="63" t="s">
        <v>1594</v>
      </c>
      <c r="B50" s="49" t="s">
        <v>1595</v>
      </c>
      <c r="C50" s="64" t="s">
        <v>1596</v>
      </c>
      <c r="D50" s="63" t="s">
        <v>1581</v>
      </c>
      <c r="E50" s="63" t="s">
        <v>1581</v>
      </c>
    </row>
    <row r="51" spans="1:5">
      <c r="A51" s="63" t="s">
        <v>1597</v>
      </c>
      <c r="B51" s="49" t="s">
        <v>1598</v>
      </c>
      <c r="C51" s="64" t="s">
        <v>1599</v>
      </c>
      <c r="D51" s="63" t="s">
        <v>1581</v>
      </c>
      <c r="E51" s="63" t="s">
        <v>1581</v>
      </c>
    </row>
    <row r="52" spans="1:5">
      <c r="A52" s="63" t="s">
        <v>1600</v>
      </c>
      <c r="B52" s="49" t="s">
        <v>1601</v>
      </c>
      <c r="C52" s="64" t="s">
        <v>1602</v>
      </c>
      <c r="D52" s="63" t="s">
        <v>1581</v>
      </c>
      <c r="E52" s="63" t="s">
        <v>1581</v>
      </c>
    </row>
    <row r="53" spans="1:5">
      <c r="A53" s="63" t="s">
        <v>1603</v>
      </c>
      <c r="B53" s="49" t="s">
        <v>1604</v>
      </c>
      <c r="C53" s="64" t="s">
        <v>1605</v>
      </c>
      <c r="D53" s="63" t="s">
        <v>1581</v>
      </c>
      <c r="E53" s="63" t="s">
        <v>1581</v>
      </c>
    </row>
    <row r="54" spans="1:5">
      <c r="A54" s="63" t="s">
        <v>1606</v>
      </c>
      <c r="B54" s="49" t="s">
        <v>1607</v>
      </c>
      <c r="C54" s="64" t="s">
        <v>1608</v>
      </c>
      <c r="D54" s="63" t="s">
        <v>1581</v>
      </c>
      <c r="E54" s="63" t="s">
        <v>1581</v>
      </c>
    </row>
    <row r="55" spans="1:5">
      <c r="A55" s="63" t="s">
        <v>1609</v>
      </c>
      <c r="B55" s="49" t="s">
        <v>1610</v>
      </c>
      <c r="C55" s="64" t="s">
        <v>1611</v>
      </c>
      <c r="D55" s="63" t="s">
        <v>1581</v>
      </c>
      <c r="E55" s="63" t="s">
        <v>1581</v>
      </c>
    </row>
    <row r="56" spans="1:5">
      <c r="A56" s="63" t="s">
        <v>1612</v>
      </c>
      <c r="B56" s="49" t="s">
        <v>1613</v>
      </c>
      <c r="C56" s="64" t="s">
        <v>1614</v>
      </c>
      <c r="D56" s="63" t="s">
        <v>1581</v>
      </c>
      <c r="E56" s="63" t="s">
        <v>1581</v>
      </c>
    </row>
    <row r="57" spans="1:5">
      <c r="A57" s="48" t="s">
        <v>432</v>
      </c>
      <c r="B57" s="30" t="s">
        <v>826</v>
      </c>
      <c r="C57" s="50" t="s">
        <v>1287</v>
      </c>
      <c r="D57" s="63" t="s">
        <v>1615</v>
      </c>
      <c r="E57" s="63" t="s">
        <v>1755</v>
      </c>
    </row>
    <row r="58" spans="1:5">
      <c r="A58" s="48" t="s">
        <v>433</v>
      </c>
      <c r="B58" s="30" t="s">
        <v>827</v>
      </c>
      <c r="C58" s="50" t="s">
        <v>1288</v>
      </c>
      <c r="D58" s="63" t="s">
        <v>1615</v>
      </c>
      <c r="E58" s="63" t="s">
        <v>1755</v>
      </c>
    </row>
    <row r="59" spans="1:5">
      <c r="A59" s="48" t="s">
        <v>434</v>
      </c>
      <c r="B59" s="30" t="s">
        <v>827</v>
      </c>
      <c r="C59" s="50" t="s">
        <v>1289</v>
      </c>
      <c r="D59" s="63" t="s">
        <v>1615</v>
      </c>
      <c r="E59" s="63" t="s">
        <v>1755</v>
      </c>
    </row>
    <row r="60" spans="1:5">
      <c r="A60" s="48" t="s">
        <v>435</v>
      </c>
      <c r="B60" s="30" t="s">
        <v>828</v>
      </c>
      <c r="C60" s="50" t="s">
        <v>1290</v>
      </c>
      <c r="D60" s="63" t="s">
        <v>1576</v>
      </c>
      <c r="E60" s="63" t="s">
        <v>1755</v>
      </c>
    </row>
    <row r="61" spans="1:5">
      <c r="A61" s="48" t="s">
        <v>436</v>
      </c>
      <c r="B61" s="49" t="s">
        <v>826</v>
      </c>
      <c r="C61" s="50" t="s">
        <v>1291</v>
      </c>
      <c r="D61" s="63" t="s">
        <v>1615</v>
      </c>
      <c r="E61" s="63" t="s">
        <v>1755</v>
      </c>
    </row>
    <row r="62" spans="1:5">
      <c r="A62" s="48" t="s">
        <v>60</v>
      </c>
      <c r="B62" s="49" t="s">
        <v>511</v>
      </c>
      <c r="C62" s="50" t="s">
        <v>956</v>
      </c>
      <c r="D62" s="63" t="s">
        <v>1576</v>
      </c>
      <c r="E62" s="63" t="s">
        <v>1755</v>
      </c>
    </row>
    <row r="63" spans="1:5">
      <c r="A63" s="48" t="s">
        <v>61</v>
      </c>
      <c r="B63" s="49" t="s">
        <v>512</v>
      </c>
      <c r="C63" s="50" t="s">
        <v>957</v>
      </c>
      <c r="D63" s="63" t="s">
        <v>1576</v>
      </c>
      <c r="E63" s="63" t="s">
        <v>1755</v>
      </c>
    </row>
    <row r="64" spans="1:5">
      <c r="A64" s="48" t="s">
        <v>62</v>
      </c>
      <c r="B64" s="49" t="s">
        <v>513</v>
      </c>
      <c r="C64" s="50" t="s">
        <v>958</v>
      </c>
      <c r="D64" s="63" t="s">
        <v>1576</v>
      </c>
      <c r="E64" s="63" t="s">
        <v>1755</v>
      </c>
    </row>
    <row r="65" spans="1:5">
      <c r="A65" s="48" t="s">
        <v>443</v>
      </c>
      <c r="B65" s="49" t="s">
        <v>834</v>
      </c>
      <c r="C65" s="50" t="s">
        <v>1298</v>
      </c>
      <c r="D65" s="63" t="s">
        <v>1576</v>
      </c>
      <c r="E65" s="63" t="s">
        <v>1755</v>
      </c>
    </row>
    <row r="66" spans="1:5">
      <c r="A66" s="48" t="s">
        <v>63</v>
      </c>
      <c r="B66" s="49" t="s">
        <v>514</v>
      </c>
      <c r="C66" s="50" t="s">
        <v>959</v>
      </c>
      <c r="D66" s="63" t="s">
        <v>1616</v>
      </c>
      <c r="E66" s="63" t="s">
        <v>1755</v>
      </c>
    </row>
    <row r="67" spans="1:5">
      <c r="A67" s="48" t="s">
        <v>439</v>
      </c>
      <c r="B67" s="49" t="s">
        <v>831</v>
      </c>
      <c r="C67" s="50" t="s">
        <v>1294</v>
      </c>
      <c r="D67" s="63" t="s">
        <v>1576</v>
      </c>
      <c r="E67" s="63" t="s">
        <v>1755</v>
      </c>
    </row>
    <row r="68" spans="1:5">
      <c r="A68" s="48" t="s">
        <v>440</v>
      </c>
      <c r="B68" s="49" t="s">
        <v>832</v>
      </c>
      <c r="C68" s="50" t="s">
        <v>1295</v>
      </c>
      <c r="D68" s="63" t="s">
        <v>1576</v>
      </c>
      <c r="E68" s="63" t="s">
        <v>1755</v>
      </c>
    </row>
    <row r="69" spans="1:5">
      <c r="A69" s="48" t="s">
        <v>441</v>
      </c>
      <c r="B69" s="49" t="s">
        <v>832</v>
      </c>
      <c r="C69" s="50" t="s">
        <v>1296</v>
      </c>
      <c r="D69" s="63" t="s">
        <v>1576</v>
      </c>
      <c r="E69" s="63" t="s">
        <v>1755</v>
      </c>
    </row>
    <row r="70" spans="1:5">
      <c r="A70" s="48" t="s">
        <v>442</v>
      </c>
      <c r="B70" s="49" t="s">
        <v>833</v>
      </c>
      <c r="C70" s="50" t="s">
        <v>1297</v>
      </c>
      <c r="D70" s="63" t="s">
        <v>1576</v>
      </c>
      <c r="E70" s="63" t="s">
        <v>1755</v>
      </c>
    </row>
    <row r="71" spans="1:5">
      <c r="A71" s="109" t="s">
        <v>1727</v>
      </c>
      <c r="B71" s="49" t="s">
        <v>1728</v>
      </c>
      <c r="C71" s="64" t="s">
        <v>1729</v>
      </c>
      <c r="D71" s="63" t="s">
        <v>1576</v>
      </c>
      <c r="E71" s="63" t="s">
        <v>1755</v>
      </c>
    </row>
    <row r="72" spans="1:5">
      <c r="A72" s="48" t="s">
        <v>197</v>
      </c>
      <c r="B72" s="49" t="s">
        <v>616</v>
      </c>
      <c r="C72" s="50" t="s">
        <v>1068</v>
      </c>
      <c r="D72" s="63" t="s">
        <v>1576</v>
      </c>
      <c r="E72" s="63" t="s">
        <v>1755</v>
      </c>
    </row>
    <row r="73" spans="1:5">
      <c r="A73" s="48" t="s">
        <v>200</v>
      </c>
      <c r="B73" s="49" t="s">
        <v>619</v>
      </c>
      <c r="C73" s="50" t="s">
        <v>1071</v>
      </c>
      <c r="D73" s="63" t="s">
        <v>1576</v>
      </c>
      <c r="E73" s="63" t="s">
        <v>1755</v>
      </c>
    </row>
    <row r="74" spans="1:5">
      <c r="A74" s="48" t="s">
        <v>360</v>
      </c>
      <c r="B74" s="30" t="s">
        <v>758</v>
      </c>
      <c r="C74" s="50" t="s">
        <v>1230</v>
      </c>
      <c r="D74" s="63" t="s">
        <v>1617</v>
      </c>
      <c r="E74" s="63" t="s">
        <v>1755</v>
      </c>
    </row>
    <row r="75" spans="1:5">
      <c r="A75" s="48" t="s">
        <v>361</v>
      </c>
      <c r="B75" s="30" t="s">
        <v>759</v>
      </c>
      <c r="C75" s="50" t="s">
        <v>1231</v>
      </c>
      <c r="D75" s="63" t="s">
        <v>1617</v>
      </c>
      <c r="E75" s="63" t="s">
        <v>1755</v>
      </c>
    </row>
    <row r="76" spans="1:5">
      <c r="A76" s="48" t="s">
        <v>362</v>
      </c>
      <c r="B76" s="30" t="s">
        <v>760</v>
      </c>
      <c r="C76" s="50" t="s">
        <v>1232</v>
      </c>
      <c r="D76" s="63" t="s">
        <v>1576</v>
      </c>
      <c r="E76" s="63" t="s">
        <v>1755</v>
      </c>
    </row>
    <row r="77" spans="1:5">
      <c r="A77" s="48" t="s">
        <v>413</v>
      </c>
      <c r="B77" s="30" t="s">
        <v>808</v>
      </c>
      <c r="C77" s="50" t="s">
        <v>1275</v>
      </c>
      <c r="D77" s="63" t="s">
        <v>1618</v>
      </c>
      <c r="E77" s="63" t="s">
        <v>1755</v>
      </c>
    </row>
    <row r="78" spans="1:5">
      <c r="A78" s="48" t="s">
        <v>414</v>
      </c>
      <c r="B78" s="30" t="s">
        <v>808</v>
      </c>
      <c r="C78" s="50" t="s">
        <v>1276</v>
      </c>
      <c r="D78" s="63" t="s">
        <v>1618</v>
      </c>
      <c r="E78" s="63" t="s">
        <v>1755</v>
      </c>
    </row>
    <row r="79" spans="1:5">
      <c r="A79" s="109" t="s">
        <v>1693</v>
      </c>
      <c r="B79" s="49" t="s">
        <v>1694</v>
      </c>
      <c r="C79" s="64" t="s">
        <v>1695</v>
      </c>
      <c r="D79" s="63" t="s">
        <v>1618</v>
      </c>
      <c r="E79" s="63" t="s">
        <v>1755</v>
      </c>
    </row>
    <row r="80" spans="1:5">
      <c r="A80" s="109" t="s">
        <v>1730</v>
      </c>
      <c r="B80" s="49" t="s">
        <v>1731</v>
      </c>
      <c r="C80" s="64" t="s">
        <v>1732</v>
      </c>
      <c r="D80" s="63" t="s">
        <v>1618</v>
      </c>
      <c r="E80" s="63" t="s">
        <v>1755</v>
      </c>
    </row>
    <row r="81" spans="1:5">
      <c r="A81" s="51" t="s">
        <v>415</v>
      </c>
      <c r="B81" s="30" t="s">
        <v>809</v>
      </c>
      <c r="C81" s="50" t="s">
        <v>854</v>
      </c>
      <c r="D81" s="63" t="s">
        <v>1619</v>
      </c>
      <c r="E81" s="63" t="s">
        <v>1755</v>
      </c>
    </row>
    <row r="82" spans="1:5">
      <c r="A82" s="51" t="s">
        <v>416</v>
      </c>
      <c r="B82" s="30" t="s">
        <v>810</v>
      </c>
      <c r="C82" s="50" t="s">
        <v>855</v>
      </c>
      <c r="D82" s="63" t="s">
        <v>1619</v>
      </c>
      <c r="E82" s="63" t="s">
        <v>1755</v>
      </c>
    </row>
    <row r="83" spans="1:5">
      <c r="A83" s="51" t="s">
        <v>417</v>
      </c>
      <c r="B83" s="30" t="s">
        <v>811</v>
      </c>
      <c r="C83" s="50" t="s">
        <v>856</v>
      </c>
      <c r="D83" s="63" t="s">
        <v>1619</v>
      </c>
      <c r="E83" s="63" t="s">
        <v>1755</v>
      </c>
    </row>
    <row r="84" spans="1:5">
      <c r="A84" s="51" t="s">
        <v>418</v>
      </c>
      <c r="B84" s="30" t="s">
        <v>812</v>
      </c>
      <c r="C84" s="50" t="s">
        <v>857</v>
      </c>
      <c r="D84" s="63" t="s">
        <v>1619</v>
      </c>
      <c r="E84" s="63" t="s">
        <v>1755</v>
      </c>
    </row>
    <row r="85" spans="1:5">
      <c r="A85" s="48" t="s">
        <v>282</v>
      </c>
      <c r="B85" s="30" t="s">
        <v>691</v>
      </c>
      <c r="C85" s="50" t="s">
        <v>1159</v>
      </c>
      <c r="D85" s="63" t="s">
        <v>1620</v>
      </c>
      <c r="E85" s="63" t="s">
        <v>1755</v>
      </c>
    </row>
    <row r="86" spans="1:5">
      <c r="A86" s="63" t="s">
        <v>1354</v>
      </c>
      <c r="B86" s="49" t="s">
        <v>1355</v>
      </c>
      <c r="C86" s="52" t="s">
        <v>1356</v>
      </c>
      <c r="D86" s="63" t="s">
        <v>1620</v>
      </c>
      <c r="E86" s="63" t="s">
        <v>1755</v>
      </c>
    </row>
    <row r="87" spans="1:5">
      <c r="A87" s="48" t="s">
        <v>283</v>
      </c>
      <c r="B87" s="30" t="s">
        <v>692</v>
      </c>
      <c r="C87" s="50" t="s">
        <v>1160</v>
      </c>
      <c r="D87" s="63" t="s">
        <v>1620</v>
      </c>
      <c r="E87" s="63" t="s">
        <v>1755</v>
      </c>
    </row>
    <row r="88" spans="1:5">
      <c r="A88" s="63" t="s">
        <v>1638</v>
      </c>
      <c r="B88" s="49" t="s">
        <v>1642</v>
      </c>
      <c r="C88" s="64" t="s">
        <v>1641</v>
      </c>
      <c r="D88" s="63" t="s">
        <v>1620</v>
      </c>
      <c r="E88" s="63" t="s">
        <v>1755</v>
      </c>
    </row>
    <row r="89" spans="1:5">
      <c r="A89" s="48" t="s">
        <v>284</v>
      </c>
      <c r="B89" s="30" t="s">
        <v>693</v>
      </c>
      <c r="C89" s="50" t="s">
        <v>1161</v>
      </c>
      <c r="D89" s="63" t="s">
        <v>1620</v>
      </c>
      <c r="E89" s="63" t="s">
        <v>1755</v>
      </c>
    </row>
    <row r="90" spans="1:5">
      <c r="A90" s="109" t="s">
        <v>1680</v>
      </c>
      <c r="B90" s="49" t="s">
        <v>1681</v>
      </c>
      <c r="C90" s="64" t="s">
        <v>1682</v>
      </c>
      <c r="D90" s="63" t="s">
        <v>1620</v>
      </c>
      <c r="E90" s="63" t="s">
        <v>1755</v>
      </c>
    </row>
    <row r="91" spans="1:5">
      <c r="A91" s="48" t="s">
        <v>285</v>
      </c>
      <c r="B91" s="30" t="s">
        <v>694</v>
      </c>
      <c r="C91" s="50" t="s">
        <v>1162</v>
      </c>
      <c r="D91" s="63" t="s">
        <v>1620</v>
      </c>
      <c r="E91" s="63" t="s">
        <v>1755</v>
      </c>
    </row>
    <row r="92" spans="1:5">
      <c r="A92" s="109" t="s">
        <v>1696</v>
      </c>
      <c r="B92" s="49" t="s">
        <v>1697</v>
      </c>
      <c r="C92" s="64" t="s">
        <v>1695</v>
      </c>
      <c r="D92" s="63" t="s">
        <v>1620</v>
      </c>
      <c r="E92" s="63" t="s">
        <v>1755</v>
      </c>
    </row>
    <row r="93" spans="1:5">
      <c r="A93" s="48" t="s">
        <v>286</v>
      </c>
      <c r="B93" s="49" t="s">
        <v>695</v>
      </c>
      <c r="C93" s="50" t="s">
        <v>1163</v>
      </c>
      <c r="D93" s="63" t="s">
        <v>1620</v>
      </c>
      <c r="E93" s="63" t="s">
        <v>1755</v>
      </c>
    </row>
    <row r="94" spans="1:5">
      <c r="A94" s="48" t="s">
        <v>287</v>
      </c>
      <c r="B94" s="49" t="s">
        <v>696</v>
      </c>
      <c r="C94" s="50" t="s">
        <v>1164</v>
      </c>
      <c r="D94" s="63" t="s">
        <v>1620</v>
      </c>
      <c r="E94" s="63" t="s">
        <v>1755</v>
      </c>
    </row>
    <row r="95" spans="1:5">
      <c r="A95" s="48" t="s">
        <v>335</v>
      </c>
      <c r="B95" s="49" t="s">
        <v>738</v>
      </c>
      <c r="C95" s="50" t="s">
        <v>1204</v>
      </c>
      <c r="D95" s="63" t="s">
        <v>1620</v>
      </c>
      <c r="E95" s="63" t="s">
        <v>1755</v>
      </c>
    </row>
    <row r="96" spans="1:5">
      <c r="A96" s="51" t="s">
        <v>334</v>
      </c>
      <c r="B96" s="30" t="s">
        <v>1143</v>
      </c>
      <c r="C96" s="50" t="s">
        <v>1144</v>
      </c>
      <c r="D96" s="63" t="s">
        <v>1620</v>
      </c>
      <c r="E96" s="63" t="s">
        <v>1755</v>
      </c>
    </row>
    <row r="97" spans="1:5">
      <c r="A97" s="63" t="s">
        <v>1357</v>
      </c>
      <c r="B97" s="49" t="s">
        <v>1358</v>
      </c>
      <c r="C97" s="52" t="s">
        <v>1359</v>
      </c>
      <c r="D97" s="63" t="s">
        <v>1620</v>
      </c>
      <c r="E97" s="63" t="s">
        <v>1755</v>
      </c>
    </row>
    <row r="98" spans="1:5">
      <c r="A98" s="63" t="s">
        <v>1554</v>
      </c>
      <c r="B98" s="30" t="s">
        <v>1556</v>
      </c>
      <c r="C98" s="64" t="s">
        <v>1555</v>
      </c>
      <c r="D98" s="63" t="s">
        <v>1620</v>
      </c>
      <c r="E98" s="63" t="s">
        <v>1755</v>
      </c>
    </row>
    <row r="99" spans="1:5">
      <c r="A99" s="48" t="s">
        <v>464</v>
      </c>
      <c r="B99" s="49" t="s">
        <v>755</v>
      </c>
      <c r="C99" s="50" t="s">
        <v>1219</v>
      </c>
      <c r="D99" s="63" t="s">
        <v>1620</v>
      </c>
      <c r="E99" s="63" t="s">
        <v>1755</v>
      </c>
    </row>
    <row r="100" spans="1:5">
      <c r="A100" s="48" t="s">
        <v>288</v>
      </c>
      <c r="B100" s="30" t="s">
        <v>697</v>
      </c>
      <c r="C100" s="50" t="s">
        <v>1165</v>
      </c>
      <c r="D100" s="63" t="s">
        <v>1620</v>
      </c>
      <c r="E100" s="63" t="s">
        <v>1755</v>
      </c>
    </row>
    <row r="101" spans="1:5">
      <c r="A101" s="48" t="s">
        <v>289</v>
      </c>
      <c r="B101" s="30" t="s">
        <v>698</v>
      </c>
      <c r="C101" s="50" t="s">
        <v>1166</v>
      </c>
      <c r="D101" s="63" t="s">
        <v>1620</v>
      </c>
      <c r="E101" s="63" t="s">
        <v>1755</v>
      </c>
    </row>
    <row r="102" spans="1:5">
      <c r="A102" s="48" t="s">
        <v>356</v>
      </c>
      <c r="B102" s="49" t="s">
        <v>755</v>
      </c>
      <c r="C102" s="50" t="s">
        <v>1220</v>
      </c>
      <c r="D102" s="63" t="s">
        <v>1620</v>
      </c>
      <c r="E102" s="63" t="s">
        <v>1755</v>
      </c>
    </row>
    <row r="103" spans="1:5">
      <c r="A103" s="51" t="s">
        <v>357</v>
      </c>
      <c r="B103" s="30" t="s">
        <v>1145</v>
      </c>
      <c r="C103" s="50" t="s">
        <v>1146</v>
      </c>
      <c r="D103" s="63" t="s">
        <v>1620</v>
      </c>
      <c r="E103" s="63" t="s">
        <v>1755</v>
      </c>
    </row>
    <row r="104" spans="1:5">
      <c r="A104" s="48" t="s">
        <v>290</v>
      </c>
      <c r="B104" s="30" t="s">
        <v>699</v>
      </c>
      <c r="C104" s="50" t="s">
        <v>1167</v>
      </c>
      <c r="D104" s="63" t="s">
        <v>1620</v>
      </c>
      <c r="E104" s="63" t="s">
        <v>1755</v>
      </c>
    </row>
    <row r="105" spans="1:5">
      <c r="A105" s="51" t="s">
        <v>324</v>
      </c>
      <c r="B105" s="30" t="s">
        <v>729</v>
      </c>
      <c r="C105" s="50" t="s">
        <v>1147</v>
      </c>
      <c r="D105" s="63" t="s">
        <v>1620</v>
      </c>
      <c r="E105" s="63" t="s">
        <v>1755</v>
      </c>
    </row>
    <row r="106" spans="1:5">
      <c r="A106" s="63" t="s">
        <v>1507</v>
      </c>
      <c r="B106" s="49" t="s">
        <v>708</v>
      </c>
      <c r="C106" s="64" t="s">
        <v>1508</v>
      </c>
      <c r="D106" s="63" t="s">
        <v>1620</v>
      </c>
      <c r="E106" s="63" t="s">
        <v>1755</v>
      </c>
    </row>
    <row r="107" spans="1:5">
      <c r="A107" s="48" t="s">
        <v>291</v>
      </c>
      <c r="B107" s="30" t="s">
        <v>700</v>
      </c>
      <c r="C107" s="50" t="s">
        <v>1168</v>
      </c>
      <c r="D107" s="63" t="s">
        <v>1620</v>
      </c>
      <c r="E107" s="63" t="s">
        <v>1755</v>
      </c>
    </row>
    <row r="108" spans="1:5">
      <c r="A108" s="63" t="s">
        <v>1639</v>
      </c>
      <c r="B108" s="49" t="s">
        <v>1643</v>
      </c>
      <c r="C108" s="64" t="s">
        <v>1644</v>
      </c>
      <c r="D108" s="63" t="s">
        <v>1620</v>
      </c>
      <c r="E108" s="63" t="s">
        <v>1755</v>
      </c>
    </row>
    <row r="109" spans="1:5">
      <c r="A109" s="63" t="s">
        <v>1360</v>
      </c>
      <c r="B109" s="49" t="s">
        <v>1361</v>
      </c>
      <c r="C109" s="52" t="s">
        <v>1362</v>
      </c>
      <c r="D109" s="63" t="s">
        <v>1620</v>
      </c>
      <c r="E109" s="63" t="s">
        <v>1755</v>
      </c>
    </row>
    <row r="110" spans="1:5">
      <c r="A110" s="48" t="s">
        <v>292</v>
      </c>
      <c r="B110" s="30" t="s">
        <v>701</v>
      </c>
      <c r="C110" s="50" t="s">
        <v>1169</v>
      </c>
      <c r="D110" s="63" t="s">
        <v>1620</v>
      </c>
      <c r="E110" s="63" t="s">
        <v>1755</v>
      </c>
    </row>
    <row r="111" spans="1:5">
      <c r="A111" s="48" t="s">
        <v>293</v>
      </c>
      <c r="B111" s="30" t="s">
        <v>702</v>
      </c>
      <c r="C111" s="50" t="s">
        <v>1170</v>
      </c>
      <c r="D111" s="63" t="s">
        <v>1620</v>
      </c>
      <c r="E111" s="63" t="s">
        <v>1755</v>
      </c>
    </row>
    <row r="112" spans="1:5">
      <c r="A112" s="63" t="s">
        <v>1363</v>
      </c>
      <c r="B112" s="49" t="s">
        <v>1364</v>
      </c>
      <c r="C112" s="50" t="s">
        <v>1365</v>
      </c>
      <c r="D112" s="63" t="s">
        <v>1620</v>
      </c>
      <c r="E112" s="63" t="s">
        <v>1755</v>
      </c>
    </row>
    <row r="113" spans="1:5">
      <c r="A113" s="48" t="s">
        <v>294</v>
      </c>
      <c r="B113" s="30" t="s">
        <v>703</v>
      </c>
      <c r="C113" s="50" t="s">
        <v>1171</v>
      </c>
      <c r="D113" s="63" t="s">
        <v>1620</v>
      </c>
      <c r="E113" s="63" t="s">
        <v>1755</v>
      </c>
    </row>
    <row r="114" spans="1:5">
      <c r="A114" s="48" t="s">
        <v>325</v>
      </c>
      <c r="B114" s="49" t="s">
        <v>730</v>
      </c>
      <c r="C114" s="50" t="s">
        <v>1195</v>
      </c>
      <c r="D114" s="63" t="s">
        <v>1620</v>
      </c>
      <c r="E114" s="63" t="s">
        <v>1755</v>
      </c>
    </row>
    <row r="115" spans="1:5">
      <c r="A115" s="48" t="s">
        <v>326</v>
      </c>
      <c r="B115" s="49" t="s">
        <v>731</v>
      </c>
      <c r="C115" s="50" t="s">
        <v>1196</v>
      </c>
      <c r="D115" s="63" t="s">
        <v>1620</v>
      </c>
      <c r="E115" s="63" t="s">
        <v>1755</v>
      </c>
    </row>
    <row r="116" spans="1:5">
      <c r="A116" s="48" t="s">
        <v>327</v>
      </c>
      <c r="B116" s="49" t="s">
        <v>731</v>
      </c>
      <c r="C116" s="50" t="s">
        <v>1197</v>
      </c>
      <c r="D116" s="63" t="s">
        <v>1620</v>
      </c>
      <c r="E116" s="63" t="s">
        <v>1755</v>
      </c>
    </row>
    <row r="117" spans="1:5">
      <c r="A117" s="48" t="s">
        <v>328</v>
      </c>
      <c r="B117" s="49" t="s">
        <v>732</v>
      </c>
      <c r="C117" s="50" t="s">
        <v>1198</v>
      </c>
      <c r="D117" s="63" t="s">
        <v>1620</v>
      </c>
      <c r="E117" s="63" t="s">
        <v>1755</v>
      </c>
    </row>
    <row r="118" spans="1:5">
      <c r="A118" s="48" t="s">
        <v>329</v>
      </c>
      <c r="B118" s="49" t="s">
        <v>732</v>
      </c>
      <c r="C118" s="50" t="s">
        <v>1199</v>
      </c>
      <c r="D118" s="63" t="s">
        <v>1620</v>
      </c>
      <c r="E118" s="63" t="s">
        <v>1755</v>
      </c>
    </row>
    <row r="119" spans="1:5">
      <c r="A119" s="48" t="s">
        <v>330</v>
      </c>
      <c r="B119" s="49" t="s">
        <v>733</v>
      </c>
      <c r="C119" s="50" t="s">
        <v>1200</v>
      </c>
      <c r="D119" s="63" t="s">
        <v>1620</v>
      </c>
      <c r="E119" s="63" t="s">
        <v>1755</v>
      </c>
    </row>
    <row r="120" spans="1:5">
      <c r="A120" s="51" t="s">
        <v>466</v>
      </c>
      <c r="B120" s="30" t="s">
        <v>734</v>
      </c>
      <c r="C120" s="50" t="s">
        <v>1148</v>
      </c>
      <c r="D120" s="63" t="s">
        <v>1620</v>
      </c>
      <c r="E120" s="63" t="s">
        <v>1755</v>
      </c>
    </row>
    <row r="121" spans="1:5">
      <c r="A121" s="29" t="s">
        <v>1760</v>
      </c>
      <c r="B121" s="30" t="s">
        <v>734</v>
      </c>
      <c r="C121" s="64" t="s">
        <v>1761</v>
      </c>
      <c r="D121" s="63" t="s">
        <v>1620</v>
      </c>
      <c r="E121" s="63" t="s">
        <v>1755</v>
      </c>
    </row>
    <row r="122" spans="1:5">
      <c r="A122" s="48" t="s">
        <v>295</v>
      </c>
      <c r="B122" s="49" t="s">
        <v>704</v>
      </c>
      <c r="C122" s="50" t="s">
        <v>1172</v>
      </c>
      <c r="D122" s="63" t="s">
        <v>1620</v>
      </c>
      <c r="E122" s="63" t="s">
        <v>1755</v>
      </c>
    </row>
    <row r="123" spans="1:5">
      <c r="A123" s="63" t="s">
        <v>1366</v>
      </c>
      <c r="B123" s="49" t="s">
        <v>1367</v>
      </c>
      <c r="C123" s="50" t="s">
        <v>1368</v>
      </c>
      <c r="D123" s="63" t="s">
        <v>1620</v>
      </c>
      <c r="E123" s="63" t="s">
        <v>1755</v>
      </c>
    </row>
    <row r="124" spans="1:5">
      <c r="A124" s="51" t="s">
        <v>296</v>
      </c>
      <c r="B124" s="30" t="s">
        <v>705</v>
      </c>
      <c r="C124" s="50" t="s">
        <v>1149</v>
      </c>
      <c r="D124" s="63" t="s">
        <v>1620</v>
      </c>
      <c r="E124" s="63" t="s">
        <v>1755</v>
      </c>
    </row>
    <row r="125" spans="1:5">
      <c r="A125" s="63" t="s">
        <v>1640</v>
      </c>
      <c r="B125" s="30" t="s">
        <v>701</v>
      </c>
      <c r="C125" s="64" t="s">
        <v>1645</v>
      </c>
      <c r="D125" s="63" t="s">
        <v>1620</v>
      </c>
      <c r="E125" s="63" t="s">
        <v>1755</v>
      </c>
    </row>
    <row r="126" spans="1:5">
      <c r="A126" s="48" t="s">
        <v>297</v>
      </c>
      <c r="B126" s="49" t="s">
        <v>706</v>
      </c>
      <c r="C126" s="50" t="s">
        <v>1173</v>
      </c>
      <c r="D126" s="63" t="s">
        <v>1620</v>
      </c>
      <c r="E126" s="63" t="s">
        <v>1755</v>
      </c>
    </row>
    <row r="127" spans="1:5">
      <c r="A127" s="48" t="s">
        <v>298</v>
      </c>
      <c r="B127" s="49" t="s">
        <v>707</v>
      </c>
      <c r="C127" s="50" t="s">
        <v>1174</v>
      </c>
      <c r="D127" s="63" t="s">
        <v>1620</v>
      </c>
      <c r="E127" s="63" t="s">
        <v>1755</v>
      </c>
    </row>
    <row r="128" spans="1:5">
      <c r="A128" s="48" t="s">
        <v>299</v>
      </c>
      <c r="B128" s="49" t="s">
        <v>707</v>
      </c>
      <c r="C128" s="50" t="s">
        <v>1175</v>
      </c>
      <c r="D128" s="63" t="s">
        <v>1620</v>
      </c>
      <c r="E128" s="63" t="s">
        <v>1755</v>
      </c>
    </row>
    <row r="129" spans="1:5">
      <c r="A129" s="51" t="s">
        <v>300</v>
      </c>
      <c r="B129" s="30" t="s">
        <v>708</v>
      </c>
      <c r="C129" s="50" t="s">
        <v>1150</v>
      </c>
      <c r="D129" s="63" t="s">
        <v>1620</v>
      </c>
      <c r="E129" s="63" t="s">
        <v>1755</v>
      </c>
    </row>
    <row r="130" spans="1:5">
      <c r="A130" s="48" t="s">
        <v>301</v>
      </c>
      <c r="B130" s="49" t="s">
        <v>702</v>
      </c>
      <c r="C130" s="50" t="s">
        <v>1176</v>
      </c>
      <c r="D130" s="63" t="s">
        <v>1620</v>
      </c>
      <c r="E130" s="63" t="s">
        <v>1755</v>
      </c>
    </row>
    <row r="131" spans="1:5">
      <c r="A131" s="48" t="s">
        <v>302</v>
      </c>
      <c r="B131" s="49" t="s">
        <v>709</v>
      </c>
      <c r="C131" s="50" t="s">
        <v>1177</v>
      </c>
      <c r="D131" s="63" t="s">
        <v>1620</v>
      </c>
      <c r="E131" s="63" t="s">
        <v>1755</v>
      </c>
    </row>
    <row r="132" spans="1:5">
      <c r="A132" s="51" t="s">
        <v>303</v>
      </c>
      <c r="B132" s="30" t="s">
        <v>710</v>
      </c>
      <c r="C132" s="50" t="s">
        <v>1151</v>
      </c>
      <c r="D132" s="63" t="s">
        <v>1620</v>
      </c>
      <c r="E132" s="63" t="s">
        <v>1755</v>
      </c>
    </row>
    <row r="133" spans="1:5">
      <c r="A133" s="48" t="s">
        <v>304</v>
      </c>
      <c r="B133" s="49" t="s">
        <v>711</v>
      </c>
      <c r="C133" s="50" t="s">
        <v>1178</v>
      </c>
      <c r="D133" s="63" t="s">
        <v>1620</v>
      </c>
      <c r="E133" s="63" t="s">
        <v>1755</v>
      </c>
    </row>
    <row r="134" spans="1:5">
      <c r="A134" s="48" t="s">
        <v>305</v>
      </c>
      <c r="B134" s="49" t="s">
        <v>712</v>
      </c>
      <c r="C134" s="50" t="s">
        <v>1179</v>
      </c>
      <c r="D134" s="63" t="s">
        <v>1620</v>
      </c>
      <c r="E134" s="63" t="s">
        <v>1755</v>
      </c>
    </row>
    <row r="135" spans="1:5">
      <c r="A135" s="48" t="s">
        <v>307</v>
      </c>
      <c r="B135" s="49" t="s">
        <v>714</v>
      </c>
      <c r="C135" s="50" t="s">
        <v>1180</v>
      </c>
      <c r="D135" s="63" t="s">
        <v>1620</v>
      </c>
      <c r="E135" s="63" t="s">
        <v>1755</v>
      </c>
    </row>
    <row r="136" spans="1:5">
      <c r="A136" s="48" t="s">
        <v>308</v>
      </c>
      <c r="B136" s="49" t="s">
        <v>715</v>
      </c>
      <c r="C136" s="50" t="s">
        <v>1181</v>
      </c>
      <c r="D136" s="63" t="s">
        <v>1620</v>
      </c>
      <c r="E136" s="63" t="s">
        <v>1755</v>
      </c>
    </row>
    <row r="137" spans="1:5">
      <c r="A137" s="63" t="s">
        <v>1490</v>
      </c>
      <c r="B137" s="30" t="s">
        <v>715</v>
      </c>
      <c r="C137" s="64" t="s">
        <v>1493</v>
      </c>
      <c r="D137" s="63" t="s">
        <v>1620</v>
      </c>
      <c r="E137" s="63" t="s">
        <v>1755</v>
      </c>
    </row>
    <row r="138" spans="1:5">
      <c r="A138" s="51" t="s">
        <v>306</v>
      </c>
      <c r="B138" s="30" t="s">
        <v>713</v>
      </c>
      <c r="C138" s="50" t="s">
        <v>1152</v>
      </c>
      <c r="D138" s="63" t="s">
        <v>1620</v>
      </c>
      <c r="E138" s="63" t="s">
        <v>1755</v>
      </c>
    </row>
    <row r="139" spans="1:5">
      <c r="A139" s="48" t="s">
        <v>309</v>
      </c>
      <c r="B139" s="49" t="s">
        <v>716</v>
      </c>
      <c r="C139" s="50" t="s">
        <v>1182</v>
      </c>
      <c r="D139" s="63" t="s">
        <v>1620</v>
      </c>
      <c r="E139" s="63" t="s">
        <v>1755</v>
      </c>
    </row>
    <row r="140" spans="1:5">
      <c r="A140" s="51" t="s">
        <v>310</v>
      </c>
      <c r="B140" s="30" t="s">
        <v>717</v>
      </c>
      <c r="C140" s="50" t="s">
        <v>1153</v>
      </c>
      <c r="D140" s="63" t="s">
        <v>1620</v>
      </c>
      <c r="E140" s="63" t="s">
        <v>1755</v>
      </c>
    </row>
    <row r="141" spans="1:5">
      <c r="A141" s="29" t="s">
        <v>1762</v>
      </c>
      <c r="B141" s="49" t="s">
        <v>718</v>
      </c>
      <c r="C141" s="64" t="s">
        <v>1763</v>
      </c>
      <c r="D141" s="63" t="s">
        <v>1620</v>
      </c>
      <c r="E141" s="63" t="s">
        <v>1755</v>
      </c>
    </row>
    <row r="142" spans="1:5">
      <c r="A142" s="48" t="s">
        <v>311</v>
      </c>
      <c r="B142" s="49" t="s">
        <v>718</v>
      </c>
      <c r="C142" s="50" t="s">
        <v>1183</v>
      </c>
      <c r="D142" s="63" t="s">
        <v>1620</v>
      </c>
      <c r="E142" s="63" t="s">
        <v>1755</v>
      </c>
    </row>
    <row r="143" spans="1:5">
      <c r="A143" s="51" t="s">
        <v>312</v>
      </c>
      <c r="B143" s="30" t="s">
        <v>719</v>
      </c>
      <c r="C143" s="50" t="s">
        <v>1154</v>
      </c>
      <c r="D143" s="63" t="s">
        <v>1620</v>
      </c>
      <c r="E143" s="63" t="s">
        <v>1755</v>
      </c>
    </row>
    <row r="144" spans="1:5">
      <c r="A144" s="48" t="s">
        <v>313</v>
      </c>
      <c r="B144" s="49" t="s">
        <v>720</v>
      </c>
      <c r="C144" s="50" t="s">
        <v>1184</v>
      </c>
      <c r="D144" s="63" t="s">
        <v>1620</v>
      </c>
      <c r="E144" s="63" t="s">
        <v>1755</v>
      </c>
    </row>
    <row r="145" spans="1:5">
      <c r="A145" s="29" t="s">
        <v>1764</v>
      </c>
      <c r="B145" s="49" t="s">
        <v>721</v>
      </c>
      <c r="C145" s="64" t="s">
        <v>1765</v>
      </c>
      <c r="D145" s="63" t="s">
        <v>1620</v>
      </c>
      <c r="E145" s="63" t="s">
        <v>1755</v>
      </c>
    </row>
    <row r="146" spans="1:5">
      <c r="A146" s="48" t="s">
        <v>314</v>
      </c>
      <c r="B146" s="49" t="s">
        <v>721</v>
      </c>
      <c r="C146" s="50" t="s">
        <v>1185</v>
      </c>
      <c r="D146" s="63" t="s">
        <v>1620</v>
      </c>
      <c r="E146" s="63" t="s">
        <v>1755</v>
      </c>
    </row>
    <row r="147" spans="1:5">
      <c r="A147" s="48" t="s">
        <v>315</v>
      </c>
      <c r="B147" s="49" t="s">
        <v>722</v>
      </c>
      <c r="C147" s="50" t="s">
        <v>1186</v>
      </c>
      <c r="D147" s="63" t="s">
        <v>1620</v>
      </c>
      <c r="E147" s="63" t="s">
        <v>1755</v>
      </c>
    </row>
    <row r="148" spans="1:5">
      <c r="A148" s="63" t="s">
        <v>1369</v>
      </c>
      <c r="B148" s="49" t="s">
        <v>1370</v>
      </c>
      <c r="C148" s="50" t="s">
        <v>1371</v>
      </c>
      <c r="D148" s="63" t="s">
        <v>1620</v>
      </c>
      <c r="E148" s="63" t="s">
        <v>1755</v>
      </c>
    </row>
    <row r="149" spans="1:5">
      <c r="A149" s="48" t="s">
        <v>316</v>
      </c>
      <c r="B149" s="49" t="s">
        <v>723</v>
      </c>
      <c r="C149" s="50" t="s">
        <v>1187</v>
      </c>
      <c r="D149" s="63" t="s">
        <v>1620</v>
      </c>
      <c r="E149" s="63" t="s">
        <v>1755</v>
      </c>
    </row>
    <row r="150" spans="1:5">
      <c r="A150" s="48" t="s">
        <v>319</v>
      </c>
      <c r="B150" s="49" t="s">
        <v>726</v>
      </c>
      <c r="C150" s="50" t="s">
        <v>1190</v>
      </c>
      <c r="D150" s="63" t="s">
        <v>1620</v>
      </c>
      <c r="E150" s="63" t="s">
        <v>1755</v>
      </c>
    </row>
    <row r="151" spans="1:5">
      <c r="A151" s="48" t="s">
        <v>320</v>
      </c>
      <c r="B151" s="49" t="s">
        <v>724</v>
      </c>
      <c r="C151" s="50" t="s">
        <v>1191</v>
      </c>
      <c r="D151" s="63" t="s">
        <v>1620</v>
      </c>
      <c r="E151" s="63" t="s">
        <v>1755</v>
      </c>
    </row>
    <row r="152" spans="1:5">
      <c r="A152" s="48" t="s">
        <v>317</v>
      </c>
      <c r="B152" s="49" t="s">
        <v>724</v>
      </c>
      <c r="C152" s="50" t="s">
        <v>1188</v>
      </c>
      <c r="D152" s="63" t="s">
        <v>1620</v>
      </c>
      <c r="E152" s="63" t="s">
        <v>1755</v>
      </c>
    </row>
    <row r="153" spans="1:5">
      <c r="A153" s="48" t="s">
        <v>321</v>
      </c>
      <c r="B153" s="49" t="s">
        <v>725</v>
      </c>
      <c r="C153" s="50" t="s">
        <v>1192</v>
      </c>
      <c r="D153" s="63" t="s">
        <v>1620</v>
      </c>
      <c r="E153" s="63" t="s">
        <v>1755</v>
      </c>
    </row>
    <row r="154" spans="1:5">
      <c r="A154" s="48" t="s">
        <v>318</v>
      </c>
      <c r="B154" s="49" t="s">
        <v>725</v>
      </c>
      <c r="C154" s="50" t="s">
        <v>1189</v>
      </c>
      <c r="D154" s="63" t="s">
        <v>1620</v>
      </c>
      <c r="E154" s="63" t="s">
        <v>1755</v>
      </c>
    </row>
    <row r="155" spans="1:5">
      <c r="A155" s="48" t="s">
        <v>323</v>
      </c>
      <c r="B155" s="49" t="s">
        <v>728</v>
      </c>
      <c r="C155" s="50" t="s">
        <v>1194</v>
      </c>
      <c r="D155" s="63" t="s">
        <v>1620</v>
      </c>
      <c r="E155" s="63" t="s">
        <v>1755</v>
      </c>
    </row>
    <row r="156" spans="1:5">
      <c r="A156" s="48" t="s">
        <v>322</v>
      </c>
      <c r="B156" s="49" t="s">
        <v>727</v>
      </c>
      <c r="C156" s="50" t="s">
        <v>1193</v>
      </c>
      <c r="D156" s="63" t="s">
        <v>1620</v>
      </c>
      <c r="E156" s="63" t="s">
        <v>1755</v>
      </c>
    </row>
    <row r="157" spans="1:5">
      <c r="A157" s="48" t="s">
        <v>331</v>
      </c>
      <c r="B157" s="49" t="s">
        <v>735</v>
      </c>
      <c r="C157" s="50" t="s">
        <v>1201</v>
      </c>
      <c r="D157" s="63" t="s">
        <v>1620</v>
      </c>
      <c r="E157" s="63" t="s">
        <v>1755</v>
      </c>
    </row>
    <row r="158" spans="1:5">
      <c r="A158" s="48" t="s">
        <v>1324</v>
      </c>
      <c r="B158" s="49" t="s">
        <v>1325</v>
      </c>
      <c r="C158" s="50" t="s">
        <v>1326</v>
      </c>
      <c r="D158" s="63" t="s">
        <v>1620</v>
      </c>
      <c r="E158" s="63" t="s">
        <v>1755</v>
      </c>
    </row>
    <row r="159" spans="1:5">
      <c r="A159" s="48" t="s">
        <v>332</v>
      </c>
      <c r="B159" s="49" t="s">
        <v>736</v>
      </c>
      <c r="C159" s="50" t="s">
        <v>1202</v>
      </c>
      <c r="D159" s="63" t="s">
        <v>1620</v>
      </c>
      <c r="E159" s="63" t="s">
        <v>1755</v>
      </c>
    </row>
    <row r="160" spans="1:5">
      <c r="A160" s="48" t="s">
        <v>333</v>
      </c>
      <c r="B160" s="49" t="s">
        <v>737</v>
      </c>
      <c r="C160" s="50" t="s">
        <v>1203</v>
      </c>
      <c r="D160" s="63" t="s">
        <v>1620</v>
      </c>
      <c r="E160" s="63" t="s">
        <v>1755</v>
      </c>
    </row>
    <row r="161" spans="1:5">
      <c r="A161" s="51" t="s">
        <v>339</v>
      </c>
      <c r="B161" s="30" t="s">
        <v>741</v>
      </c>
      <c r="C161" s="50" t="s">
        <v>1155</v>
      </c>
      <c r="D161" s="63" t="s">
        <v>1620</v>
      </c>
      <c r="E161" s="63" t="s">
        <v>1755</v>
      </c>
    </row>
    <row r="162" spans="1:5">
      <c r="A162" s="48" t="s">
        <v>336</v>
      </c>
      <c r="B162" s="49" t="s">
        <v>739</v>
      </c>
      <c r="C162" s="50" t="s">
        <v>1205</v>
      </c>
      <c r="D162" s="63" t="s">
        <v>1620</v>
      </c>
      <c r="E162" s="63" t="s">
        <v>1755</v>
      </c>
    </row>
    <row r="163" spans="1:5">
      <c r="A163" s="48" t="s">
        <v>337</v>
      </c>
      <c r="B163" s="49" t="s">
        <v>739</v>
      </c>
      <c r="C163" s="50" t="s">
        <v>1206</v>
      </c>
      <c r="D163" s="63" t="s">
        <v>1620</v>
      </c>
      <c r="E163" s="63" t="s">
        <v>1755</v>
      </c>
    </row>
    <row r="164" spans="1:5">
      <c r="A164" s="48" t="s">
        <v>338</v>
      </c>
      <c r="B164" s="49" t="s">
        <v>740</v>
      </c>
      <c r="C164" s="50" t="s">
        <v>1207</v>
      </c>
      <c r="D164" s="63" t="s">
        <v>1620</v>
      </c>
      <c r="E164" s="63" t="s">
        <v>1755</v>
      </c>
    </row>
    <row r="165" spans="1:5">
      <c r="A165" s="48" t="s">
        <v>340</v>
      </c>
      <c r="B165" s="49" t="s">
        <v>742</v>
      </c>
      <c r="C165" s="50" t="s">
        <v>1208</v>
      </c>
      <c r="D165" s="63" t="s">
        <v>1620</v>
      </c>
      <c r="E165" s="63" t="s">
        <v>1755</v>
      </c>
    </row>
    <row r="166" spans="1:5">
      <c r="A166" s="48" t="s">
        <v>341</v>
      </c>
      <c r="B166" s="49" t="s">
        <v>743</v>
      </c>
      <c r="C166" s="50" t="s">
        <v>1209</v>
      </c>
      <c r="D166" s="63" t="s">
        <v>1620</v>
      </c>
      <c r="E166" s="63" t="s">
        <v>1755</v>
      </c>
    </row>
    <row r="167" spans="1:5">
      <c r="A167" s="51" t="s">
        <v>1320</v>
      </c>
      <c r="B167" s="30" t="s">
        <v>1750</v>
      </c>
      <c r="C167" s="52" t="s">
        <v>1321</v>
      </c>
      <c r="D167" s="63" t="s">
        <v>1576</v>
      </c>
      <c r="E167" s="63" t="s">
        <v>1755</v>
      </c>
    </row>
    <row r="168" spans="1:5">
      <c r="A168" s="109" t="s">
        <v>1690</v>
      </c>
      <c r="B168" s="49" t="s">
        <v>1691</v>
      </c>
      <c r="C168" s="64" t="s">
        <v>1692</v>
      </c>
      <c r="D168" s="63" t="s">
        <v>1620</v>
      </c>
      <c r="E168" s="63" t="s">
        <v>1755</v>
      </c>
    </row>
    <row r="169" spans="1:5">
      <c r="A169" s="48" t="s">
        <v>342</v>
      </c>
      <c r="B169" s="49" t="s">
        <v>744</v>
      </c>
      <c r="C169" s="50" t="s">
        <v>1210</v>
      </c>
      <c r="D169" s="63" t="s">
        <v>1620</v>
      </c>
      <c r="E169" s="63" t="s">
        <v>1755</v>
      </c>
    </row>
    <row r="170" spans="1:5">
      <c r="A170" s="51" t="s">
        <v>344</v>
      </c>
      <c r="B170" s="30" t="s">
        <v>745</v>
      </c>
      <c r="C170" s="50" t="s">
        <v>1156</v>
      </c>
      <c r="D170" s="63" t="s">
        <v>1620</v>
      </c>
      <c r="E170" s="63" t="s">
        <v>1755</v>
      </c>
    </row>
    <row r="171" spans="1:5">
      <c r="A171" s="48" t="s">
        <v>345</v>
      </c>
      <c r="B171" s="49" t="s">
        <v>746</v>
      </c>
      <c r="C171" s="50" t="s">
        <v>1211</v>
      </c>
      <c r="D171" s="63" t="s">
        <v>1620</v>
      </c>
      <c r="E171" s="63" t="s">
        <v>1755</v>
      </c>
    </row>
    <row r="172" spans="1:5">
      <c r="A172" s="48" t="s">
        <v>346</v>
      </c>
      <c r="B172" s="49" t="s">
        <v>747</v>
      </c>
      <c r="C172" s="50" t="s">
        <v>1212</v>
      </c>
      <c r="D172" s="63" t="s">
        <v>1620</v>
      </c>
      <c r="E172" s="63" t="s">
        <v>1755</v>
      </c>
    </row>
    <row r="173" spans="1:5">
      <c r="A173" s="48" t="s">
        <v>347</v>
      </c>
      <c r="B173" s="49" t="s">
        <v>748</v>
      </c>
      <c r="C173" s="50" t="s">
        <v>1213</v>
      </c>
      <c r="D173" s="63" t="s">
        <v>1620</v>
      </c>
      <c r="E173" s="63" t="s">
        <v>1755</v>
      </c>
    </row>
    <row r="174" spans="1:5">
      <c r="A174" s="48" t="s">
        <v>348</v>
      </c>
      <c r="B174" s="49" t="s">
        <v>749</v>
      </c>
      <c r="C174" s="50" t="s">
        <v>1214</v>
      </c>
      <c r="D174" s="63" t="s">
        <v>1620</v>
      </c>
      <c r="E174" s="63" t="s">
        <v>1755</v>
      </c>
    </row>
    <row r="175" spans="1:5">
      <c r="A175" s="63" t="s">
        <v>1372</v>
      </c>
      <c r="B175" s="49" t="s">
        <v>1373</v>
      </c>
      <c r="C175" s="52" t="s">
        <v>1374</v>
      </c>
      <c r="D175" s="63" t="s">
        <v>1620</v>
      </c>
      <c r="E175" s="63" t="s">
        <v>1755</v>
      </c>
    </row>
    <row r="176" spans="1:5">
      <c r="A176" s="51" t="s">
        <v>350</v>
      </c>
      <c r="B176" s="30" t="s">
        <v>750</v>
      </c>
      <c r="C176" s="50" t="s">
        <v>1157</v>
      </c>
      <c r="D176" s="63" t="s">
        <v>1620</v>
      </c>
      <c r="E176" s="63" t="s">
        <v>1755</v>
      </c>
    </row>
    <row r="177" spans="1:5">
      <c r="A177" s="63" t="s">
        <v>1375</v>
      </c>
      <c r="B177" s="30" t="s">
        <v>750</v>
      </c>
      <c r="C177" s="50" t="s">
        <v>1376</v>
      </c>
      <c r="D177" s="63" t="s">
        <v>1620</v>
      </c>
      <c r="E177" s="63" t="s">
        <v>1755</v>
      </c>
    </row>
    <row r="178" spans="1:5">
      <c r="A178" s="63" t="s">
        <v>1377</v>
      </c>
      <c r="B178" s="30" t="s">
        <v>751</v>
      </c>
      <c r="C178" s="50" t="s">
        <v>1378</v>
      </c>
      <c r="D178" s="63" t="s">
        <v>1620</v>
      </c>
      <c r="E178" s="63" t="s">
        <v>1755</v>
      </c>
    </row>
    <row r="179" spans="1:5">
      <c r="A179" s="51" t="s">
        <v>351</v>
      </c>
      <c r="B179" s="30" t="s">
        <v>751</v>
      </c>
      <c r="C179" s="50" t="s">
        <v>1158</v>
      </c>
      <c r="D179" s="63" t="s">
        <v>1620</v>
      </c>
      <c r="E179" s="63" t="s">
        <v>1755</v>
      </c>
    </row>
    <row r="180" spans="1:5">
      <c r="A180" s="63" t="s">
        <v>1379</v>
      </c>
      <c r="B180" s="30" t="s">
        <v>1380</v>
      </c>
      <c r="C180" s="50" t="s">
        <v>1381</v>
      </c>
      <c r="D180" s="63" t="s">
        <v>1620</v>
      </c>
      <c r="E180" s="63" t="s">
        <v>1755</v>
      </c>
    </row>
    <row r="181" spans="1:5">
      <c r="A181" s="48" t="s">
        <v>352</v>
      </c>
      <c r="B181" s="49" t="s">
        <v>752</v>
      </c>
      <c r="C181" s="50" t="s">
        <v>1215</v>
      </c>
      <c r="D181" s="63" t="s">
        <v>1576</v>
      </c>
      <c r="E181" s="63" t="s">
        <v>1755</v>
      </c>
    </row>
    <row r="182" spans="1:5">
      <c r="A182" s="48" t="s">
        <v>353</v>
      </c>
      <c r="B182" s="49" t="s">
        <v>752</v>
      </c>
      <c r="C182" s="50" t="s">
        <v>1216</v>
      </c>
      <c r="D182" s="63" t="s">
        <v>1576</v>
      </c>
      <c r="E182" s="63" t="s">
        <v>1755</v>
      </c>
    </row>
    <row r="183" spans="1:5">
      <c r="A183" s="48" t="s">
        <v>463</v>
      </c>
      <c r="B183" s="49" t="s">
        <v>756</v>
      </c>
      <c r="C183" s="50" t="s">
        <v>1221</v>
      </c>
      <c r="D183" s="63" t="s">
        <v>1620</v>
      </c>
      <c r="E183" s="63" t="s">
        <v>1755</v>
      </c>
    </row>
    <row r="184" spans="1:5">
      <c r="A184" s="48" t="s">
        <v>1751</v>
      </c>
      <c r="B184" s="49" t="s">
        <v>757</v>
      </c>
      <c r="C184" s="52" t="s">
        <v>1752</v>
      </c>
      <c r="D184" s="63" t="s">
        <v>1576</v>
      </c>
      <c r="E184" s="63" t="s">
        <v>1755</v>
      </c>
    </row>
    <row r="185" spans="1:5">
      <c r="A185" s="48" t="s">
        <v>355</v>
      </c>
      <c r="B185" s="49" t="s">
        <v>757</v>
      </c>
      <c r="C185" s="50" t="s">
        <v>1222</v>
      </c>
      <c r="D185" s="63" t="s">
        <v>1576</v>
      </c>
      <c r="E185" s="63" t="s">
        <v>1755</v>
      </c>
    </row>
    <row r="186" spans="1:5">
      <c r="A186" s="48" t="s">
        <v>1505</v>
      </c>
      <c r="B186" s="49" t="s">
        <v>1509</v>
      </c>
      <c r="C186" s="50" t="s">
        <v>1510</v>
      </c>
      <c r="D186" s="63" t="s">
        <v>1576</v>
      </c>
      <c r="E186" s="63" t="s">
        <v>1755</v>
      </c>
    </row>
    <row r="187" spans="1:5">
      <c r="A187" s="64" t="s">
        <v>1511</v>
      </c>
      <c r="B187" s="49" t="s">
        <v>754</v>
      </c>
      <c r="C187" s="64" t="s">
        <v>1512</v>
      </c>
      <c r="D187" s="63" t="s">
        <v>1620</v>
      </c>
      <c r="E187" s="63" t="s">
        <v>1755</v>
      </c>
    </row>
    <row r="188" spans="1:5">
      <c r="A188" s="48" t="s">
        <v>358</v>
      </c>
      <c r="B188" s="49" t="s">
        <v>754</v>
      </c>
      <c r="C188" s="50" t="s">
        <v>1218</v>
      </c>
      <c r="D188" s="63" t="s">
        <v>1620</v>
      </c>
      <c r="E188" s="63" t="s">
        <v>1755</v>
      </c>
    </row>
    <row r="189" spans="1:5">
      <c r="A189" s="48" t="s">
        <v>354</v>
      </c>
      <c r="B189" s="49" t="s">
        <v>753</v>
      </c>
      <c r="C189" s="50" t="s">
        <v>1217</v>
      </c>
      <c r="D189" s="63" t="s">
        <v>1576</v>
      </c>
      <c r="E189" s="63" t="s">
        <v>1755</v>
      </c>
    </row>
    <row r="190" spans="1:5">
      <c r="A190" s="48" t="s">
        <v>221</v>
      </c>
      <c r="B190" s="49" t="s">
        <v>634</v>
      </c>
      <c r="C190" s="50" t="s">
        <v>1084</v>
      </c>
      <c r="D190" s="63" t="s">
        <v>1621</v>
      </c>
      <c r="E190" s="63" t="s">
        <v>1755</v>
      </c>
    </row>
    <row r="191" spans="1:5">
      <c r="A191" s="48" t="s">
        <v>222</v>
      </c>
      <c r="B191" s="49" t="s">
        <v>635</v>
      </c>
      <c r="C191" s="50" t="s">
        <v>1085</v>
      </c>
      <c r="D191" s="63" t="s">
        <v>1621</v>
      </c>
      <c r="E191" s="63" t="s">
        <v>1755</v>
      </c>
    </row>
    <row r="192" spans="1:5">
      <c r="A192" s="48" t="s">
        <v>223</v>
      </c>
      <c r="B192" s="49" t="s">
        <v>636</v>
      </c>
      <c r="C192" s="50" t="s">
        <v>1086</v>
      </c>
      <c r="D192" s="63" t="s">
        <v>1621</v>
      </c>
      <c r="E192" s="63" t="s">
        <v>1755</v>
      </c>
    </row>
    <row r="193" spans="1:5">
      <c r="A193" s="48" t="s">
        <v>64</v>
      </c>
      <c r="B193" s="49" t="s">
        <v>515</v>
      </c>
      <c r="C193" s="50" t="s">
        <v>960</v>
      </c>
      <c r="D193" s="63" t="s">
        <v>1622</v>
      </c>
      <c r="E193" s="63" t="s">
        <v>1755</v>
      </c>
    </row>
    <row r="194" spans="1:5">
      <c r="A194" s="48" t="s">
        <v>65</v>
      </c>
      <c r="B194" s="49" t="s">
        <v>515</v>
      </c>
      <c r="C194" s="50" t="s">
        <v>961</v>
      </c>
      <c r="D194" s="63" t="s">
        <v>1622</v>
      </c>
      <c r="E194" s="63" t="s">
        <v>1755</v>
      </c>
    </row>
    <row r="195" spans="1:5">
      <c r="A195" s="48" t="s">
        <v>437</v>
      </c>
      <c r="B195" s="49" t="s">
        <v>829</v>
      </c>
      <c r="C195" s="50" t="s">
        <v>1292</v>
      </c>
      <c r="D195" s="63" t="s">
        <v>1576</v>
      </c>
      <c r="E195" s="63" t="s">
        <v>1755</v>
      </c>
    </row>
    <row r="196" spans="1:5">
      <c r="A196" s="48" t="s">
        <v>438</v>
      </c>
      <c r="B196" s="49" t="s">
        <v>830</v>
      </c>
      <c r="C196" s="50" t="s">
        <v>1293</v>
      </c>
      <c r="D196" s="63" t="s">
        <v>1615</v>
      </c>
      <c r="E196" s="63" t="s">
        <v>1755</v>
      </c>
    </row>
    <row r="197" spans="1:5">
      <c r="A197" s="48" t="s">
        <v>51</v>
      </c>
      <c r="B197" s="49" t="s">
        <v>504</v>
      </c>
      <c r="C197" s="50" t="s">
        <v>948</v>
      </c>
      <c r="D197" s="63" t="s">
        <v>1623</v>
      </c>
      <c r="E197" s="63" t="s">
        <v>1755</v>
      </c>
    </row>
    <row r="198" spans="1:5">
      <c r="A198" s="48" t="s">
        <v>52</v>
      </c>
      <c r="B198" s="49" t="s">
        <v>504</v>
      </c>
      <c r="C198" s="50" t="s">
        <v>949</v>
      </c>
      <c r="D198" s="63" t="s">
        <v>1623</v>
      </c>
      <c r="E198" s="63" t="s">
        <v>1755</v>
      </c>
    </row>
    <row r="199" spans="1:5">
      <c r="A199" s="48" t="s">
        <v>53</v>
      </c>
      <c r="B199" s="49" t="s">
        <v>505</v>
      </c>
      <c r="C199" s="50" t="s">
        <v>950</v>
      </c>
      <c r="D199" s="63" t="s">
        <v>1623</v>
      </c>
      <c r="E199" s="63" t="s">
        <v>1755</v>
      </c>
    </row>
    <row r="200" spans="1:5">
      <c r="A200" s="48" t="s">
        <v>54</v>
      </c>
      <c r="B200" s="49" t="s">
        <v>506</v>
      </c>
      <c r="C200" s="50" t="s">
        <v>951</v>
      </c>
      <c r="D200" s="63" t="s">
        <v>1623</v>
      </c>
      <c r="E200" s="63" t="s">
        <v>1755</v>
      </c>
    </row>
    <row r="201" spans="1:5">
      <c r="A201" s="48" t="s">
        <v>55</v>
      </c>
      <c r="B201" s="49" t="s">
        <v>507</v>
      </c>
      <c r="C201" s="50" t="s">
        <v>952</v>
      </c>
      <c r="D201" s="63" t="s">
        <v>1623</v>
      </c>
      <c r="E201" s="63" t="s">
        <v>1755</v>
      </c>
    </row>
    <row r="202" spans="1:5">
      <c r="A202" s="48" t="s">
        <v>56</v>
      </c>
      <c r="B202" s="49" t="s">
        <v>508</v>
      </c>
      <c r="C202" s="50" t="s">
        <v>953</v>
      </c>
      <c r="D202" s="63" t="s">
        <v>1623</v>
      </c>
      <c r="E202" s="63" t="s">
        <v>1755</v>
      </c>
    </row>
    <row r="203" spans="1:5">
      <c r="A203" s="51" t="s">
        <v>57</v>
      </c>
      <c r="B203" s="30" t="s">
        <v>861</v>
      </c>
      <c r="C203" s="50" t="s">
        <v>862</v>
      </c>
      <c r="D203" s="63" t="s">
        <v>1623</v>
      </c>
      <c r="E203" s="63" t="s">
        <v>1755</v>
      </c>
    </row>
    <row r="204" spans="1:5">
      <c r="A204" s="48" t="s">
        <v>1332</v>
      </c>
      <c r="B204" s="49" t="s">
        <v>1334</v>
      </c>
      <c r="C204" s="50" t="s">
        <v>1333</v>
      </c>
      <c r="D204" s="63" t="s">
        <v>1623</v>
      </c>
      <c r="E204" s="63" t="s">
        <v>1755</v>
      </c>
    </row>
    <row r="205" spans="1:5">
      <c r="A205" s="48" t="s">
        <v>58</v>
      </c>
      <c r="B205" s="49" t="s">
        <v>509</v>
      </c>
      <c r="C205" s="50" t="s">
        <v>954</v>
      </c>
      <c r="D205" s="63" t="s">
        <v>1623</v>
      </c>
      <c r="E205" s="63" t="s">
        <v>1755</v>
      </c>
    </row>
    <row r="206" spans="1:5">
      <c r="A206" s="48" t="s">
        <v>59</v>
      </c>
      <c r="B206" s="49" t="s">
        <v>510</v>
      </c>
      <c r="C206" s="50" t="s">
        <v>955</v>
      </c>
      <c r="D206" s="63" t="s">
        <v>1623</v>
      </c>
      <c r="E206" s="63" t="s">
        <v>1755</v>
      </c>
    </row>
    <row r="207" spans="1:5">
      <c r="A207" s="63" t="s">
        <v>1382</v>
      </c>
      <c r="B207" s="49" t="s">
        <v>1383</v>
      </c>
      <c r="C207" s="50" t="s">
        <v>1384</v>
      </c>
      <c r="D207" s="63" t="s">
        <v>1577</v>
      </c>
      <c r="E207" s="63" t="s">
        <v>1755</v>
      </c>
    </row>
    <row r="208" spans="1:5">
      <c r="A208" s="63" t="s">
        <v>1634</v>
      </c>
      <c r="B208" s="49" t="s">
        <v>590</v>
      </c>
      <c r="C208" s="64" t="s">
        <v>1659</v>
      </c>
      <c r="D208" s="63" t="s">
        <v>1577</v>
      </c>
      <c r="E208" s="63" t="s">
        <v>1755</v>
      </c>
    </row>
    <row r="209" spans="1:5">
      <c r="A209" s="48" t="s">
        <v>164</v>
      </c>
      <c r="B209" s="49" t="s">
        <v>590</v>
      </c>
      <c r="C209" s="50" t="s">
        <v>1040</v>
      </c>
      <c r="D209" s="63" t="s">
        <v>1577</v>
      </c>
      <c r="E209" s="63" t="s">
        <v>1755</v>
      </c>
    </row>
    <row r="210" spans="1:5">
      <c r="A210" s="48" t="s">
        <v>165</v>
      </c>
      <c r="B210" s="49" t="s">
        <v>591</v>
      </c>
      <c r="C210" s="50" t="s">
        <v>1041</v>
      </c>
      <c r="D210" s="63" t="s">
        <v>1577</v>
      </c>
      <c r="E210" s="63" t="s">
        <v>1755</v>
      </c>
    </row>
    <row r="211" spans="1:5">
      <c r="A211" s="51" t="s">
        <v>166</v>
      </c>
      <c r="B211" s="30" t="s">
        <v>592</v>
      </c>
      <c r="C211" s="50" t="s">
        <v>1015</v>
      </c>
      <c r="D211" s="63" t="s">
        <v>1577</v>
      </c>
      <c r="E211" s="63" t="s">
        <v>1755</v>
      </c>
    </row>
    <row r="212" spans="1:5">
      <c r="A212" s="65" t="s">
        <v>1342</v>
      </c>
      <c r="B212" s="30" t="s">
        <v>590</v>
      </c>
      <c r="C212" s="64" t="s">
        <v>1349</v>
      </c>
      <c r="D212" s="63" t="s">
        <v>1577</v>
      </c>
      <c r="E212" s="63" t="s">
        <v>1755</v>
      </c>
    </row>
    <row r="213" spans="1:5">
      <c r="A213" s="63" t="s">
        <v>1385</v>
      </c>
      <c r="B213" s="30" t="s">
        <v>592</v>
      </c>
      <c r="C213" s="50" t="s">
        <v>1386</v>
      </c>
      <c r="D213" s="63" t="s">
        <v>1577</v>
      </c>
      <c r="E213" s="63" t="s">
        <v>1755</v>
      </c>
    </row>
    <row r="214" spans="1:5">
      <c r="A214" s="48" t="s">
        <v>167</v>
      </c>
      <c r="B214" s="49" t="s">
        <v>593</v>
      </c>
      <c r="C214" s="50" t="s">
        <v>1042</v>
      </c>
      <c r="D214" s="63" t="s">
        <v>1577</v>
      </c>
      <c r="E214" s="63" t="s">
        <v>1755</v>
      </c>
    </row>
    <row r="215" spans="1:5">
      <c r="A215" s="63" t="s">
        <v>1635</v>
      </c>
      <c r="B215" s="49" t="s">
        <v>1318</v>
      </c>
      <c r="C215" s="64" t="s">
        <v>1660</v>
      </c>
      <c r="D215" s="63" t="s">
        <v>1577</v>
      </c>
      <c r="E215" s="63" t="s">
        <v>1755</v>
      </c>
    </row>
    <row r="216" spans="1:5">
      <c r="A216" s="48" t="s">
        <v>168</v>
      </c>
      <c r="B216" s="49" t="s">
        <v>593</v>
      </c>
      <c r="C216" s="50" t="s">
        <v>1043</v>
      </c>
      <c r="D216" s="63" t="s">
        <v>1577</v>
      </c>
      <c r="E216" s="63" t="s">
        <v>1755</v>
      </c>
    </row>
    <row r="217" spans="1:5">
      <c r="A217" s="63" t="s">
        <v>1343</v>
      </c>
      <c r="B217" s="49" t="s">
        <v>593</v>
      </c>
      <c r="C217" s="50" t="s">
        <v>1348</v>
      </c>
      <c r="D217" s="63" t="s">
        <v>1577</v>
      </c>
      <c r="E217" s="63" t="s">
        <v>1755</v>
      </c>
    </row>
    <row r="218" spans="1:5">
      <c r="A218" s="48" t="s">
        <v>169</v>
      </c>
      <c r="B218" s="49" t="s">
        <v>594</v>
      </c>
      <c r="C218" s="50" t="s">
        <v>1044</v>
      </c>
      <c r="D218" s="63" t="s">
        <v>1577</v>
      </c>
      <c r="E218" s="63" t="s">
        <v>1755</v>
      </c>
    </row>
    <row r="219" spans="1:5">
      <c r="A219" s="51" t="s">
        <v>1323</v>
      </c>
      <c r="B219" s="30" t="s">
        <v>1330</v>
      </c>
      <c r="C219" s="50" t="s">
        <v>1329</v>
      </c>
      <c r="D219" s="63" t="s">
        <v>1577</v>
      </c>
      <c r="E219" s="63" t="s">
        <v>1755</v>
      </c>
    </row>
    <row r="220" spans="1:5">
      <c r="A220" s="48" t="s">
        <v>170</v>
      </c>
      <c r="B220" s="49" t="s">
        <v>588</v>
      </c>
      <c r="C220" s="50" t="s">
        <v>1045</v>
      </c>
      <c r="D220" s="63" t="s">
        <v>1577</v>
      </c>
      <c r="E220" s="63" t="s">
        <v>1755</v>
      </c>
    </row>
    <row r="221" spans="1:5">
      <c r="A221" s="48" t="s">
        <v>171</v>
      </c>
      <c r="B221" s="49" t="s">
        <v>595</v>
      </c>
      <c r="C221" s="50" t="s">
        <v>1046</v>
      </c>
      <c r="D221" s="63" t="s">
        <v>1577</v>
      </c>
      <c r="E221" s="63" t="s">
        <v>1755</v>
      </c>
    </row>
    <row r="222" spans="1:5">
      <c r="A222" s="64" t="s">
        <v>1513</v>
      </c>
      <c r="B222" s="49" t="s">
        <v>1318</v>
      </c>
      <c r="C222" s="52" t="s">
        <v>1514</v>
      </c>
      <c r="D222" s="63" t="s">
        <v>1577</v>
      </c>
      <c r="E222" s="63" t="s">
        <v>1755</v>
      </c>
    </row>
    <row r="223" spans="1:5">
      <c r="A223" s="63" t="s">
        <v>1515</v>
      </c>
      <c r="B223" s="49" t="s">
        <v>1318</v>
      </c>
      <c r="C223" s="52" t="s">
        <v>1516</v>
      </c>
      <c r="D223" s="63" t="s">
        <v>1577</v>
      </c>
      <c r="E223" s="63" t="s">
        <v>1755</v>
      </c>
    </row>
    <row r="224" spans="1:5">
      <c r="A224" s="48" t="s">
        <v>172</v>
      </c>
      <c r="B224" s="49" t="s">
        <v>596</v>
      </c>
      <c r="C224" s="50" t="s">
        <v>1047</v>
      </c>
      <c r="D224" s="63" t="s">
        <v>1577</v>
      </c>
      <c r="E224" s="63" t="s">
        <v>1755</v>
      </c>
    </row>
    <row r="225" spans="1:5">
      <c r="A225" s="51" t="s">
        <v>1016</v>
      </c>
      <c r="B225" s="30" t="s">
        <v>1017</v>
      </c>
      <c r="C225" s="50" t="s">
        <v>1018</v>
      </c>
      <c r="D225" s="63" t="s">
        <v>1577</v>
      </c>
      <c r="E225" s="63" t="s">
        <v>1755</v>
      </c>
    </row>
    <row r="226" spans="1:5">
      <c r="A226" s="63" t="s">
        <v>1387</v>
      </c>
      <c r="B226" s="49" t="s">
        <v>598</v>
      </c>
      <c r="C226" s="50" t="s">
        <v>1388</v>
      </c>
      <c r="D226" s="63" t="s">
        <v>1577</v>
      </c>
      <c r="E226" s="63" t="s">
        <v>1755</v>
      </c>
    </row>
    <row r="227" spans="1:5">
      <c r="A227" s="48" t="s">
        <v>174</v>
      </c>
      <c r="B227" s="49" t="s">
        <v>598</v>
      </c>
      <c r="C227" s="50" t="s">
        <v>1049</v>
      </c>
      <c r="D227" s="63" t="s">
        <v>1577</v>
      </c>
      <c r="E227" s="63" t="s">
        <v>1755</v>
      </c>
    </row>
    <row r="228" spans="1:5">
      <c r="A228" s="48" t="s">
        <v>173</v>
      </c>
      <c r="B228" s="49" t="s">
        <v>597</v>
      </c>
      <c r="C228" s="50" t="s">
        <v>1048</v>
      </c>
      <c r="D228" s="63" t="s">
        <v>1576</v>
      </c>
      <c r="E228" s="63" t="s">
        <v>1755</v>
      </c>
    </row>
    <row r="229" spans="1:5">
      <c r="A229" s="51" t="s">
        <v>1019</v>
      </c>
      <c r="B229" s="30" t="s">
        <v>1020</v>
      </c>
      <c r="C229" s="50" t="s">
        <v>1021</v>
      </c>
      <c r="D229" s="63" t="s">
        <v>1577</v>
      </c>
      <c r="E229" s="63" t="s">
        <v>1755</v>
      </c>
    </row>
    <row r="230" spans="1:5">
      <c r="A230" s="63" t="s">
        <v>1389</v>
      </c>
      <c r="B230" s="30" t="s">
        <v>1020</v>
      </c>
      <c r="C230" s="50" t="s">
        <v>1390</v>
      </c>
      <c r="D230" s="63" t="s">
        <v>1577</v>
      </c>
      <c r="E230" s="63" t="s">
        <v>1755</v>
      </c>
    </row>
    <row r="231" spans="1:5">
      <c r="A231" s="109" t="s">
        <v>1738</v>
      </c>
      <c r="B231" s="49" t="s">
        <v>593</v>
      </c>
      <c r="C231" s="64" t="s">
        <v>1739</v>
      </c>
      <c r="D231" s="63" t="s">
        <v>1577</v>
      </c>
      <c r="E231" s="63" t="s">
        <v>1755</v>
      </c>
    </row>
    <row r="232" spans="1:5">
      <c r="A232" s="48" t="s">
        <v>175</v>
      </c>
      <c r="B232" s="49" t="s">
        <v>593</v>
      </c>
      <c r="C232" s="50" t="s">
        <v>1050</v>
      </c>
      <c r="D232" s="63" t="s">
        <v>1577</v>
      </c>
      <c r="E232" s="63" t="s">
        <v>1755</v>
      </c>
    </row>
    <row r="233" spans="1:5">
      <c r="A233" s="48" t="s">
        <v>176</v>
      </c>
      <c r="B233" s="49" t="s">
        <v>599</v>
      </c>
      <c r="C233" s="50" t="s">
        <v>1051</v>
      </c>
      <c r="D233" s="63" t="s">
        <v>1577</v>
      </c>
      <c r="E233" s="63" t="s">
        <v>1755</v>
      </c>
    </row>
    <row r="234" spans="1:5">
      <c r="A234" s="51" t="s">
        <v>1022</v>
      </c>
      <c r="B234" s="30" t="s">
        <v>599</v>
      </c>
      <c r="C234" s="50" t="s">
        <v>1023</v>
      </c>
      <c r="D234" s="63" t="s">
        <v>1577</v>
      </c>
      <c r="E234" s="63" t="s">
        <v>1755</v>
      </c>
    </row>
    <row r="235" spans="1:5">
      <c r="A235" s="48" t="s">
        <v>177</v>
      </c>
      <c r="B235" s="49" t="s">
        <v>600</v>
      </c>
      <c r="C235" s="50" t="s">
        <v>1052</v>
      </c>
      <c r="D235" s="63" t="s">
        <v>1577</v>
      </c>
      <c r="E235" s="63" t="s">
        <v>1755</v>
      </c>
    </row>
    <row r="236" spans="1:5">
      <c r="A236" s="48" t="s">
        <v>178</v>
      </c>
      <c r="B236" s="49" t="s">
        <v>601</v>
      </c>
      <c r="C236" s="50" t="s">
        <v>1053</v>
      </c>
      <c r="D236" s="63" t="s">
        <v>1577</v>
      </c>
      <c r="E236" s="63" t="s">
        <v>1755</v>
      </c>
    </row>
    <row r="237" spans="1:5">
      <c r="A237" s="63" t="s">
        <v>1391</v>
      </c>
      <c r="B237" s="49" t="s">
        <v>601</v>
      </c>
      <c r="C237" s="50" t="s">
        <v>1392</v>
      </c>
      <c r="D237" s="63" t="s">
        <v>1577</v>
      </c>
      <c r="E237" s="63" t="s">
        <v>1755</v>
      </c>
    </row>
    <row r="238" spans="1:5">
      <c r="A238" s="48" t="s">
        <v>179</v>
      </c>
      <c r="B238" s="49" t="s">
        <v>580</v>
      </c>
      <c r="C238" s="50" t="s">
        <v>1054</v>
      </c>
      <c r="D238" s="63" t="s">
        <v>1577</v>
      </c>
      <c r="E238" s="63" t="s">
        <v>1755</v>
      </c>
    </row>
    <row r="239" spans="1:5">
      <c r="A239" s="51" t="s">
        <v>180</v>
      </c>
      <c r="B239" s="30" t="s">
        <v>1337</v>
      </c>
      <c r="C239" s="50" t="s">
        <v>1024</v>
      </c>
      <c r="D239" s="63" t="s">
        <v>1577</v>
      </c>
      <c r="E239" s="63" t="s">
        <v>1755</v>
      </c>
    </row>
    <row r="240" spans="1:5">
      <c r="A240" s="109" t="s">
        <v>1735</v>
      </c>
      <c r="B240" s="49" t="s">
        <v>1736</v>
      </c>
      <c r="C240" s="64" t="s">
        <v>1737</v>
      </c>
      <c r="D240" s="63" t="s">
        <v>1577</v>
      </c>
      <c r="E240" s="63" t="s">
        <v>1755</v>
      </c>
    </row>
    <row r="241" spans="1:5">
      <c r="A241" s="48" t="s">
        <v>181</v>
      </c>
      <c r="B241" s="49" t="s">
        <v>581</v>
      </c>
      <c r="C241" s="50" t="s">
        <v>1055</v>
      </c>
      <c r="D241" s="63" t="s">
        <v>1577</v>
      </c>
      <c r="E241" s="63" t="s">
        <v>1755</v>
      </c>
    </row>
    <row r="242" spans="1:5">
      <c r="A242" s="65" t="s">
        <v>1344</v>
      </c>
      <c r="B242" s="30" t="s">
        <v>606</v>
      </c>
      <c r="C242" s="52" t="s">
        <v>1346</v>
      </c>
      <c r="D242" s="63" t="s">
        <v>1577</v>
      </c>
      <c r="E242" s="63" t="s">
        <v>1755</v>
      </c>
    </row>
    <row r="243" spans="1:5">
      <c r="A243" s="48" t="s">
        <v>182</v>
      </c>
      <c r="B243" s="49" t="s">
        <v>602</v>
      </c>
      <c r="C243" s="50" t="s">
        <v>1056</v>
      </c>
      <c r="D243" s="63" t="s">
        <v>1577</v>
      </c>
      <c r="E243" s="63" t="s">
        <v>1755</v>
      </c>
    </row>
    <row r="244" spans="1:5">
      <c r="A244" s="63" t="s">
        <v>1345</v>
      </c>
      <c r="B244" s="49" t="s">
        <v>602</v>
      </c>
      <c r="C244" s="50" t="s">
        <v>1347</v>
      </c>
      <c r="D244" s="63" t="s">
        <v>1577</v>
      </c>
      <c r="E244" s="63" t="s">
        <v>1755</v>
      </c>
    </row>
    <row r="245" spans="1:5">
      <c r="A245" s="48" t="s">
        <v>183</v>
      </c>
      <c r="B245" s="49" t="s">
        <v>603</v>
      </c>
      <c r="C245" s="50" t="s">
        <v>1057</v>
      </c>
      <c r="D245" s="63" t="s">
        <v>1577</v>
      </c>
      <c r="E245" s="63" t="s">
        <v>1755</v>
      </c>
    </row>
    <row r="246" spans="1:5">
      <c r="A246" s="48" t="s">
        <v>184</v>
      </c>
      <c r="B246" s="49" t="s">
        <v>604</v>
      </c>
      <c r="C246" s="50" t="s">
        <v>1058</v>
      </c>
      <c r="D246" s="63" t="s">
        <v>1577</v>
      </c>
      <c r="E246" s="63" t="s">
        <v>1755</v>
      </c>
    </row>
    <row r="247" spans="1:5">
      <c r="A247" s="48" t="s">
        <v>185</v>
      </c>
      <c r="B247" s="49" t="s">
        <v>605</v>
      </c>
      <c r="C247" s="50" t="s">
        <v>1059</v>
      </c>
      <c r="D247" s="63" t="s">
        <v>1577</v>
      </c>
      <c r="E247" s="63" t="s">
        <v>1755</v>
      </c>
    </row>
    <row r="248" spans="1:5">
      <c r="A248" s="51" t="s">
        <v>186</v>
      </c>
      <c r="B248" s="30" t="s">
        <v>606</v>
      </c>
      <c r="C248" s="50" t="s">
        <v>1025</v>
      </c>
      <c r="D248" s="63" t="s">
        <v>1577</v>
      </c>
      <c r="E248" s="63" t="s">
        <v>1755</v>
      </c>
    </row>
    <row r="249" spans="1:5">
      <c r="A249" s="48" t="s">
        <v>187</v>
      </c>
      <c r="B249" s="49" t="s">
        <v>607</v>
      </c>
      <c r="C249" s="50" t="s">
        <v>1060</v>
      </c>
      <c r="D249" s="63" t="s">
        <v>1577</v>
      </c>
      <c r="E249" s="63" t="s">
        <v>1755</v>
      </c>
    </row>
    <row r="250" spans="1:5">
      <c r="A250" s="48" t="s">
        <v>188</v>
      </c>
      <c r="B250" s="49" t="s">
        <v>608</v>
      </c>
      <c r="C250" s="50" t="s">
        <v>1061</v>
      </c>
      <c r="D250" s="63" t="s">
        <v>1576</v>
      </c>
      <c r="E250" s="63" t="s">
        <v>1755</v>
      </c>
    </row>
    <row r="251" spans="1:5">
      <c r="A251" s="48" t="s">
        <v>195</v>
      </c>
      <c r="B251" s="49" t="s">
        <v>614</v>
      </c>
      <c r="C251" s="50" t="s">
        <v>1066</v>
      </c>
      <c r="D251" s="63" t="s">
        <v>1576</v>
      </c>
      <c r="E251" s="63" t="s">
        <v>1755</v>
      </c>
    </row>
    <row r="252" spans="1:5">
      <c r="A252" s="48" t="s">
        <v>189</v>
      </c>
      <c r="B252" s="49" t="s">
        <v>609</v>
      </c>
      <c r="C252" s="50" t="s">
        <v>1062</v>
      </c>
      <c r="D252" s="63" t="s">
        <v>1577</v>
      </c>
      <c r="E252" s="63" t="s">
        <v>1755</v>
      </c>
    </row>
    <row r="253" spans="1:5">
      <c r="A253" s="63" t="s">
        <v>1624</v>
      </c>
      <c r="B253" s="49" t="s">
        <v>593</v>
      </c>
      <c r="C253" s="64" t="s">
        <v>1625</v>
      </c>
      <c r="D253" s="63" t="s">
        <v>1577</v>
      </c>
      <c r="E253" s="63" t="s">
        <v>1755</v>
      </c>
    </row>
    <row r="254" spans="1:5">
      <c r="A254" s="48" t="s">
        <v>1313</v>
      </c>
      <c r="B254" s="49" t="s">
        <v>1318</v>
      </c>
      <c r="C254" s="52" t="s">
        <v>1319</v>
      </c>
      <c r="D254" s="63" t="s">
        <v>1577</v>
      </c>
      <c r="E254" s="63" t="s">
        <v>1755</v>
      </c>
    </row>
    <row r="255" spans="1:5">
      <c r="A255" s="63" t="s">
        <v>1393</v>
      </c>
      <c r="B255" s="49" t="s">
        <v>1318</v>
      </c>
      <c r="C255" s="50" t="s">
        <v>1394</v>
      </c>
      <c r="D255" s="63" t="s">
        <v>1577</v>
      </c>
      <c r="E255" s="63" t="s">
        <v>1755</v>
      </c>
    </row>
    <row r="256" spans="1:5">
      <c r="A256" s="51" t="s">
        <v>154</v>
      </c>
      <c r="B256" s="30" t="s">
        <v>580</v>
      </c>
      <c r="C256" s="50" t="s">
        <v>1026</v>
      </c>
      <c r="D256" s="63" t="s">
        <v>1577</v>
      </c>
      <c r="E256" s="63" t="s">
        <v>1755</v>
      </c>
    </row>
    <row r="257" spans="1:5">
      <c r="A257" s="51" t="s">
        <v>156</v>
      </c>
      <c r="B257" s="30" t="s">
        <v>582</v>
      </c>
      <c r="C257" s="50" t="s">
        <v>1027</v>
      </c>
      <c r="D257" s="63" t="s">
        <v>1577</v>
      </c>
      <c r="E257" s="63" t="s">
        <v>1755</v>
      </c>
    </row>
    <row r="258" spans="1:5">
      <c r="A258" s="51" t="s">
        <v>155</v>
      </c>
      <c r="B258" s="30" t="s">
        <v>581</v>
      </c>
      <c r="C258" s="50" t="s">
        <v>1028</v>
      </c>
      <c r="D258" s="63" t="s">
        <v>1577</v>
      </c>
      <c r="E258" s="63" t="s">
        <v>1755</v>
      </c>
    </row>
    <row r="259" spans="1:5">
      <c r="A259" s="48" t="s">
        <v>190</v>
      </c>
      <c r="B259" s="49" t="s">
        <v>610</v>
      </c>
      <c r="C259" s="50" t="s">
        <v>1063</v>
      </c>
      <c r="D259" s="63" t="s">
        <v>1577</v>
      </c>
      <c r="E259" s="63" t="s">
        <v>1755</v>
      </c>
    </row>
    <row r="260" spans="1:5">
      <c r="A260" s="48" t="s">
        <v>196</v>
      </c>
      <c r="B260" s="49" t="s">
        <v>615</v>
      </c>
      <c r="C260" s="50" t="s">
        <v>1067</v>
      </c>
      <c r="D260" s="63" t="s">
        <v>1576</v>
      </c>
      <c r="E260" s="63" t="s">
        <v>1755</v>
      </c>
    </row>
    <row r="261" spans="1:5">
      <c r="A261" s="48" t="s">
        <v>153</v>
      </c>
      <c r="B261" s="49" t="s">
        <v>579</v>
      </c>
      <c r="C261" s="50" t="s">
        <v>1036</v>
      </c>
      <c r="D261" s="63" t="s">
        <v>1577</v>
      </c>
      <c r="E261" s="63" t="s">
        <v>1755</v>
      </c>
    </row>
    <row r="262" spans="1:5">
      <c r="A262" s="51" t="s">
        <v>191</v>
      </c>
      <c r="B262" s="30" t="s">
        <v>611</v>
      </c>
      <c r="C262" s="50" t="s">
        <v>1029</v>
      </c>
      <c r="D262" s="63" t="s">
        <v>1577</v>
      </c>
      <c r="E262" s="63" t="s">
        <v>1755</v>
      </c>
    </row>
    <row r="263" spans="1:5">
      <c r="A263" s="51" t="s">
        <v>192</v>
      </c>
      <c r="B263" s="30" t="s">
        <v>606</v>
      </c>
      <c r="C263" s="50" t="s">
        <v>1030</v>
      </c>
      <c r="D263" s="63" t="s">
        <v>1577</v>
      </c>
      <c r="E263" s="63" t="s">
        <v>1755</v>
      </c>
    </row>
    <row r="264" spans="1:5">
      <c r="A264" s="48" t="s">
        <v>193</v>
      </c>
      <c r="B264" s="49" t="s">
        <v>612</v>
      </c>
      <c r="C264" s="50" t="s">
        <v>1064</v>
      </c>
      <c r="D264" s="63" t="s">
        <v>1577</v>
      </c>
      <c r="E264" s="63" t="s">
        <v>1755</v>
      </c>
    </row>
    <row r="265" spans="1:5">
      <c r="A265" s="64" t="s">
        <v>1670</v>
      </c>
      <c r="B265" s="49" t="s">
        <v>1671</v>
      </c>
      <c r="C265" s="64" t="s">
        <v>1672</v>
      </c>
      <c r="D265" s="63" t="s">
        <v>1577</v>
      </c>
      <c r="E265" s="63" t="s">
        <v>1755</v>
      </c>
    </row>
    <row r="266" spans="1:5">
      <c r="A266" s="48" t="s">
        <v>194</v>
      </c>
      <c r="B266" s="49" t="s">
        <v>613</v>
      </c>
      <c r="C266" s="50" t="s">
        <v>1065</v>
      </c>
      <c r="D266" s="63" t="s">
        <v>1576</v>
      </c>
      <c r="E266" s="63" t="s">
        <v>1755</v>
      </c>
    </row>
    <row r="267" spans="1:5">
      <c r="A267" s="51" t="s">
        <v>158</v>
      </c>
      <c r="B267" s="30" t="s">
        <v>584</v>
      </c>
      <c r="C267" s="50" t="s">
        <v>1031</v>
      </c>
      <c r="D267" s="63" t="s">
        <v>1577</v>
      </c>
      <c r="E267" s="63" t="s">
        <v>1755</v>
      </c>
    </row>
    <row r="268" spans="1:5">
      <c r="A268" s="48" t="s">
        <v>159</v>
      </c>
      <c r="B268" s="49" t="s">
        <v>585</v>
      </c>
      <c r="C268" s="50" t="s">
        <v>1037</v>
      </c>
      <c r="D268" s="63" t="s">
        <v>1577</v>
      </c>
      <c r="E268" s="63" t="s">
        <v>1755</v>
      </c>
    </row>
    <row r="269" spans="1:5">
      <c r="A269" s="51" t="s">
        <v>157</v>
      </c>
      <c r="B269" s="30" t="s">
        <v>583</v>
      </c>
      <c r="C269" s="50" t="s">
        <v>1032</v>
      </c>
      <c r="D269" s="63" t="s">
        <v>1577</v>
      </c>
      <c r="E269" s="63" t="s">
        <v>1755</v>
      </c>
    </row>
    <row r="270" spans="1:5">
      <c r="A270" s="51" t="s">
        <v>160</v>
      </c>
      <c r="B270" s="30" t="s">
        <v>586</v>
      </c>
      <c r="C270" s="50" t="s">
        <v>1033</v>
      </c>
      <c r="D270" s="63" t="s">
        <v>1577</v>
      </c>
      <c r="E270" s="63" t="s">
        <v>1755</v>
      </c>
    </row>
    <row r="271" spans="1:5">
      <c r="A271" s="48" t="s">
        <v>161</v>
      </c>
      <c r="B271" s="49" t="s">
        <v>587</v>
      </c>
      <c r="C271" s="50" t="s">
        <v>1038</v>
      </c>
      <c r="D271" s="63" t="s">
        <v>1577</v>
      </c>
      <c r="E271" s="63" t="s">
        <v>1755</v>
      </c>
    </row>
    <row r="272" spans="1:5">
      <c r="A272" s="51" t="s">
        <v>162</v>
      </c>
      <c r="B272" s="30" t="s">
        <v>588</v>
      </c>
      <c r="C272" s="50" t="s">
        <v>1034</v>
      </c>
      <c r="D272" s="63" t="s">
        <v>1577</v>
      </c>
      <c r="E272" s="63" t="s">
        <v>1755</v>
      </c>
    </row>
    <row r="273" spans="1:5">
      <c r="A273" s="48" t="s">
        <v>163</v>
      </c>
      <c r="B273" s="49" t="s">
        <v>589</v>
      </c>
      <c r="C273" s="50" t="s">
        <v>1039</v>
      </c>
      <c r="D273" s="63" t="s">
        <v>1577</v>
      </c>
      <c r="E273" s="63" t="s">
        <v>1755</v>
      </c>
    </row>
    <row r="274" spans="1:5">
      <c r="A274" s="51" t="s">
        <v>201</v>
      </c>
      <c r="B274" s="30" t="s">
        <v>804</v>
      </c>
      <c r="C274" s="50" t="s">
        <v>1035</v>
      </c>
      <c r="D274" s="63" t="s">
        <v>1615</v>
      </c>
      <c r="E274" s="63" t="s">
        <v>1755</v>
      </c>
    </row>
    <row r="275" spans="1:5">
      <c r="A275" s="109" t="s">
        <v>1733</v>
      </c>
      <c r="B275" s="49" t="s">
        <v>804</v>
      </c>
      <c r="C275" s="64" t="s">
        <v>1734</v>
      </c>
      <c r="D275" s="63" t="s">
        <v>1615</v>
      </c>
      <c r="E275" s="63" t="s">
        <v>1755</v>
      </c>
    </row>
    <row r="276" spans="1:5">
      <c r="A276" s="48" t="s">
        <v>202</v>
      </c>
      <c r="B276" s="30" t="s">
        <v>805</v>
      </c>
      <c r="C276" s="50" t="s">
        <v>1273</v>
      </c>
      <c r="D276" s="63" t="s">
        <v>1615</v>
      </c>
      <c r="E276" s="63" t="s">
        <v>1755</v>
      </c>
    </row>
    <row r="277" spans="1:5">
      <c r="A277" s="48" t="s">
        <v>9</v>
      </c>
      <c r="B277" s="30" t="s">
        <v>475</v>
      </c>
      <c r="C277" s="50" t="s">
        <v>924</v>
      </c>
      <c r="D277" s="63" t="s">
        <v>1626</v>
      </c>
      <c r="E277" s="63" t="s">
        <v>1755</v>
      </c>
    </row>
    <row r="278" spans="1:5">
      <c r="A278" s="48" t="s">
        <v>71</v>
      </c>
      <c r="B278" s="49" t="s">
        <v>521</v>
      </c>
      <c r="C278" s="50" t="s">
        <v>966</v>
      </c>
      <c r="D278" s="63" t="s">
        <v>1626</v>
      </c>
      <c r="E278" s="63" t="s">
        <v>1755</v>
      </c>
    </row>
    <row r="279" spans="1:5">
      <c r="A279" s="63" t="s">
        <v>1486</v>
      </c>
      <c r="B279" s="49" t="s">
        <v>1492</v>
      </c>
      <c r="C279" s="64" t="s">
        <v>1491</v>
      </c>
      <c r="D279" s="63" t="s">
        <v>1576</v>
      </c>
      <c r="E279" s="63" t="s">
        <v>1755</v>
      </c>
    </row>
    <row r="280" spans="1:5">
      <c r="A280" s="48" t="s">
        <v>13</v>
      </c>
      <c r="B280" s="49" t="s">
        <v>479</v>
      </c>
      <c r="C280" s="50" t="s">
        <v>926</v>
      </c>
      <c r="D280" s="63" t="s">
        <v>1626</v>
      </c>
      <c r="E280" s="63" t="s">
        <v>1755</v>
      </c>
    </row>
    <row r="281" spans="1:5">
      <c r="A281" s="48" t="s">
        <v>1331</v>
      </c>
      <c r="B281" s="49" t="s">
        <v>1335</v>
      </c>
      <c r="C281" s="50" t="s">
        <v>1336</v>
      </c>
      <c r="D281" s="63" t="s">
        <v>1626</v>
      </c>
      <c r="E281" s="63" t="s">
        <v>1755</v>
      </c>
    </row>
    <row r="282" spans="1:5">
      <c r="A282" s="109" t="s">
        <v>1714</v>
      </c>
      <c r="B282" s="49" t="s">
        <v>1335</v>
      </c>
      <c r="C282" s="64" t="s">
        <v>1715</v>
      </c>
      <c r="D282" s="63" t="s">
        <v>1626</v>
      </c>
      <c r="E282" s="63" t="s">
        <v>1755</v>
      </c>
    </row>
    <row r="283" spans="1:5">
      <c r="A283" s="48" t="s">
        <v>14</v>
      </c>
      <c r="B283" s="49" t="s">
        <v>480</v>
      </c>
      <c r="C283" s="50" t="s">
        <v>927</v>
      </c>
      <c r="D283" s="63" t="s">
        <v>1626</v>
      </c>
      <c r="E283" s="63" t="s">
        <v>1755</v>
      </c>
    </row>
    <row r="284" spans="1:5">
      <c r="A284" s="48" t="s">
        <v>15</v>
      </c>
      <c r="B284" s="49" t="s">
        <v>480</v>
      </c>
      <c r="C284" s="50" t="s">
        <v>928</v>
      </c>
      <c r="D284" s="63" t="s">
        <v>1626</v>
      </c>
      <c r="E284" s="63" t="s">
        <v>1755</v>
      </c>
    </row>
    <row r="285" spans="1:5">
      <c r="A285" s="48" t="s">
        <v>16</v>
      </c>
      <c r="B285" s="49" t="s">
        <v>481</v>
      </c>
      <c r="C285" s="50" t="s">
        <v>929</v>
      </c>
      <c r="D285" s="63" t="s">
        <v>1626</v>
      </c>
      <c r="E285" s="63" t="s">
        <v>1755</v>
      </c>
    </row>
    <row r="286" spans="1:5">
      <c r="A286" s="48" t="s">
        <v>17</v>
      </c>
      <c r="B286" s="49" t="s">
        <v>481</v>
      </c>
      <c r="C286" s="50" t="s">
        <v>930</v>
      </c>
      <c r="D286" s="63" t="s">
        <v>1626</v>
      </c>
      <c r="E286" s="63" t="s">
        <v>1755</v>
      </c>
    </row>
    <row r="287" spans="1:5">
      <c r="A287" s="63" t="s">
        <v>1395</v>
      </c>
      <c r="B287" s="49" t="s">
        <v>1396</v>
      </c>
      <c r="C287" s="50" t="s">
        <v>1397</v>
      </c>
      <c r="D287" s="63" t="s">
        <v>1626</v>
      </c>
      <c r="E287" s="63" t="s">
        <v>1755</v>
      </c>
    </row>
    <row r="288" spans="1:5">
      <c r="A288" s="107" t="s">
        <v>1547</v>
      </c>
      <c r="B288" s="49" t="s">
        <v>1396</v>
      </c>
      <c r="C288" s="64" t="s">
        <v>1549</v>
      </c>
      <c r="D288" s="63" t="s">
        <v>1626</v>
      </c>
      <c r="E288" s="63" t="s">
        <v>1755</v>
      </c>
    </row>
    <row r="289" spans="1:5">
      <c r="A289" s="48" t="s">
        <v>18</v>
      </c>
      <c r="B289" s="49" t="s">
        <v>481</v>
      </c>
      <c r="C289" s="50" t="s">
        <v>931</v>
      </c>
      <c r="D289" s="63" t="s">
        <v>1626</v>
      </c>
      <c r="E289" s="63" t="s">
        <v>1755</v>
      </c>
    </row>
    <row r="290" spans="1:5">
      <c r="A290" s="48" t="s">
        <v>19</v>
      </c>
      <c r="B290" s="49" t="s">
        <v>482</v>
      </c>
      <c r="C290" s="50" t="s">
        <v>932</v>
      </c>
      <c r="D290" s="63" t="s">
        <v>1626</v>
      </c>
      <c r="E290" s="63" t="s">
        <v>1755</v>
      </c>
    </row>
    <row r="291" spans="1:5">
      <c r="A291" s="48" t="s">
        <v>1322</v>
      </c>
      <c r="B291" s="49" t="s">
        <v>1327</v>
      </c>
      <c r="C291" s="50" t="s">
        <v>1328</v>
      </c>
      <c r="D291" s="63" t="s">
        <v>1626</v>
      </c>
      <c r="E291" s="63" t="s">
        <v>1755</v>
      </c>
    </row>
    <row r="292" spans="1:5">
      <c r="A292" s="51" t="s">
        <v>20</v>
      </c>
      <c r="B292" s="30" t="s">
        <v>483</v>
      </c>
      <c r="C292" s="50" t="s">
        <v>863</v>
      </c>
      <c r="D292" s="63" t="s">
        <v>1626</v>
      </c>
      <c r="E292" s="63" t="s">
        <v>1755</v>
      </c>
    </row>
    <row r="293" spans="1:5">
      <c r="A293" s="48" t="s">
        <v>21</v>
      </c>
      <c r="B293" s="49" t="s">
        <v>484</v>
      </c>
      <c r="C293" s="50" t="s">
        <v>933</v>
      </c>
      <c r="D293" s="63" t="s">
        <v>1626</v>
      </c>
      <c r="E293" s="63" t="s">
        <v>1755</v>
      </c>
    </row>
    <row r="294" spans="1:5">
      <c r="A294" s="48" t="s">
        <v>22</v>
      </c>
      <c r="B294" s="49" t="s">
        <v>484</v>
      </c>
      <c r="C294" s="50" t="s">
        <v>934</v>
      </c>
      <c r="D294" s="63" t="s">
        <v>1626</v>
      </c>
      <c r="E294" s="63" t="s">
        <v>1755</v>
      </c>
    </row>
    <row r="295" spans="1:5">
      <c r="A295" s="48" t="s">
        <v>23</v>
      </c>
      <c r="B295" s="49" t="s">
        <v>485</v>
      </c>
      <c r="C295" s="50" t="s">
        <v>935</v>
      </c>
      <c r="D295" s="63" t="s">
        <v>1626</v>
      </c>
      <c r="E295" s="63" t="s">
        <v>1755</v>
      </c>
    </row>
    <row r="296" spans="1:5">
      <c r="A296" s="48" t="s">
        <v>24</v>
      </c>
      <c r="B296" s="49" t="s">
        <v>485</v>
      </c>
      <c r="C296" s="50" t="s">
        <v>936</v>
      </c>
      <c r="D296" s="63" t="s">
        <v>1626</v>
      </c>
      <c r="E296" s="63" t="s">
        <v>1755</v>
      </c>
    </row>
    <row r="297" spans="1:5">
      <c r="A297" s="109" t="s">
        <v>1701</v>
      </c>
      <c r="B297" s="49" t="s">
        <v>485</v>
      </c>
      <c r="C297" s="64" t="s">
        <v>1702</v>
      </c>
      <c r="D297" s="63" t="s">
        <v>1626</v>
      </c>
      <c r="E297" s="63" t="s">
        <v>1755</v>
      </c>
    </row>
    <row r="298" spans="1:5">
      <c r="A298" s="48" t="s">
        <v>25</v>
      </c>
      <c r="B298" s="49" t="s">
        <v>484</v>
      </c>
      <c r="C298" s="50" t="s">
        <v>937</v>
      </c>
      <c r="D298" s="63" t="s">
        <v>1626</v>
      </c>
      <c r="E298" s="63" t="s">
        <v>1755</v>
      </c>
    </row>
    <row r="299" spans="1:5">
      <c r="A299" s="51" t="s">
        <v>11</v>
      </c>
      <c r="B299" s="30" t="s">
        <v>477</v>
      </c>
      <c r="C299" s="50" t="s">
        <v>864</v>
      </c>
      <c r="D299" s="63" t="s">
        <v>1626</v>
      </c>
      <c r="E299" s="63" t="s">
        <v>1755</v>
      </c>
    </row>
    <row r="300" spans="1:5">
      <c r="A300" s="51" t="s">
        <v>12</v>
      </c>
      <c r="B300" s="30" t="s">
        <v>478</v>
      </c>
      <c r="C300" s="50" t="s">
        <v>865</v>
      </c>
      <c r="D300" s="63" t="s">
        <v>1626</v>
      </c>
      <c r="E300" s="63" t="s">
        <v>1755</v>
      </c>
    </row>
    <row r="301" spans="1:5">
      <c r="A301" s="48" t="s">
        <v>10</v>
      </c>
      <c r="B301" s="30" t="s">
        <v>476</v>
      </c>
      <c r="C301" s="50" t="s">
        <v>925</v>
      </c>
      <c r="D301" s="63" t="s">
        <v>1626</v>
      </c>
      <c r="E301" s="63" t="s">
        <v>1755</v>
      </c>
    </row>
    <row r="302" spans="1:5">
      <c r="A302" s="51" t="s">
        <v>26</v>
      </c>
      <c r="B302" s="30" t="s">
        <v>486</v>
      </c>
      <c r="C302" s="50" t="s">
        <v>866</v>
      </c>
      <c r="D302" s="63" t="s">
        <v>1626</v>
      </c>
      <c r="E302" s="63" t="s">
        <v>1755</v>
      </c>
    </row>
    <row r="303" spans="1:5">
      <c r="A303" s="51" t="s">
        <v>27</v>
      </c>
      <c r="B303" s="30" t="s">
        <v>487</v>
      </c>
      <c r="C303" s="50" t="s">
        <v>867</v>
      </c>
      <c r="D303" s="63" t="s">
        <v>1626</v>
      </c>
      <c r="E303" s="63" t="s">
        <v>1755</v>
      </c>
    </row>
    <row r="304" spans="1:5">
      <c r="A304" s="51" t="s">
        <v>28</v>
      </c>
      <c r="B304" s="30" t="s">
        <v>488</v>
      </c>
      <c r="C304" s="50" t="s">
        <v>868</v>
      </c>
      <c r="D304" s="63" t="s">
        <v>1626</v>
      </c>
      <c r="E304" s="63" t="s">
        <v>1755</v>
      </c>
    </row>
    <row r="305" spans="1:5">
      <c r="A305" s="51" t="s">
        <v>29</v>
      </c>
      <c r="B305" s="30" t="s">
        <v>487</v>
      </c>
      <c r="C305" s="50" t="s">
        <v>869</v>
      </c>
      <c r="D305" s="63" t="s">
        <v>1626</v>
      </c>
      <c r="E305" s="63" t="s">
        <v>1755</v>
      </c>
    </row>
    <row r="306" spans="1:5">
      <c r="A306" s="51" t="s">
        <v>30</v>
      </c>
      <c r="B306" s="30" t="s">
        <v>488</v>
      </c>
      <c r="C306" s="50" t="s">
        <v>870</v>
      </c>
      <c r="D306" s="63" t="s">
        <v>1626</v>
      </c>
      <c r="E306" s="63" t="s">
        <v>1755</v>
      </c>
    </row>
    <row r="307" spans="1:5">
      <c r="A307" s="29" t="s">
        <v>1766</v>
      </c>
      <c r="B307" s="30" t="s">
        <v>488</v>
      </c>
      <c r="C307" s="64" t="s">
        <v>1767</v>
      </c>
      <c r="D307" s="63" t="s">
        <v>1626</v>
      </c>
      <c r="E307" s="63" t="s">
        <v>1755</v>
      </c>
    </row>
    <row r="308" spans="1:5">
      <c r="A308" s="48" t="s">
        <v>31</v>
      </c>
      <c r="B308" s="49" t="s">
        <v>489</v>
      </c>
      <c r="C308" s="50" t="s">
        <v>938</v>
      </c>
      <c r="D308" s="63" t="s">
        <v>1626</v>
      </c>
      <c r="E308" s="63" t="s">
        <v>1755</v>
      </c>
    </row>
    <row r="309" spans="1:5">
      <c r="A309" s="48" t="s">
        <v>1646</v>
      </c>
      <c r="B309" s="49" t="s">
        <v>1647</v>
      </c>
      <c r="C309" s="52" t="s">
        <v>1648</v>
      </c>
      <c r="D309" s="63" t="s">
        <v>1626</v>
      </c>
      <c r="E309" s="63" t="s">
        <v>1755</v>
      </c>
    </row>
    <row r="310" spans="1:5">
      <c r="A310" s="48" t="s">
        <v>32</v>
      </c>
      <c r="B310" s="49" t="s">
        <v>490</v>
      </c>
      <c r="C310" s="50" t="s">
        <v>939</v>
      </c>
      <c r="D310" s="63" t="s">
        <v>1626</v>
      </c>
      <c r="E310" s="63" t="s">
        <v>1755</v>
      </c>
    </row>
    <row r="311" spans="1:5">
      <c r="A311" s="48" t="s">
        <v>33</v>
      </c>
      <c r="B311" s="49" t="s">
        <v>491</v>
      </c>
      <c r="C311" s="50" t="s">
        <v>940</v>
      </c>
      <c r="D311" s="63" t="s">
        <v>1626</v>
      </c>
      <c r="E311" s="63" t="s">
        <v>1755</v>
      </c>
    </row>
    <row r="312" spans="1:5">
      <c r="A312" s="48" t="s">
        <v>34</v>
      </c>
      <c r="B312" s="49" t="s">
        <v>490</v>
      </c>
      <c r="C312" s="50" t="s">
        <v>941</v>
      </c>
      <c r="D312" s="63" t="s">
        <v>1626</v>
      </c>
      <c r="E312" s="63" t="s">
        <v>1755</v>
      </c>
    </row>
    <row r="313" spans="1:5">
      <c r="A313" s="48" t="s">
        <v>1652</v>
      </c>
      <c r="B313" s="49" t="s">
        <v>1653</v>
      </c>
      <c r="C313" s="52" t="s">
        <v>1654</v>
      </c>
      <c r="D313" s="63" t="s">
        <v>1626</v>
      </c>
      <c r="E313" s="63" t="s">
        <v>1755</v>
      </c>
    </row>
    <row r="314" spans="1:5">
      <c r="A314" s="48" t="s">
        <v>1649</v>
      </c>
      <c r="B314" s="49" t="s">
        <v>1650</v>
      </c>
      <c r="C314" s="52" t="s">
        <v>1651</v>
      </c>
      <c r="D314" s="63" t="s">
        <v>1626</v>
      </c>
      <c r="E314" s="63" t="s">
        <v>1755</v>
      </c>
    </row>
    <row r="315" spans="1:5">
      <c r="A315" s="48" t="s">
        <v>35</v>
      </c>
      <c r="B315" s="49" t="s">
        <v>488</v>
      </c>
      <c r="C315" s="50" t="s">
        <v>942</v>
      </c>
      <c r="D315" s="63" t="s">
        <v>1626</v>
      </c>
      <c r="E315" s="63" t="s">
        <v>1755</v>
      </c>
    </row>
    <row r="316" spans="1:5">
      <c r="A316" s="48" t="s">
        <v>36</v>
      </c>
      <c r="B316" s="49" t="s">
        <v>492</v>
      </c>
      <c r="C316" s="50" t="s">
        <v>943</v>
      </c>
      <c r="D316" s="63" t="s">
        <v>1626</v>
      </c>
      <c r="E316" s="63" t="s">
        <v>1755</v>
      </c>
    </row>
    <row r="317" spans="1:5">
      <c r="A317" s="51" t="s">
        <v>37</v>
      </c>
      <c r="B317" s="30" t="s">
        <v>493</v>
      </c>
      <c r="C317" s="50" t="s">
        <v>871</v>
      </c>
      <c r="D317" s="63" t="s">
        <v>1626</v>
      </c>
      <c r="E317" s="63" t="s">
        <v>1755</v>
      </c>
    </row>
    <row r="318" spans="1:5">
      <c r="A318" s="51" t="s">
        <v>38</v>
      </c>
      <c r="B318" s="30" t="s">
        <v>494</v>
      </c>
      <c r="C318" s="50" t="s">
        <v>872</v>
      </c>
      <c r="D318" s="63" t="s">
        <v>1626</v>
      </c>
      <c r="E318" s="63" t="s">
        <v>1755</v>
      </c>
    </row>
    <row r="319" spans="1:5">
      <c r="A319" s="51" t="s">
        <v>39</v>
      </c>
      <c r="B319" s="30" t="s">
        <v>495</v>
      </c>
      <c r="C319" s="50" t="s">
        <v>873</v>
      </c>
      <c r="D319" s="63" t="s">
        <v>1626</v>
      </c>
      <c r="E319" s="63" t="s">
        <v>1755</v>
      </c>
    </row>
    <row r="320" spans="1:5">
      <c r="A320" s="51" t="s">
        <v>40</v>
      </c>
      <c r="B320" s="30" t="s">
        <v>496</v>
      </c>
      <c r="C320" s="50" t="s">
        <v>874</v>
      </c>
      <c r="D320" s="63" t="s">
        <v>1626</v>
      </c>
      <c r="E320" s="63" t="s">
        <v>1755</v>
      </c>
    </row>
    <row r="321" spans="1:5">
      <c r="A321" s="48" t="s">
        <v>41</v>
      </c>
      <c r="B321" s="49" t="s">
        <v>497</v>
      </c>
      <c r="C321" s="50" t="s">
        <v>944</v>
      </c>
      <c r="D321" s="63" t="s">
        <v>1626</v>
      </c>
      <c r="E321" s="63" t="s">
        <v>1755</v>
      </c>
    </row>
    <row r="322" spans="1:5">
      <c r="A322" s="51" t="s">
        <v>42</v>
      </c>
      <c r="B322" s="30" t="s">
        <v>492</v>
      </c>
      <c r="C322" s="50" t="s">
        <v>875</v>
      </c>
      <c r="D322" s="63" t="s">
        <v>1626</v>
      </c>
      <c r="E322" s="63" t="s">
        <v>1755</v>
      </c>
    </row>
    <row r="323" spans="1:5">
      <c r="A323" s="51" t="s">
        <v>43</v>
      </c>
      <c r="B323" s="30" t="s">
        <v>498</v>
      </c>
      <c r="C323" s="50" t="s">
        <v>876</v>
      </c>
      <c r="D323" s="63" t="s">
        <v>1626</v>
      </c>
      <c r="E323" s="63" t="s">
        <v>1755</v>
      </c>
    </row>
    <row r="324" spans="1:5">
      <c r="A324" s="51" t="s">
        <v>44</v>
      </c>
      <c r="B324" s="30" t="s">
        <v>499</v>
      </c>
      <c r="C324" s="50" t="s">
        <v>877</v>
      </c>
      <c r="D324" s="63" t="s">
        <v>1626</v>
      </c>
      <c r="E324" s="63" t="s">
        <v>1755</v>
      </c>
    </row>
    <row r="325" spans="1:5">
      <c r="A325" s="64" t="s">
        <v>1676</v>
      </c>
      <c r="B325" s="49" t="s">
        <v>500</v>
      </c>
      <c r="C325" s="64" t="s">
        <v>1677</v>
      </c>
      <c r="D325" s="63" t="s">
        <v>1626</v>
      </c>
      <c r="E325" s="63" t="s">
        <v>1755</v>
      </c>
    </row>
    <row r="326" spans="1:5">
      <c r="A326" s="48" t="s">
        <v>45</v>
      </c>
      <c r="B326" s="49" t="s">
        <v>500</v>
      </c>
      <c r="C326" s="50" t="s">
        <v>945</v>
      </c>
      <c r="D326" s="63" t="s">
        <v>1626</v>
      </c>
      <c r="E326" s="63" t="s">
        <v>1755</v>
      </c>
    </row>
    <row r="327" spans="1:5">
      <c r="A327" s="48" t="s">
        <v>46</v>
      </c>
      <c r="B327" s="49" t="s">
        <v>501</v>
      </c>
      <c r="C327" s="50" t="s">
        <v>946</v>
      </c>
      <c r="D327" s="63" t="s">
        <v>1626</v>
      </c>
      <c r="E327" s="63" t="s">
        <v>1755</v>
      </c>
    </row>
    <row r="328" spans="1:5">
      <c r="A328" s="48" t="s">
        <v>48</v>
      </c>
      <c r="B328" s="49" t="s">
        <v>503</v>
      </c>
      <c r="C328" s="50" t="s">
        <v>947</v>
      </c>
      <c r="D328" s="63" t="s">
        <v>1626</v>
      </c>
      <c r="E328" s="63" t="s">
        <v>1755</v>
      </c>
    </row>
    <row r="329" spans="1:5">
      <c r="A329" s="63" t="s">
        <v>1398</v>
      </c>
      <c r="B329" s="49" t="s">
        <v>880</v>
      </c>
      <c r="C329" s="50" t="s">
        <v>1399</v>
      </c>
      <c r="D329" s="63" t="s">
        <v>1626</v>
      </c>
      <c r="E329" s="63" t="s">
        <v>1755</v>
      </c>
    </row>
    <row r="330" spans="1:5">
      <c r="A330" s="51" t="s">
        <v>47</v>
      </c>
      <c r="B330" s="30" t="s">
        <v>502</v>
      </c>
      <c r="C330" s="50" t="s">
        <v>878</v>
      </c>
      <c r="D330" s="63" t="s">
        <v>1626</v>
      </c>
      <c r="E330" s="63" t="s">
        <v>1755</v>
      </c>
    </row>
    <row r="331" spans="1:5">
      <c r="A331" s="51" t="s">
        <v>49</v>
      </c>
      <c r="B331" s="30" t="s">
        <v>503</v>
      </c>
      <c r="C331" s="50" t="s">
        <v>879</v>
      </c>
      <c r="D331" s="63" t="s">
        <v>1626</v>
      </c>
      <c r="E331" s="63" t="s">
        <v>1755</v>
      </c>
    </row>
    <row r="332" spans="1:5">
      <c r="A332" s="51" t="s">
        <v>50</v>
      </c>
      <c r="B332" s="30" t="s">
        <v>880</v>
      </c>
      <c r="C332" s="50" t="s">
        <v>881</v>
      </c>
      <c r="D332" s="63" t="s">
        <v>1626</v>
      </c>
      <c r="E332" s="63" t="s">
        <v>1755</v>
      </c>
    </row>
    <row r="333" spans="1:5">
      <c r="A333" s="48" t="s">
        <v>68</v>
      </c>
      <c r="B333" s="49" t="s">
        <v>518</v>
      </c>
      <c r="C333" s="50" t="s">
        <v>1553</v>
      </c>
      <c r="D333" s="63" t="s">
        <v>1616</v>
      </c>
      <c r="E333" s="63" t="s">
        <v>1755</v>
      </c>
    </row>
    <row r="334" spans="1:5">
      <c r="A334" s="109" t="s">
        <v>1688</v>
      </c>
      <c r="B334" s="49" t="s">
        <v>518</v>
      </c>
      <c r="C334" s="64" t="s">
        <v>1689</v>
      </c>
      <c r="D334" s="63" t="s">
        <v>1616</v>
      </c>
      <c r="E334" s="63" t="s">
        <v>1755</v>
      </c>
    </row>
    <row r="335" spans="1:5">
      <c r="A335" s="48" t="s">
        <v>69</v>
      </c>
      <c r="B335" s="49" t="s">
        <v>519</v>
      </c>
      <c r="C335" s="50" t="s">
        <v>964</v>
      </c>
      <c r="D335" s="63" t="s">
        <v>1616</v>
      </c>
      <c r="E335" s="63" t="s">
        <v>1755</v>
      </c>
    </row>
    <row r="336" spans="1:5">
      <c r="A336" s="48" t="s">
        <v>70</v>
      </c>
      <c r="B336" s="49" t="s">
        <v>520</v>
      </c>
      <c r="C336" s="50" t="s">
        <v>965</v>
      </c>
      <c r="D336" s="63" t="s">
        <v>1616</v>
      </c>
      <c r="E336" s="63" t="s">
        <v>1755</v>
      </c>
    </row>
    <row r="337" spans="1:5">
      <c r="A337" s="48" t="s">
        <v>66</v>
      </c>
      <c r="B337" s="49" t="s">
        <v>516</v>
      </c>
      <c r="C337" s="50" t="s">
        <v>962</v>
      </c>
      <c r="D337" s="63" t="s">
        <v>1616</v>
      </c>
      <c r="E337" s="63" t="s">
        <v>1755</v>
      </c>
    </row>
    <row r="338" spans="1:5">
      <c r="A338" s="48" t="s">
        <v>67</v>
      </c>
      <c r="B338" s="49" t="s">
        <v>517</v>
      </c>
      <c r="C338" s="50" t="s">
        <v>963</v>
      </c>
      <c r="D338" s="63" t="s">
        <v>1616</v>
      </c>
      <c r="E338" s="63" t="s">
        <v>1755</v>
      </c>
    </row>
    <row r="339" spans="1:5">
      <c r="A339" s="48" t="s">
        <v>278</v>
      </c>
      <c r="B339" s="49" t="s">
        <v>688</v>
      </c>
      <c r="C339" s="50" t="s">
        <v>1140</v>
      </c>
      <c r="D339" s="63" t="s">
        <v>1627</v>
      </c>
      <c r="E339" s="63" t="s">
        <v>1755</v>
      </c>
    </row>
    <row r="340" spans="1:5">
      <c r="A340" s="64" t="s">
        <v>1673</v>
      </c>
      <c r="B340" s="49" t="s">
        <v>1674</v>
      </c>
      <c r="C340" s="64" t="s">
        <v>1675</v>
      </c>
      <c r="D340" s="63" t="s">
        <v>1627</v>
      </c>
      <c r="E340" s="63" t="s">
        <v>1755</v>
      </c>
    </row>
    <row r="341" spans="1:5">
      <c r="A341" s="48" t="s">
        <v>277</v>
      </c>
      <c r="B341" s="49" t="s">
        <v>687</v>
      </c>
      <c r="C341" s="50" t="s">
        <v>1139</v>
      </c>
      <c r="D341" s="63" t="s">
        <v>1627</v>
      </c>
      <c r="E341" s="63" t="s">
        <v>1755</v>
      </c>
    </row>
    <row r="342" spans="1:5">
      <c r="A342" s="109" t="s">
        <v>1724</v>
      </c>
      <c r="B342" s="49" t="s">
        <v>1725</v>
      </c>
      <c r="C342" s="64" t="s">
        <v>1726</v>
      </c>
      <c r="D342" s="63" t="s">
        <v>1627</v>
      </c>
      <c r="E342" s="63" t="s">
        <v>1755</v>
      </c>
    </row>
    <row r="343" spans="1:5">
      <c r="A343" s="63" t="s">
        <v>1637</v>
      </c>
      <c r="B343" s="49" t="s">
        <v>1655</v>
      </c>
      <c r="C343" s="64" t="s">
        <v>1656</v>
      </c>
      <c r="D343" s="63" t="s">
        <v>1627</v>
      </c>
      <c r="E343" s="63" t="s">
        <v>1755</v>
      </c>
    </row>
    <row r="344" spans="1:5">
      <c r="A344" s="63" t="s">
        <v>1517</v>
      </c>
      <c r="B344" s="49" t="s">
        <v>1518</v>
      </c>
      <c r="C344" s="52" t="s">
        <v>1519</v>
      </c>
      <c r="D344" s="63" t="s">
        <v>1627</v>
      </c>
      <c r="E344" s="63" t="s">
        <v>1755</v>
      </c>
    </row>
    <row r="345" spans="1:5">
      <c r="A345" s="48" t="s">
        <v>280</v>
      </c>
      <c r="B345" s="49" t="s">
        <v>690</v>
      </c>
      <c r="C345" s="50" t="s">
        <v>1142</v>
      </c>
      <c r="D345" s="63" t="s">
        <v>1627</v>
      </c>
      <c r="E345" s="63" t="s">
        <v>1755</v>
      </c>
    </row>
    <row r="346" spans="1:5">
      <c r="A346" s="109" t="s">
        <v>1718</v>
      </c>
      <c r="B346" s="49" t="s">
        <v>1719</v>
      </c>
      <c r="C346" s="64" t="s">
        <v>1720</v>
      </c>
      <c r="D346" s="63" t="s">
        <v>1627</v>
      </c>
      <c r="E346" s="63" t="s">
        <v>1755</v>
      </c>
    </row>
    <row r="347" spans="1:5">
      <c r="A347" s="48" t="s">
        <v>279</v>
      </c>
      <c r="B347" s="49" t="s">
        <v>689</v>
      </c>
      <c r="C347" s="50" t="s">
        <v>1141</v>
      </c>
      <c r="D347" s="63" t="s">
        <v>1627</v>
      </c>
      <c r="E347" s="63" t="s">
        <v>1755</v>
      </c>
    </row>
    <row r="348" spans="1:5">
      <c r="A348" s="48" t="s">
        <v>228</v>
      </c>
      <c r="B348" s="49" t="s">
        <v>640</v>
      </c>
      <c r="C348" s="50" t="s">
        <v>1097</v>
      </c>
      <c r="D348" s="63" t="s">
        <v>1627</v>
      </c>
      <c r="E348" s="63" t="s">
        <v>1755</v>
      </c>
    </row>
    <row r="349" spans="1:5">
      <c r="A349" s="48" t="s">
        <v>229</v>
      </c>
      <c r="B349" s="49" t="s">
        <v>641</v>
      </c>
      <c r="C349" s="50" t="s">
        <v>1098</v>
      </c>
      <c r="D349" s="63" t="s">
        <v>1627</v>
      </c>
      <c r="E349" s="63" t="s">
        <v>1755</v>
      </c>
    </row>
    <row r="350" spans="1:5">
      <c r="A350" s="48" t="s">
        <v>230</v>
      </c>
      <c r="B350" s="49" t="s">
        <v>641</v>
      </c>
      <c r="C350" s="50" t="s">
        <v>1099</v>
      </c>
      <c r="D350" s="63" t="s">
        <v>1627</v>
      </c>
      <c r="E350" s="63" t="s">
        <v>1755</v>
      </c>
    </row>
    <row r="351" spans="1:5">
      <c r="A351" s="48" t="s">
        <v>237</v>
      </c>
      <c r="B351" s="49" t="s">
        <v>648</v>
      </c>
      <c r="C351" s="50" t="s">
        <v>1104</v>
      </c>
      <c r="D351" s="63" t="s">
        <v>1627</v>
      </c>
      <c r="E351" s="63" t="s">
        <v>1755</v>
      </c>
    </row>
    <row r="352" spans="1:5">
      <c r="A352" s="48" t="s">
        <v>238</v>
      </c>
      <c r="B352" s="49" t="s">
        <v>649</v>
      </c>
      <c r="C352" s="50" t="s">
        <v>1105</v>
      </c>
      <c r="D352" s="63" t="s">
        <v>1627</v>
      </c>
      <c r="E352" s="63" t="s">
        <v>1755</v>
      </c>
    </row>
    <row r="353" spans="1:5">
      <c r="A353" s="48" t="s">
        <v>239</v>
      </c>
      <c r="B353" s="49" t="s">
        <v>650</v>
      </c>
      <c r="C353" s="50" t="s">
        <v>1106</v>
      </c>
      <c r="D353" s="63" t="s">
        <v>1627</v>
      </c>
      <c r="E353" s="63" t="s">
        <v>1755</v>
      </c>
    </row>
    <row r="354" spans="1:5">
      <c r="A354" s="48" t="s">
        <v>225</v>
      </c>
      <c r="B354" s="30" t="s">
        <v>637</v>
      </c>
      <c r="C354" s="50" t="s">
        <v>1094</v>
      </c>
      <c r="D354" s="63" t="s">
        <v>1627</v>
      </c>
      <c r="E354" s="63" t="s">
        <v>1755</v>
      </c>
    </row>
    <row r="355" spans="1:5">
      <c r="A355" s="48" t="s">
        <v>226</v>
      </c>
      <c r="B355" s="30" t="s">
        <v>638</v>
      </c>
      <c r="C355" s="50" t="s">
        <v>1095</v>
      </c>
      <c r="D355" s="63" t="s">
        <v>1627</v>
      </c>
      <c r="E355" s="63" t="s">
        <v>1755</v>
      </c>
    </row>
    <row r="356" spans="1:5">
      <c r="A356" s="48" t="s">
        <v>227</v>
      </c>
      <c r="B356" s="30" t="s">
        <v>639</v>
      </c>
      <c r="C356" s="50" t="s">
        <v>1096</v>
      </c>
      <c r="D356" s="63" t="s">
        <v>1627</v>
      </c>
      <c r="E356" s="63" t="s">
        <v>1755</v>
      </c>
    </row>
    <row r="357" spans="1:5">
      <c r="A357" s="51" t="s">
        <v>231</v>
      </c>
      <c r="B357" s="30" t="s">
        <v>642</v>
      </c>
      <c r="C357" s="50" t="s">
        <v>1087</v>
      </c>
      <c r="D357" s="63" t="s">
        <v>1627</v>
      </c>
      <c r="E357" s="63" t="s">
        <v>1755</v>
      </c>
    </row>
    <row r="358" spans="1:5">
      <c r="A358" s="48" t="s">
        <v>245</v>
      </c>
      <c r="B358" s="49" t="s">
        <v>656</v>
      </c>
      <c r="C358" s="50" t="s">
        <v>1108</v>
      </c>
      <c r="D358" s="63" t="s">
        <v>1627</v>
      </c>
      <c r="E358" s="63" t="s">
        <v>1755</v>
      </c>
    </row>
    <row r="359" spans="1:5">
      <c r="A359" s="48" t="s">
        <v>233</v>
      </c>
      <c r="B359" s="49" t="s">
        <v>644</v>
      </c>
      <c r="C359" s="50" t="s">
        <v>1101</v>
      </c>
      <c r="D359" s="63" t="s">
        <v>1627</v>
      </c>
      <c r="E359" s="63" t="s">
        <v>1755</v>
      </c>
    </row>
    <row r="360" spans="1:5">
      <c r="A360" s="48" t="s">
        <v>234</v>
      </c>
      <c r="B360" s="49" t="s">
        <v>645</v>
      </c>
      <c r="C360" s="50" t="s">
        <v>1102</v>
      </c>
      <c r="D360" s="63" t="s">
        <v>1627</v>
      </c>
      <c r="E360" s="63" t="s">
        <v>1755</v>
      </c>
    </row>
    <row r="361" spans="1:5">
      <c r="A361" s="109" t="s">
        <v>1703</v>
      </c>
      <c r="B361" s="49" t="s">
        <v>1704</v>
      </c>
      <c r="C361" s="64" t="s">
        <v>1705</v>
      </c>
      <c r="D361" s="63" t="s">
        <v>1627</v>
      </c>
      <c r="E361" s="63" t="s">
        <v>1755</v>
      </c>
    </row>
    <row r="362" spans="1:5">
      <c r="A362" s="51" t="s">
        <v>235</v>
      </c>
      <c r="B362" s="30" t="s">
        <v>646</v>
      </c>
      <c r="C362" s="50" t="s">
        <v>1088</v>
      </c>
      <c r="D362" s="63" t="s">
        <v>1627</v>
      </c>
      <c r="E362" s="63" t="s">
        <v>1755</v>
      </c>
    </row>
    <row r="363" spans="1:5">
      <c r="A363" s="109" t="s">
        <v>1706</v>
      </c>
      <c r="B363" s="49" t="s">
        <v>1707</v>
      </c>
      <c r="C363" s="64" t="s">
        <v>1708</v>
      </c>
      <c r="D363" s="63" t="s">
        <v>1627</v>
      </c>
      <c r="E363" s="63" t="s">
        <v>1755</v>
      </c>
    </row>
    <row r="364" spans="1:5">
      <c r="A364" s="109" t="s">
        <v>1698</v>
      </c>
      <c r="B364" s="49" t="s">
        <v>1699</v>
      </c>
      <c r="C364" s="64" t="s">
        <v>1700</v>
      </c>
      <c r="D364" s="63" t="s">
        <v>1627</v>
      </c>
      <c r="E364" s="63" t="s">
        <v>1755</v>
      </c>
    </row>
    <row r="365" spans="1:5">
      <c r="A365" s="63" t="s">
        <v>1400</v>
      </c>
      <c r="B365" s="30" t="s">
        <v>1401</v>
      </c>
      <c r="C365" s="50" t="s">
        <v>1402</v>
      </c>
      <c r="D365" s="63" t="s">
        <v>1627</v>
      </c>
      <c r="E365" s="63" t="s">
        <v>1755</v>
      </c>
    </row>
    <row r="366" spans="1:5">
      <c r="A366" s="48" t="s">
        <v>236</v>
      </c>
      <c r="B366" s="49" t="s">
        <v>647</v>
      </c>
      <c r="C366" s="50" t="s">
        <v>1103</v>
      </c>
      <c r="D366" s="63" t="s">
        <v>1627</v>
      </c>
      <c r="E366" s="63" t="s">
        <v>1755</v>
      </c>
    </row>
    <row r="367" spans="1:5">
      <c r="A367" s="48" t="s">
        <v>232</v>
      </c>
      <c r="B367" s="49" t="s">
        <v>643</v>
      </c>
      <c r="C367" s="50" t="s">
        <v>1100</v>
      </c>
      <c r="D367" s="63" t="s">
        <v>1627</v>
      </c>
      <c r="E367" s="63" t="s">
        <v>1755</v>
      </c>
    </row>
    <row r="368" spans="1:5">
      <c r="A368" s="29" t="s">
        <v>1768</v>
      </c>
      <c r="B368" s="49" t="s">
        <v>1769</v>
      </c>
      <c r="C368" s="64" t="s">
        <v>1770</v>
      </c>
      <c r="D368" s="63" t="s">
        <v>1627</v>
      </c>
      <c r="E368" s="63" t="s">
        <v>1755</v>
      </c>
    </row>
    <row r="369" spans="1:5">
      <c r="A369" s="51" t="s">
        <v>240</v>
      </c>
      <c r="B369" s="30" t="s">
        <v>651</v>
      </c>
      <c r="C369" s="50" t="s">
        <v>1089</v>
      </c>
      <c r="D369" s="63" t="s">
        <v>1627</v>
      </c>
      <c r="E369" s="63" t="s">
        <v>1755</v>
      </c>
    </row>
    <row r="370" spans="1:5">
      <c r="A370" s="51" t="s">
        <v>241</v>
      </c>
      <c r="B370" s="30" t="s">
        <v>652</v>
      </c>
      <c r="C370" s="50" t="s">
        <v>1090</v>
      </c>
      <c r="D370" s="63" t="s">
        <v>1627</v>
      </c>
      <c r="E370" s="63" t="s">
        <v>1755</v>
      </c>
    </row>
    <row r="371" spans="1:5">
      <c r="A371" s="51" t="s">
        <v>242</v>
      </c>
      <c r="B371" s="30" t="s">
        <v>653</v>
      </c>
      <c r="C371" s="50" t="s">
        <v>1091</v>
      </c>
      <c r="D371" s="63" t="s">
        <v>1627</v>
      </c>
      <c r="E371" s="63" t="s">
        <v>1755</v>
      </c>
    </row>
    <row r="372" spans="1:5">
      <c r="A372" s="63" t="s">
        <v>1636</v>
      </c>
      <c r="B372" s="30" t="s">
        <v>1658</v>
      </c>
      <c r="C372" s="64" t="s">
        <v>1657</v>
      </c>
      <c r="D372" s="63" t="s">
        <v>1627</v>
      </c>
      <c r="E372" s="63" t="s">
        <v>1755</v>
      </c>
    </row>
    <row r="373" spans="1:5">
      <c r="A373" s="48" t="s">
        <v>243</v>
      </c>
      <c r="B373" s="49" t="s">
        <v>654</v>
      </c>
      <c r="C373" s="50" t="s">
        <v>1107</v>
      </c>
      <c r="D373" s="63" t="s">
        <v>1627</v>
      </c>
      <c r="E373" s="63" t="s">
        <v>1755</v>
      </c>
    </row>
    <row r="374" spans="1:5">
      <c r="A374" s="51" t="s">
        <v>244</v>
      </c>
      <c r="B374" s="30" t="s">
        <v>655</v>
      </c>
      <c r="C374" s="50" t="s">
        <v>1092</v>
      </c>
      <c r="D374" s="63" t="s">
        <v>1627</v>
      </c>
      <c r="E374" s="63" t="s">
        <v>1755</v>
      </c>
    </row>
    <row r="375" spans="1:5">
      <c r="A375" s="63" t="s">
        <v>1403</v>
      </c>
      <c r="B375" s="30" t="s">
        <v>1404</v>
      </c>
      <c r="C375" s="50" t="s">
        <v>1405</v>
      </c>
      <c r="D375" s="63" t="s">
        <v>1627</v>
      </c>
      <c r="E375" s="63" t="s">
        <v>1755</v>
      </c>
    </row>
    <row r="376" spans="1:5">
      <c r="A376" s="109" t="s">
        <v>1685</v>
      </c>
      <c r="B376" s="49" t="s">
        <v>1686</v>
      </c>
      <c r="C376" s="64" t="s">
        <v>1687</v>
      </c>
      <c r="D376" s="63" t="s">
        <v>1627</v>
      </c>
      <c r="E376" s="63" t="s">
        <v>1755</v>
      </c>
    </row>
    <row r="377" spans="1:5">
      <c r="A377" s="48" t="s">
        <v>246</v>
      </c>
      <c r="B377" s="49" t="s">
        <v>657</v>
      </c>
      <c r="C377" s="50" t="s">
        <v>1109</v>
      </c>
      <c r="D377" s="63" t="s">
        <v>1627</v>
      </c>
      <c r="E377" s="63" t="s">
        <v>1755</v>
      </c>
    </row>
    <row r="378" spans="1:5">
      <c r="A378" s="48" t="s">
        <v>247</v>
      </c>
      <c r="B378" s="49" t="s">
        <v>658</v>
      </c>
      <c r="C378" s="50" t="s">
        <v>1110</v>
      </c>
      <c r="D378" s="63" t="s">
        <v>1627</v>
      </c>
      <c r="E378" s="63" t="s">
        <v>1755</v>
      </c>
    </row>
    <row r="379" spans="1:5">
      <c r="A379" s="48" t="s">
        <v>251</v>
      </c>
      <c r="B379" s="49" t="s">
        <v>662</v>
      </c>
      <c r="C379" s="50" t="s">
        <v>1114</v>
      </c>
      <c r="D379" s="63" t="s">
        <v>1627</v>
      </c>
      <c r="E379" s="63" t="s">
        <v>1755</v>
      </c>
    </row>
    <row r="380" spans="1:5">
      <c r="A380" s="48" t="s">
        <v>252</v>
      </c>
      <c r="B380" s="49" t="s">
        <v>663</v>
      </c>
      <c r="C380" s="50" t="s">
        <v>1115</v>
      </c>
      <c r="D380" s="63" t="s">
        <v>1627</v>
      </c>
      <c r="E380" s="63" t="s">
        <v>1755</v>
      </c>
    </row>
    <row r="381" spans="1:5">
      <c r="A381" s="48" t="s">
        <v>248</v>
      </c>
      <c r="B381" s="49" t="s">
        <v>659</v>
      </c>
      <c r="C381" s="50" t="s">
        <v>1111</v>
      </c>
      <c r="D381" s="63" t="s">
        <v>1627</v>
      </c>
      <c r="E381" s="63" t="s">
        <v>1755</v>
      </c>
    </row>
    <row r="382" spans="1:5">
      <c r="A382" s="48" t="s">
        <v>249</v>
      </c>
      <c r="B382" s="49" t="s">
        <v>660</v>
      </c>
      <c r="C382" s="50" t="s">
        <v>1112</v>
      </c>
      <c r="D382" s="63" t="s">
        <v>1627</v>
      </c>
      <c r="E382" s="63" t="s">
        <v>1755</v>
      </c>
    </row>
    <row r="383" spans="1:5">
      <c r="A383" s="63" t="s">
        <v>1406</v>
      </c>
      <c r="B383" s="49" t="s">
        <v>1407</v>
      </c>
      <c r="C383" s="50" t="s">
        <v>1408</v>
      </c>
      <c r="D383" s="63" t="s">
        <v>1627</v>
      </c>
      <c r="E383" s="63" t="s">
        <v>1755</v>
      </c>
    </row>
    <row r="384" spans="1:5">
      <c r="A384" s="48" t="s">
        <v>250</v>
      </c>
      <c r="B384" s="49" t="s">
        <v>661</v>
      </c>
      <c r="C384" s="50" t="s">
        <v>1113</v>
      </c>
      <c r="D384" s="63" t="s">
        <v>1627</v>
      </c>
      <c r="E384" s="63" t="s">
        <v>1755</v>
      </c>
    </row>
    <row r="385" spans="1:5">
      <c r="A385" s="48" t="s">
        <v>1504</v>
      </c>
      <c r="B385" s="49" t="s">
        <v>1520</v>
      </c>
      <c r="C385" s="50" t="s">
        <v>1521</v>
      </c>
      <c r="D385" s="63" t="s">
        <v>1627</v>
      </c>
      <c r="E385" s="63" t="s">
        <v>1755</v>
      </c>
    </row>
    <row r="386" spans="1:5">
      <c r="A386" s="51" t="s">
        <v>253</v>
      </c>
      <c r="B386" s="30" t="s">
        <v>664</v>
      </c>
      <c r="C386" s="50" t="s">
        <v>1093</v>
      </c>
      <c r="D386" s="63" t="s">
        <v>1627</v>
      </c>
      <c r="E386" s="63" t="s">
        <v>1755</v>
      </c>
    </row>
    <row r="387" spans="1:5">
      <c r="A387" s="48" t="s">
        <v>254</v>
      </c>
      <c r="B387" s="49" t="s">
        <v>665</v>
      </c>
      <c r="C387" s="50" t="s">
        <v>1116</v>
      </c>
      <c r="D387" s="63" t="s">
        <v>1627</v>
      </c>
      <c r="E387" s="63" t="s">
        <v>1755</v>
      </c>
    </row>
    <row r="388" spans="1:5">
      <c r="A388" s="48" t="s">
        <v>255</v>
      </c>
      <c r="B388" s="49" t="s">
        <v>666</v>
      </c>
      <c r="C388" s="50" t="s">
        <v>1117</v>
      </c>
      <c r="D388" s="63" t="s">
        <v>1576</v>
      </c>
      <c r="E388" s="63" t="s">
        <v>1755</v>
      </c>
    </row>
    <row r="389" spans="1:5">
      <c r="A389" s="48" t="s">
        <v>256</v>
      </c>
      <c r="B389" s="49" t="s">
        <v>667</v>
      </c>
      <c r="C389" s="50" t="s">
        <v>1118</v>
      </c>
      <c r="D389" s="63" t="s">
        <v>1627</v>
      </c>
      <c r="E389" s="63" t="s">
        <v>1755</v>
      </c>
    </row>
    <row r="390" spans="1:5">
      <c r="A390" s="48" t="s">
        <v>257</v>
      </c>
      <c r="B390" s="49" t="s">
        <v>668</v>
      </c>
      <c r="C390" s="50" t="s">
        <v>1119</v>
      </c>
      <c r="D390" s="63" t="s">
        <v>1627</v>
      </c>
      <c r="E390" s="63" t="s">
        <v>1755</v>
      </c>
    </row>
    <row r="391" spans="1:5">
      <c r="A391" s="48" t="s">
        <v>258</v>
      </c>
      <c r="B391" s="49" t="s">
        <v>669</v>
      </c>
      <c r="C391" s="50" t="s">
        <v>1120</v>
      </c>
      <c r="D391" s="63" t="s">
        <v>1627</v>
      </c>
      <c r="E391" s="63" t="s">
        <v>1755</v>
      </c>
    </row>
    <row r="392" spans="1:5">
      <c r="A392" s="63" t="s">
        <v>1522</v>
      </c>
      <c r="B392" s="49" t="s">
        <v>669</v>
      </c>
      <c r="C392" s="64" t="s">
        <v>1523</v>
      </c>
      <c r="D392" s="63" t="s">
        <v>1627</v>
      </c>
      <c r="E392" s="63" t="s">
        <v>1755</v>
      </c>
    </row>
    <row r="393" spans="1:5">
      <c r="A393" s="48" t="s">
        <v>259</v>
      </c>
      <c r="B393" s="49" t="s">
        <v>670</v>
      </c>
      <c r="C393" s="50" t="s">
        <v>1121</v>
      </c>
      <c r="D393" s="63" t="s">
        <v>1627</v>
      </c>
      <c r="E393" s="63" t="s">
        <v>1755</v>
      </c>
    </row>
    <row r="394" spans="1:5">
      <c r="A394" s="48" t="s">
        <v>260</v>
      </c>
      <c r="B394" s="49" t="s">
        <v>671</v>
      </c>
      <c r="C394" s="50" t="s">
        <v>1122</v>
      </c>
      <c r="D394" s="63" t="s">
        <v>1627</v>
      </c>
      <c r="E394" s="63" t="s">
        <v>1755</v>
      </c>
    </row>
    <row r="395" spans="1:5">
      <c r="A395" s="63" t="s">
        <v>1409</v>
      </c>
      <c r="B395" s="49" t="s">
        <v>1410</v>
      </c>
      <c r="C395" s="50" t="s">
        <v>1411</v>
      </c>
      <c r="D395" s="63" t="s">
        <v>1627</v>
      </c>
      <c r="E395" s="63" t="s">
        <v>1755</v>
      </c>
    </row>
    <row r="396" spans="1:5">
      <c r="A396" s="48" t="s">
        <v>261</v>
      </c>
      <c r="B396" s="49" t="s">
        <v>672</v>
      </c>
      <c r="C396" s="50" t="s">
        <v>1123</v>
      </c>
      <c r="D396" s="63" t="s">
        <v>1627</v>
      </c>
      <c r="E396" s="63" t="s">
        <v>1755</v>
      </c>
    </row>
    <row r="397" spans="1:5">
      <c r="A397" s="48" t="s">
        <v>262</v>
      </c>
      <c r="B397" s="49" t="s">
        <v>673</v>
      </c>
      <c r="C397" s="50" t="s">
        <v>1124</v>
      </c>
      <c r="D397" s="63" t="s">
        <v>1627</v>
      </c>
      <c r="E397" s="63" t="s">
        <v>1755</v>
      </c>
    </row>
    <row r="398" spans="1:5">
      <c r="A398" s="48" t="s">
        <v>263</v>
      </c>
      <c r="B398" s="49" t="s">
        <v>674</v>
      </c>
      <c r="C398" s="50" t="s">
        <v>1125</v>
      </c>
      <c r="D398" s="63" t="s">
        <v>1627</v>
      </c>
      <c r="E398" s="63" t="s">
        <v>1755</v>
      </c>
    </row>
    <row r="399" spans="1:5">
      <c r="A399" s="48" t="s">
        <v>264</v>
      </c>
      <c r="B399" s="49" t="s">
        <v>674</v>
      </c>
      <c r="C399" s="50" t="s">
        <v>1126</v>
      </c>
      <c r="D399" s="63" t="s">
        <v>1627</v>
      </c>
      <c r="E399" s="63" t="s">
        <v>1755</v>
      </c>
    </row>
    <row r="400" spans="1:5">
      <c r="A400" s="48" t="s">
        <v>265</v>
      </c>
      <c r="B400" s="49" t="s">
        <v>675</v>
      </c>
      <c r="C400" s="50" t="s">
        <v>1127</v>
      </c>
      <c r="D400" s="63" t="s">
        <v>1627</v>
      </c>
      <c r="E400" s="63" t="s">
        <v>1755</v>
      </c>
    </row>
    <row r="401" spans="1:5">
      <c r="A401" s="48" t="s">
        <v>266</v>
      </c>
      <c r="B401" s="49" t="s">
        <v>676</v>
      </c>
      <c r="C401" s="50" t="s">
        <v>1128</v>
      </c>
      <c r="D401" s="63" t="s">
        <v>1627</v>
      </c>
      <c r="E401" s="63" t="s">
        <v>1755</v>
      </c>
    </row>
    <row r="402" spans="1:5">
      <c r="A402" s="48" t="s">
        <v>267</v>
      </c>
      <c r="B402" s="49" t="s">
        <v>677</v>
      </c>
      <c r="C402" s="50" t="s">
        <v>1129</v>
      </c>
      <c r="D402" s="63" t="s">
        <v>1627</v>
      </c>
      <c r="E402" s="63" t="s">
        <v>1755</v>
      </c>
    </row>
    <row r="403" spans="1:5">
      <c r="A403" s="48" t="s">
        <v>268</v>
      </c>
      <c r="B403" s="49" t="s">
        <v>678</v>
      </c>
      <c r="C403" s="50" t="s">
        <v>1130</v>
      </c>
      <c r="D403" s="63" t="s">
        <v>1627</v>
      </c>
      <c r="E403" s="63" t="s">
        <v>1755</v>
      </c>
    </row>
    <row r="404" spans="1:5">
      <c r="A404" s="48" t="s">
        <v>269</v>
      </c>
      <c r="B404" s="49" t="s">
        <v>679</v>
      </c>
      <c r="C404" s="50" t="s">
        <v>1131</v>
      </c>
      <c r="D404" s="63" t="s">
        <v>1627</v>
      </c>
      <c r="E404" s="63" t="s">
        <v>1755</v>
      </c>
    </row>
    <row r="405" spans="1:5">
      <c r="A405" s="48" t="s">
        <v>270</v>
      </c>
      <c r="B405" s="49" t="s">
        <v>680</v>
      </c>
      <c r="C405" s="50" t="s">
        <v>1132</v>
      </c>
      <c r="D405" s="63" t="s">
        <v>1627</v>
      </c>
      <c r="E405" s="63" t="s">
        <v>1755</v>
      </c>
    </row>
    <row r="406" spans="1:5">
      <c r="A406" s="48" t="s">
        <v>272</v>
      </c>
      <c r="B406" s="49" t="s">
        <v>682</v>
      </c>
      <c r="C406" s="50" t="s">
        <v>1134</v>
      </c>
      <c r="D406" s="63" t="s">
        <v>1576</v>
      </c>
      <c r="E406" s="63" t="s">
        <v>1755</v>
      </c>
    </row>
    <row r="407" spans="1:5">
      <c r="A407" s="48" t="s">
        <v>273</v>
      </c>
      <c r="B407" s="49" t="s">
        <v>683</v>
      </c>
      <c r="C407" s="50" t="s">
        <v>1135</v>
      </c>
      <c r="D407" s="63" t="s">
        <v>1627</v>
      </c>
      <c r="E407" s="63" t="s">
        <v>1755</v>
      </c>
    </row>
    <row r="408" spans="1:5">
      <c r="A408" s="48" t="s">
        <v>274</v>
      </c>
      <c r="B408" s="49" t="s">
        <v>684</v>
      </c>
      <c r="C408" s="50" t="s">
        <v>1136</v>
      </c>
      <c r="D408" s="63" t="s">
        <v>1576</v>
      </c>
      <c r="E408" s="63" t="s">
        <v>1755</v>
      </c>
    </row>
    <row r="409" spans="1:5">
      <c r="A409" s="48" t="s">
        <v>275</v>
      </c>
      <c r="B409" s="49" t="s">
        <v>685</v>
      </c>
      <c r="C409" s="50" t="s">
        <v>1137</v>
      </c>
      <c r="D409" s="63" t="s">
        <v>1627</v>
      </c>
      <c r="E409" s="63" t="s">
        <v>1755</v>
      </c>
    </row>
    <row r="410" spans="1:5">
      <c r="A410" s="48" t="s">
        <v>276</v>
      </c>
      <c r="B410" s="49" t="s">
        <v>686</v>
      </c>
      <c r="C410" s="50" t="s">
        <v>1138</v>
      </c>
      <c r="D410" s="63" t="s">
        <v>1627</v>
      </c>
      <c r="E410" s="63" t="s">
        <v>1755</v>
      </c>
    </row>
    <row r="411" spans="1:5">
      <c r="A411" s="63" t="s">
        <v>1740</v>
      </c>
      <c r="B411" s="49" t="s">
        <v>1741</v>
      </c>
      <c r="C411" s="64" t="s">
        <v>1742</v>
      </c>
      <c r="D411" s="63" t="s">
        <v>1627</v>
      </c>
      <c r="E411" s="63" t="s">
        <v>1755</v>
      </c>
    </row>
    <row r="412" spans="1:5">
      <c r="A412" s="63" t="s">
        <v>1743</v>
      </c>
      <c r="B412" s="49" t="s">
        <v>1744</v>
      </c>
      <c r="C412" s="64" t="s">
        <v>1745</v>
      </c>
      <c r="D412" s="63" t="s">
        <v>1627</v>
      </c>
      <c r="E412" s="63" t="s">
        <v>1755</v>
      </c>
    </row>
    <row r="413" spans="1:5">
      <c r="A413" s="63" t="s">
        <v>1746</v>
      </c>
      <c r="B413" s="49" t="s">
        <v>1747</v>
      </c>
      <c r="C413" s="64" t="s">
        <v>1748</v>
      </c>
      <c r="D413" s="63" t="s">
        <v>1627</v>
      </c>
      <c r="E413" s="63" t="s">
        <v>1755</v>
      </c>
    </row>
    <row r="414" spans="1:5">
      <c r="A414" s="48" t="s">
        <v>271</v>
      </c>
      <c r="B414" s="49" t="s">
        <v>681</v>
      </c>
      <c r="C414" s="50" t="s">
        <v>1133</v>
      </c>
      <c r="D414" s="63" t="s">
        <v>1576</v>
      </c>
      <c r="E414" s="63" t="s">
        <v>1755</v>
      </c>
    </row>
    <row r="415" spans="1:5">
      <c r="A415" s="48" t="s">
        <v>422</v>
      </c>
      <c r="B415" s="30" t="s">
        <v>816</v>
      </c>
      <c r="C415" s="50" t="s">
        <v>1279</v>
      </c>
      <c r="D415" s="63" t="s">
        <v>1618</v>
      </c>
      <c r="E415" s="63" t="s">
        <v>1755</v>
      </c>
    </row>
    <row r="416" spans="1:5">
      <c r="A416" s="48" t="s">
        <v>423</v>
      </c>
      <c r="B416" s="30" t="s">
        <v>817</v>
      </c>
      <c r="C416" s="50" t="s">
        <v>1280</v>
      </c>
      <c r="D416" s="63" t="s">
        <v>1618</v>
      </c>
      <c r="E416" s="63" t="s">
        <v>1755</v>
      </c>
    </row>
    <row r="417" spans="1:5">
      <c r="A417" s="48" t="s">
        <v>424</v>
      </c>
      <c r="B417" s="30" t="s">
        <v>818</v>
      </c>
      <c r="C417" s="50" t="s">
        <v>1281</v>
      </c>
      <c r="D417" s="63" t="s">
        <v>1618</v>
      </c>
      <c r="E417" s="63" t="s">
        <v>1755</v>
      </c>
    </row>
    <row r="418" spans="1:5">
      <c r="A418" s="51" t="s">
        <v>425</v>
      </c>
      <c r="B418" s="30" t="s">
        <v>819</v>
      </c>
      <c r="C418" s="50" t="s">
        <v>859</v>
      </c>
      <c r="D418" s="63" t="s">
        <v>1618</v>
      </c>
      <c r="E418" s="63" t="s">
        <v>1755</v>
      </c>
    </row>
    <row r="419" spans="1:5">
      <c r="A419" s="48" t="s">
        <v>426</v>
      </c>
      <c r="B419" s="30" t="s">
        <v>820</v>
      </c>
      <c r="C419" s="50" t="s">
        <v>1282</v>
      </c>
      <c r="D419" s="63" t="s">
        <v>1618</v>
      </c>
      <c r="E419" s="63" t="s">
        <v>1755</v>
      </c>
    </row>
    <row r="420" spans="1:5">
      <c r="A420" s="48" t="s">
        <v>427</v>
      </c>
      <c r="B420" s="30" t="s">
        <v>821</v>
      </c>
      <c r="C420" s="50" t="s">
        <v>1283</v>
      </c>
      <c r="D420" s="63" t="s">
        <v>1618</v>
      </c>
      <c r="E420" s="63" t="s">
        <v>1755</v>
      </c>
    </row>
    <row r="421" spans="1:5">
      <c r="A421" s="51" t="s">
        <v>428</v>
      </c>
      <c r="B421" s="30" t="s">
        <v>822</v>
      </c>
      <c r="C421" s="50" t="s">
        <v>860</v>
      </c>
      <c r="D421" s="63" t="s">
        <v>1618</v>
      </c>
      <c r="E421" s="63" t="s">
        <v>1755</v>
      </c>
    </row>
    <row r="422" spans="1:5">
      <c r="A422" s="48" t="s">
        <v>429</v>
      </c>
      <c r="B422" s="30" t="s">
        <v>823</v>
      </c>
      <c r="C422" s="50" t="s">
        <v>1284</v>
      </c>
      <c r="D422" s="63" t="s">
        <v>1618</v>
      </c>
      <c r="E422" s="63" t="s">
        <v>1755</v>
      </c>
    </row>
    <row r="423" spans="1:5">
      <c r="A423" s="63" t="s">
        <v>1479</v>
      </c>
      <c r="B423" s="49" t="s">
        <v>1560</v>
      </c>
      <c r="C423" s="52" t="s">
        <v>1561</v>
      </c>
      <c r="D423" s="63" t="s">
        <v>1573</v>
      </c>
      <c r="E423" s="63" t="s">
        <v>1754</v>
      </c>
    </row>
    <row r="424" spans="1:5">
      <c r="A424" s="63" t="s">
        <v>1480</v>
      </c>
      <c r="B424" s="49" t="s">
        <v>1562</v>
      </c>
      <c r="C424" s="64" t="s">
        <v>1563</v>
      </c>
      <c r="D424" s="63" t="s">
        <v>1573</v>
      </c>
      <c r="E424" s="63" t="s">
        <v>1754</v>
      </c>
    </row>
    <row r="425" spans="1:5">
      <c r="A425" s="63" t="s">
        <v>1481</v>
      </c>
      <c r="B425" s="49" t="s">
        <v>1564</v>
      </c>
      <c r="C425" s="52" t="s">
        <v>1565</v>
      </c>
      <c r="D425" s="63" t="s">
        <v>1573</v>
      </c>
      <c r="E425" s="63" t="s">
        <v>1754</v>
      </c>
    </row>
    <row r="426" spans="1:5">
      <c r="A426" s="63" t="s">
        <v>1482</v>
      </c>
      <c r="B426" s="49" t="s">
        <v>1566</v>
      </c>
      <c r="C426" s="52" t="s">
        <v>1567</v>
      </c>
      <c r="D426" s="63" t="s">
        <v>1573</v>
      </c>
      <c r="E426" s="63" t="s">
        <v>1754</v>
      </c>
    </row>
    <row r="427" spans="1:5">
      <c r="A427" s="63" t="s">
        <v>1483</v>
      </c>
      <c r="B427" s="49" t="s">
        <v>1568</v>
      </c>
      <c r="C427" s="52" t="s">
        <v>1524</v>
      </c>
      <c r="D427" s="63" t="s">
        <v>1573</v>
      </c>
      <c r="E427" s="63" t="s">
        <v>1754</v>
      </c>
    </row>
    <row r="428" spans="1:5">
      <c r="A428" s="63" t="s">
        <v>1484</v>
      </c>
      <c r="B428" s="49" t="s">
        <v>1569</v>
      </c>
      <c r="C428" s="64" t="s">
        <v>1570</v>
      </c>
      <c r="D428" s="63" t="s">
        <v>1573</v>
      </c>
      <c r="E428" s="63" t="s">
        <v>1754</v>
      </c>
    </row>
    <row r="429" spans="1:5">
      <c r="A429" s="48" t="s">
        <v>1314</v>
      </c>
      <c r="B429" s="49" t="s">
        <v>473</v>
      </c>
      <c r="C429" s="50" t="s">
        <v>1305</v>
      </c>
      <c r="D429" s="63" t="s">
        <v>1615</v>
      </c>
      <c r="E429" s="63" t="s">
        <v>1771</v>
      </c>
    </row>
    <row r="430" spans="1:5">
      <c r="A430" s="48" t="s">
        <v>1315</v>
      </c>
      <c r="B430" s="49" t="s">
        <v>474</v>
      </c>
      <c r="C430" s="50" t="s">
        <v>1306</v>
      </c>
      <c r="D430" s="63" t="s">
        <v>1615</v>
      </c>
      <c r="E430" s="63" t="s">
        <v>1771</v>
      </c>
    </row>
    <row r="431" spans="1:5">
      <c r="A431" s="63" t="s">
        <v>1525</v>
      </c>
      <c r="B431" s="30" t="s">
        <v>562</v>
      </c>
      <c r="C431" s="52" t="s">
        <v>1526</v>
      </c>
      <c r="D431" s="63" t="s">
        <v>1628</v>
      </c>
      <c r="E431" s="63" t="s">
        <v>1755</v>
      </c>
    </row>
    <row r="432" spans="1:5">
      <c r="A432" s="51" t="s">
        <v>113</v>
      </c>
      <c r="B432" s="30" t="s">
        <v>882</v>
      </c>
      <c r="C432" s="50" t="s">
        <v>883</v>
      </c>
      <c r="D432" s="63" t="s">
        <v>1628</v>
      </c>
      <c r="E432" s="63" t="s">
        <v>1755</v>
      </c>
    </row>
    <row r="433" spans="1:5">
      <c r="A433" s="51" t="s">
        <v>112</v>
      </c>
      <c r="B433" s="30" t="s">
        <v>884</v>
      </c>
      <c r="C433" s="50" t="s">
        <v>885</v>
      </c>
      <c r="D433" s="63" t="s">
        <v>1628</v>
      </c>
      <c r="E433" s="63" t="s">
        <v>1755</v>
      </c>
    </row>
    <row r="434" spans="1:5">
      <c r="A434" s="51" t="s">
        <v>111</v>
      </c>
      <c r="B434" s="30" t="s">
        <v>886</v>
      </c>
      <c r="C434" s="50" t="s">
        <v>887</v>
      </c>
      <c r="D434" s="63" t="s">
        <v>1628</v>
      </c>
      <c r="E434" s="63" t="s">
        <v>1755</v>
      </c>
    </row>
    <row r="435" spans="1:5">
      <c r="A435" s="51" t="s">
        <v>114</v>
      </c>
      <c r="B435" s="30" t="s">
        <v>552</v>
      </c>
      <c r="C435" s="50" t="s">
        <v>888</v>
      </c>
      <c r="D435" s="63" t="s">
        <v>1628</v>
      </c>
      <c r="E435" s="63" t="s">
        <v>1755</v>
      </c>
    </row>
    <row r="436" spans="1:5">
      <c r="A436" s="48" t="s">
        <v>115</v>
      </c>
      <c r="B436" s="49" t="s">
        <v>553</v>
      </c>
      <c r="C436" s="50" t="s">
        <v>984</v>
      </c>
      <c r="D436" s="63" t="s">
        <v>1628</v>
      </c>
      <c r="E436" s="63" t="s">
        <v>1755</v>
      </c>
    </row>
    <row r="437" spans="1:5">
      <c r="A437" s="63" t="s">
        <v>1412</v>
      </c>
      <c r="B437" s="30" t="s">
        <v>559</v>
      </c>
      <c r="C437" s="50" t="s">
        <v>1413</v>
      </c>
      <c r="D437" s="63" t="s">
        <v>1628</v>
      </c>
      <c r="E437" s="63" t="s">
        <v>1755</v>
      </c>
    </row>
    <row r="438" spans="1:5">
      <c r="A438" s="48" t="s">
        <v>125</v>
      </c>
      <c r="B438" s="49" t="s">
        <v>551</v>
      </c>
      <c r="C438" s="50" t="s">
        <v>988</v>
      </c>
      <c r="D438" s="63" t="s">
        <v>1628</v>
      </c>
      <c r="E438" s="63" t="s">
        <v>1755</v>
      </c>
    </row>
    <row r="439" spans="1:5">
      <c r="A439" s="51" t="s">
        <v>126</v>
      </c>
      <c r="B439" s="30" t="s">
        <v>550</v>
      </c>
      <c r="C439" s="50" t="s">
        <v>889</v>
      </c>
      <c r="D439" s="63" t="s">
        <v>1628</v>
      </c>
      <c r="E439" s="63" t="s">
        <v>1755</v>
      </c>
    </row>
    <row r="440" spans="1:5">
      <c r="A440" s="51" t="s">
        <v>116</v>
      </c>
      <c r="B440" s="30" t="s">
        <v>554</v>
      </c>
      <c r="C440" s="50" t="s">
        <v>890</v>
      </c>
      <c r="D440" s="63" t="s">
        <v>1628</v>
      </c>
      <c r="E440" s="63" t="s">
        <v>1755</v>
      </c>
    </row>
    <row r="441" spans="1:5">
      <c r="A441" s="48" t="s">
        <v>117</v>
      </c>
      <c r="B441" s="49" t="s">
        <v>555</v>
      </c>
      <c r="C441" s="50" t="s">
        <v>985</v>
      </c>
      <c r="D441" s="63" t="s">
        <v>1628</v>
      </c>
      <c r="E441" s="63" t="s">
        <v>1755</v>
      </c>
    </row>
    <row r="442" spans="1:5">
      <c r="A442" s="63" t="s">
        <v>1414</v>
      </c>
      <c r="B442" s="49" t="s">
        <v>556</v>
      </c>
      <c r="C442" s="50" t="s">
        <v>1415</v>
      </c>
      <c r="D442" s="63" t="s">
        <v>1628</v>
      </c>
      <c r="E442" s="63" t="s">
        <v>1755</v>
      </c>
    </row>
    <row r="443" spans="1:5">
      <c r="A443" s="48" t="s">
        <v>118</v>
      </c>
      <c r="B443" s="49" t="s">
        <v>556</v>
      </c>
      <c r="C443" s="50" t="s">
        <v>986</v>
      </c>
      <c r="D443" s="63" t="s">
        <v>1628</v>
      </c>
      <c r="E443" s="63" t="s">
        <v>1755</v>
      </c>
    </row>
    <row r="444" spans="1:5">
      <c r="A444" s="48" t="s">
        <v>119</v>
      </c>
      <c r="B444" s="49" t="s">
        <v>557</v>
      </c>
      <c r="C444" s="50" t="s">
        <v>987</v>
      </c>
      <c r="D444" s="63" t="s">
        <v>1628</v>
      </c>
      <c r="E444" s="63" t="s">
        <v>1755</v>
      </c>
    </row>
    <row r="445" spans="1:5">
      <c r="A445" s="51" t="s">
        <v>120</v>
      </c>
      <c r="B445" s="30" t="s">
        <v>558</v>
      </c>
      <c r="C445" s="50" t="s">
        <v>891</v>
      </c>
      <c r="D445" s="63" t="s">
        <v>1628</v>
      </c>
      <c r="E445" s="63" t="s">
        <v>1755</v>
      </c>
    </row>
    <row r="446" spans="1:5">
      <c r="A446" s="63" t="s">
        <v>1416</v>
      </c>
      <c r="B446" s="30" t="s">
        <v>559</v>
      </c>
      <c r="C446" s="50" t="s">
        <v>1417</v>
      </c>
      <c r="D446" s="63" t="s">
        <v>1628</v>
      </c>
      <c r="E446" s="63" t="s">
        <v>1755</v>
      </c>
    </row>
    <row r="447" spans="1:5">
      <c r="A447" s="63" t="s">
        <v>1527</v>
      </c>
      <c r="B447" s="30" t="s">
        <v>559</v>
      </c>
      <c r="C447" s="64" t="s">
        <v>1528</v>
      </c>
      <c r="D447" s="63" t="s">
        <v>1628</v>
      </c>
      <c r="E447" s="63" t="s">
        <v>1755</v>
      </c>
    </row>
    <row r="448" spans="1:5">
      <c r="A448" s="51" t="s">
        <v>121</v>
      </c>
      <c r="B448" s="30" t="s">
        <v>559</v>
      </c>
      <c r="C448" s="50" t="s">
        <v>892</v>
      </c>
      <c r="D448" s="63" t="s">
        <v>1628</v>
      </c>
      <c r="E448" s="63" t="s">
        <v>1755</v>
      </c>
    </row>
    <row r="449" spans="1:5">
      <c r="A449" s="51" t="s">
        <v>122</v>
      </c>
      <c r="B449" s="30" t="s">
        <v>560</v>
      </c>
      <c r="C449" s="50" t="s">
        <v>893</v>
      </c>
      <c r="D449" s="63" t="s">
        <v>1628</v>
      </c>
      <c r="E449" s="63" t="s">
        <v>1755</v>
      </c>
    </row>
    <row r="450" spans="1:5">
      <c r="A450" s="109" t="s">
        <v>1712</v>
      </c>
      <c r="B450" s="49" t="s">
        <v>561</v>
      </c>
      <c r="C450" s="64" t="s">
        <v>1713</v>
      </c>
      <c r="D450" s="63" t="s">
        <v>1628</v>
      </c>
      <c r="E450" s="63" t="s">
        <v>1755</v>
      </c>
    </row>
    <row r="451" spans="1:5">
      <c r="A451" s="51" t="s">
        <v>123</v>
      </c>
      <c r="B451" s="30" t="s">
        <v>561</v>
      </c>
      <c r="C451" s="50" t="s">
        <v>894</v>
      </c>
      <c r="D451" s="63" t="s">
        <v>1628</v>
      </c>
      <c r="E451" s="63" t="s">
        <v>1755</v>
      </c>
    </row>
    <row r="452" spans="1:5">
      <c r="A452" s="51" t="s">
        <v>124</v>
      </c>
      <c r="B452" s="30" t="s">
        <v>562</v>
      </c>
      <c r="C452" s="50" t="s">
        <v>895</v>
      </c>
      <c r="D452" s="63" t="s">
        <v>1628</v>
      </c>
      <c r="E452" s="63" t="s">
        <v>1755</v>
      </c>
    </row>
    <row r="453" spans="1:5">
      <c r="A453" s="51" t="s">
        <v>127</v>
      </c>
      <c r="B453" s="30" t="s">
        <v>551</v>
      </c>
      <c r="C453" s="50" t="s">
        <v>896</v>
      </c>
      <c r="D453" s="63" t="s">
        <v>1628</v>
      </c>
      <c r="E453" s="63" t="s">
        <v>1755</v>
      </c>
    </row>
    <row r="454" spans="1:5">
      <c r="A454" s="48" t="s">
        <v>110</v>
      </c>
      <c r="B454" s="49" t="s">
        <v>549</v>
      </c>
      <c r="C454" s="50" t="s">
        <v>983</v>
      </c>
      <c r="D454" s="63" t="s">
        <v>1628</v>
      </c>
      <c r="E454" s="63" t="s">
        <v>1755</v>
      </c>
    </row>
    <row r="455" spans="1:5">
      <c r="A455" s="48" t="s">
        <v>129</v>
      </c>
      <c r="B455" s="49" t="s">
        <v>549</v>
      </c>
      <c r="C455" s="50" t="s">
        <v>990</v>
      </c>
      <c r="D455" s="63" t="s">
        <v>1628</v>
      </c>
      <c r="E455" s="63" t="s">
        <v>1755</v>
      </c>
    </row>
    <row r="456" spans="1:5">
      <c r="A456" s="64" t="s">
        <v>1678</v>
      </c>
      <c r="B456" s="49" t="s">
        <v>551</v>
      </c>
      <c r="C456" s="64" t="s">
        <v>1679</v>
      </c>
      <c r="D456" s="63" t="s">
        <v>1628</v>
      </c>
      <c r="E456" s="63" t="s">
        <v>1755</v>
      </c>
    </row>
    <row r="457" spans="1:5">
      <c r="A457" s="48" t="s">
        <v>130</v>
      </c>
      <c r="B457" s="49" t="s">
        <v>884</v>
      </c>
      <c r="C457" s="50" t="s">
        <v>991</v>
      </c>
      <c r="D457" s="63" t="s">
        <v>1628</v>
      </c>
      <c r="E457" s="63" t="s">
        <v>1755</v>
      </c>
    </row>
    <row r="458" spans="1:5">
      <c r="A458" s="48" t="s">
        <v>133</v>
      </c>
      <c r="B458" s="49" t="s">
        <v>994</v>
      </c>
      <c r="C458" s="50" t="s">
        <v>995</v>
      </c>
      <c r="D458" s="63" t="s">
        <v>1628</v>
      </c>
      <c r="E458" s="63" t="s">
        <v>1755</v>
      </c>
    </row>
    <row r="459" spans="1:5">
      <c r="A459" s="48" t="s">
        <v>128</v>
      </c>
      <c r="B459" s="49" t="s">
        <v>550</v>
      </c>
      <c r="C459" s="50" t="s">
        <v>989</v>
      </c>
      <c r="D459" s="63" t="s">
        <v>1628</v>
      </c>
      <c r="E459" s="63" t="s">
        <v>1755</v>
      </c>
    </row>
    <row r="460" spans="1:5">
      <c r="A460" s="48" t="s">
        <v>131</v>
      </c>
      <c r="B460" s="49" t="s">
        <v>563</v>
      </c>
      <c r="C460" s="50" t="s">
        <v>992</v>
      </c>
      <c r="D460" s="63" t="s">
        <v>1628</v>
      </c>
      <c r="E460" s="63" t="s">
        <v>1755</v>
      </c>
    </row>
    <row r="461" spans="1:5">
      <c r="A461" s="50" t="s">
        <v>1721</v>
      </c>
      <c r="B461" s="49" t="s">
        <v>1722</v>
      </c>
      <c r="C461" s="64" t="s">
        <v>1723</v>
      </c>
      <c r="D461" s="63" t="s">
        <v>1628</v>
      </c>
      <c r="E461" s="63" t="s">
        <v>1755</v>
      </c>
    </row>
    <row r="462" spans="1:5">
      <c r="A462" s="48" t="s">
        <v>132</v>
      </c>
      <c r="B462" s="49" t="s">
        <v>564</v>
      </c>
      <c r="C462" s="50" t="s">
        <v>993</v>
      </c>
      <c r="D462" s="63" t="s">
        <v>1628</v>
      </c>
      <c r="E462" s="63" t="s">
        <v>1755</v>
      </c>
    </row>
    <row r="463" spans="1:5">
      <c r="A463" s="51" t="s">
        <v>134</v>
      </c>
      <c r="B463" s="30" t="s">
        <v>565</v>
      </c>
      <c r="C463" s="50" t="s">
        <v>897</v>
      </c>
      <c r="D463" s="63" t="s">
        <v>1628</v>
      </c>
      <c r="E463" s="63" t="s">
        <v>1755</v>
      </c>
    </row>
    <row r="464" spans="1:5">
      <c r="A464" s="48" t="s">
        <v>470</v>
      </c>
      <c r="B464" s="49" t="s">
        <v>1011</v>
      </c>
      <c r="C464" s="50" t="s">
        <v>1012</v>
      </c>
      <c r="D464" s="63" t="s">
        <v>1629</v>
      </c>
      <c r="E464" s="63" t="s">
        <v>1755</v>
      </c>
    </row>
    <row r="465" spans="1:5">
      <c r="A465" s="48" t="s">
        <v>471</v>
      </c>
      <c r="B465" s="49" t="s">
        <v>1013</v>
      </c>
      <c r="C465" s="50" t="s">
        <v>1014</v>
      </c>
      <c r="D465" s="63" t="s">
        <v>1629</v>
      </c>
      <c r="E465" s="63" t="s">
        <v>1755</v>
      </c>
    </row>
    <row r="466" spans="1:5">
      <c r="A466" s="109" t="s">
        <v>1716</v>
      </c>
      <c r="B466" s="49" t="s">
        <v>566</v>
      </c>
      <c r="C466" s="64" t="s">
        <v>1717</v>
      </c>
      <c r="D466" s="63" t="s">
        <v>1629</v>
      </c>
      <c r="E466" s="63" t="s">
        <v>1755</v>
      </c>
    </row>
    <row r="467" spans="1:5">
      <c r="A467" s="48" t="s">
        <v>135</v>
      </c>
      <c r="B467" s="49" t="s">
        <v>566</v>
      </c>
      <c r="C467" s="50" t="s">
        <v>996</v>
      </c>
      <c r="D467" s="63" t="s">
        <v>1629</v>
      </c>
      <c r="E467" s="63" t="s">
        <v>1755</v>
      </c>
    </row>
    <row r="468" spans="1:5">
      <c r="A468" s="63" t="s">
        <v>1341</v>
      </c>
      <c r="B468" s="49" t="s">
        <v>1350</v>
      </c>
      <c r="C468" s="50" t="s">
        <v>1351</v>
      </c>
      <c r="D468" s="63" t="s">
        <v>1629</v>
      </c>
      <c r="E468" s="63" t="s">
        <v>1755</v>
      </c>
    </row>
    <row r="469" spans="1:5">
      <c r="A469" s="48" t="s">
        <v>137</v>
      </c>
      <c r="B469" s="49" t="s">
        <v>567</v>
      </c>
      <c r="C469" s="50" t="s">
        <v>998</v>
      </c>
      <c r="D469" s="63" t="s">
        <v>1629</v>
      </c>
      <c r="E469" s="63" t="s">
        <v>1755</v>
      </c>
    </row>
    <row r="470" spans="1:5">
      <c r="A470" s="48" t="s">
        <v>136</v>
      </c>
      <c r="B470" s="49" t="s">
        <v>567</v>
      </c>
      <c r="C470" s="50" t="s">
        <v>997</v>
      </c>
      <c r="D470" s="63" t="s">
        <v>1629</v>
      </c>
      <c r="E470" s="63" t="s">
        <v>1755</v>
      </c>
    </row>
    <row r="471" spans="1:5">
      <c r="A471" s="63" t="s">
        <v>1779</v>
      </c>
      <c r="B471" s="49" t="s">
        <v>570</v>
      </c>
      <c r="C471" s="64" t="s">
        <v>1781</v>
      </c>
      <c r="D471" s="63" t="s">
        <v>1629</v>
      </c>
      <c r="E471" s="63" t="s">
        <v>1755</v>
      </c>
    </row>
    <row r="472" spans="1:5">
      <c r="A472" s="48" t="s">
        <v>140</v>
      </c>
      <c r="B472" s="49" t="s">
        <v>570</v>
      </c>
      <c r="C472" s="50" t="s">
        <v>1000</v>
      </c>
      <c r="D472" s="63" t="s">
        <v>1629</v>
      </c>
      <c r="E472" s="63" t="s">
        <v>1755</v>
      </c>
    </row>
    <row r="473" spans="1:5">
      <c r="A473" s="109" t="s">
        <v>1683</v>
      </c>
      <c r="B473" s="49" t="s">
        <v>568</v>
      </c>
      <c r="C473" s="64" t="s">
        <v>1684</v>
      </c>
      <c r="D473" s="63" t="s">
        <v>1629</v>
      </c>
      <c r="E473" s="63" t="s">
        <v>1755</v>
      </c>
    </row>
    <row r="474" spans="1:5">
      <c r="A474" s="51" t="s">
        <v>138</v>
      </c>
      <c r="B474" s="30" t="s">
        <v>568</v>
      </c>
      <c r="C474" s="50" t="s">
        <v>898</v>
      </c>
      <c r="D474" s="63" t="s">
        <v>1629</v>
      </c>
      <c r="E474" s="63" t="s">
        <v>1755</v>
      </c>
    </row>
    <row r="475" spans="1:5">
      <c r="A475" s="48" t="s">
        <v>139</v>
      </c>
      <c r="B475" s="49" t="s">
        <v>569</v>
      </c>
      <c r="C475" s="50" t="s">
        <v>999</v>
      </c>
      <c r="D475" s="63" t="s">
        <v>1629</v>
      </c>
      <c r="E475" s="63" t="s">
        <v>1755</v>
      </c>
    </row>
    <row r="476" spans="1:5">
      <c r="A476" s="48" t="s">
        <v>141</v>
      </c>
      <c r="B476" s="49" t="s">
        <v>571</v>
      </c>
      <c r="C476" s="50" t="s">
        <v>1001</v>
      </c>
      <c r="D476" s="63" t="s">
        <v>1629</v>
      </c>
      <c r="E476" s="63" t="s">
        <v>1755</v>
      </c>
    </row>
    <row r="477" spans="1:5">
      <c r="A477" s="48" t="s">
        <v>142</v>
      </c>
      <c r="B477" s="49" t="s">
        <v>571</v>
      </c>
      <c r="C477" s="50" t="s">
        <v>1002</v>
      </c>
      <c r="D477" s="63" t="s">
        <v>1629</v>
      </c>
      <c r="E477" s="63" t="s">
        <v>1755</v>
      </c>
    </row>
    <row r="478" spans="1:5">
      <c r="A478" s="48" t="s">
        <v>143</v>
      </c>
      <c r="B478" s="49" t="s">
        <v>572</v>
      </c>
      <c r="C478" s="50" t="s">
        <v>1003</v>
      </c>
      <c r="D478" s="63" t="s">
        <v>1629</v>
      </c>
      <c r="E478" s="63" t="s">
        <v>1755</v>
      </c>
    </row>
    <row r="479" spans="1:5">
      <c r="A479" s="48" t="s">
        <v>144</v>
      </c>
      <c r="B479" s="49" t="s">
        <v>572</v>
      </c>
      <c r="C479" s="50" t="s">
        <v>1004</v>
      </c>
      <c r="D479" s="63" t="s">
        <v>1629</v>
      </c>
      <c r="E479" s="63" t="s">
        <v>1755</v>
      </c>
    </row>
    <row r="480" spans="1:5">
      <c r="A480" s="63" t="s">
        <v>1418</v>
      </c>
      <c r="B480" s="30" t="s">
        <v>573</v>
      </c>
      <c r="C480" s="50" t="s">
        <v>1419</v>
      </c>
      <c r="D480" s="63" t="s">
        <v>1629</v>
      </c>
      <c r="E480" s="63" t="s">
        <v>1755</v>
      </c>
    </row>
    <row r="481" spans="1:5">
      <c r="A481" s="51" t="s">
        <v>145</v>
      </c>
      <c r="B481" s="30" t="s">
        <v>573</v>
      </c>
      <c r="C481" s="50" t="s">
        <v>899</v>
      </c>
      <c r="D481" s="63" t="s">
        <v>1629</v>
      </c>
      <c r="E481" s="63" t="s">
        <v>1755</v>
      </c>
    </row>
    <row r="482" spans="1:5">
      <c r="A482" s="63" t="s">
        <v>1420</v>
      </c>
      <c r="B482" s="30" t="s">
        <v>573</v>
      </c>
      <c r="C482" s="50" t="s">
        <v>1421</v>
      </c>
      <c r="D482" s="63" t="s">
        <v>1629</v>
      </c>
      <c r="E482" s="63" t="s">
        <v>1755</v>
      </c>
    </row>
    <row r="483" spans="1:5">
      <c r="A483" s="48" t="s">
        <v>146</v>
      </c>
      <c r="B483" s="49" t="s">
        <v>574</v>
      </c>
      <c r="C483" s="50" t="s">
        <v>1005</v>
      </c>
      <c r="D483" s="63" t="s">
        <v>1629</v>
      </c>
      <c r="E483" s="63" t="s">
        <v>1755</v>
      </c>
    </row>
    <row r="484" spans="1:5">
      <c r="A484" s="48" t="s">
        <v>147</v>
      </c>
      <c r="B484" s="49" t="s">
        <v>575</v>
      </c>
      <c r="C484" s="50" t="s">
        <v>1006</v>
      </c>
      <c r="D484" s="63" t="s">
        <v>1629</v>
      </c>
      <c r="E484" s="63" t="s">
        <v>1755</v>
      </c>
    </row>
    <row r="485" spans="1:5">
      <c r="A485" s="63" t="s">
        <v>1422</v>
      </c>
      <c r="B485" s="49" t="s">
        <v>575</v>
      </c>
      <c r="C485" s="50" t="s">
        <v>1423</v>
      </c>
      <c r="D485" s="63" t="s">
        <v>1629</v>
      </c>
      <c r="E485" s="63" t="s">
        <v>1755</v>
      </c>
    </row>
    <row r="486" spans="1:5">
      <c r="A486" s="63" t="s">
        <v>1780</v>
      </c>
      <c r="B486" s="49" t="s">
        <v>575</v>
      </c>
      <c r="C486" s="64" t="s">
        <v>1782</v>
      </c>
      <c r="D486" s="63" t="s">
        <v>1629</v>
      </c>
      <c r="E486" s="63" t="s">
        <v>1755</v>
      </c>
    </row>
    <row r="487" spans="1:5">
      <c r="A487" s="48" t="s">
        <v>148</v>
      </c>
      <c r="B487" s="49" t="s">
        <v>576</v>
      </c>
      <c r="C487" s="50" t="s">
        <v>1007</v>
      </c>
      <c r="D487" s="63" t="s">
        <v>1629</v>
      </c>
      <c r="E487" s="63" t="s">
        <v>1755</v>
      </c>
    </row>
    <row r="488" spans="1:5">
      <c r="A488" s="63" t="s">
        <v>1552</v>
      </c>
      <c r="B488" s="49" t="s">
        <v>576</v>
      </c>
      <c r="C488" s="52" t="s">
        <v>1571</v>
      </c>
      <c r="D488" s="63" t="s">
        <v>1629</v>
      </c>
      <c r="E488" s="63" t="s">
        <v>1755</v>
      </c>
    </row>
    <row r="489" spans="1:5">
      <c r="A489" s="63" t="s">
        <v>1529</v>
      </c>
      <c r="B489" s="49" t="s">
        <v>577</v>
      </c>
      <c r="C489" s="52" t="s">
        <v>1530</v>
      </c>
      <c r="D489" s="63" t="s">
        <v>1576</v>
      </c>
      <c r="E489" s="63" t="s">
        <v>1755</v>
      </c>
    </row>
    <row r="490" spans="1:5">
      <c r="A490" s="48" t="s">
        <v>150</v>
      </c>
      <c r="B490" s="49" t="s">
        <v>577</v>
      </c>
      <c r="C490" s="50" t="s">
        <v>1008</v>
      </c>
      <c r="D490" s="63" t="s">
        <v>1576</v>
      </c>
      <c r="E490" s="63" t="s">
        <v>1755</v>
      </c>
    </row>
    <row r="491" spans="1:5">
      <c r="A491" s="50" t="s">
        <v>1503</v>
      </c>
      <c r="B491" s="49" t="s">
        <v>577</v>
      </c>
      <c r="C491" s="50" t="s">
        <v>1531</v>
      </c>
      <c r="D491" s="63" t="s">
        <v>1576</v>
      </c>
      <c r="E491" s="63" t="s">
        <v>1755</v>
      </c>
    </row>
    <row r="492" spans="1:5">
      <c r="A492" s="63" t="s">
        <v>1424</v>
      </c>
      <c r="B492" s="49" t="s">
        <v>1425</v>
      </c>
      <c r="C492" s="50" t="s">
        <v>1426</v>
      </c>
      <c r="D492" s="63" t="s">
        <v>1629</v>
      </c>
      <c r="E492" s="63" t="s">
        <v>1755</v>
      </c>
    </row>
    <row r="493" spans="1:5">
      <c r="A493" s="48" t="s">
        <v>149</v>
      </c>
      <c r="B493" s="49" t="s">
        <v>578</v>
      </c>
      <c r="C493" s="50" t="s">
        <v>1009</v>
      </c>
      <c r="D493" s="63" t="s">
        <v>1576</v>
      </c>
      <c r="E493" s="63" t="s">
        <v>1755</v>
      </c>
    </row>
    <row r="494" spans="1:5">
      <c r="A494" s="48" t="s">
        <v>151</v>
      </c>
      <c r="B494" s="49" t="s">
        <v>1502</v>
      </c>
      <c r="C494" s="50" t="s">
        <v>1010</v>
      </c>
      <c r="D494" s="63" t="s">
        <v>1629</v>
      </c>
      <c r="E494" s="63" t="s">
        <v>1755</v>
      </c>
    </row>
    <row r="495" spans="1:5">
      <c r="A495" s="48" t="s">
        <v>1532</v>
      </c>
      <c r="B495" s="49" t="s">
        <v>1502</v>
      </c>
      <c r="C495" s="50" t="s">
        <v>1533</v>
      </c>
      <c r="D495" s="63" t="s">
        <v>1629</v>
      </c>
      <c r="E495" s="63" t="s">
        <v>1755</v>
      </c>
    </row>
    <row r="496" spans="1:5">
      <c r="A496" s="63" t="s">
        <v>1487</v>
      </c>
      <c r="B496" s="49" t="s">
        <v>1489</v>
      </c>
      <c r="C496" s="49" t="s">
        <v>1488</v>
      </c>
      <c r="D496" s="63" t="s">
        <v>1576</v>
      </c>
      <c r="E496" s="63" t="s">
        <v>1755</v>
      </c>
    </row>
    <row r="497" spans="1:5">
      <c r="A497" s="48" t="s">
        <v>420</v>
      </c>
      <c r="B497" s="30" t="s">
        <v>814</v>
      </c>
      <c r="C497" s="50" t="s">
        <v>1277</v>
      </c>
      <c r="D497" s="63" t="s">
        <v>1618</v>
      </c>
      <c r="E497" s="63" t="s">
        <v>1755</v>
      </c>
    </row>
    <row r="498" spans="1:5">
      <c r="A498" s="48" t="s">
        <v>421</v>
      </c>
      <c r="B498" s="30" t="s">
        <v>815</v>
      </c>
      <c r="C498" s="50" t="s">
        <v>1278</v>
      </c>
      <c r="D498" s="63" t="s">
        <v>1617</v>
      </c>
      <c r="E498" s="63" t="s">
        <v>1755</v>
      </c>
    </row>
    <row r="499" spans="1:5">
      <c r="A499" s="51" t="s">
        <v>363</v>
      </c>
      <c r="B499" s="30" t="s">
        <v>761</v>
      </c>
      <c r="C499" s="50" t="s">
        <v>1223</v>
      </c>
      <c r="D499" s="63" t="s">
        <v>1617</v>
      </c>
      <c r="E499" s="63" t="s">
        <v>1755</v>
      </c>
    </row>
    <row r="500" spans="1:5">
      <c r="A500" s="51" t="s">
        <v>364</v>
      </c>
      <c r="B500" s="30" t="s">
        <v>762</v>
      </c>
      <c r="C500" s="50" t="s">
        <v>1224</v>
      </c>
      <c r="D500" s="63" t="s">
        <v>1617</v>
      </c>
      <c r="E500" s="63" t="s">
        <v>1755</v>
      </c>
    </row>
    <row r="501" spans="1:5">
      <c r="A501" s="48" t="s">
        <v>365</v>
      </c>
      <c r="B501" s="49" t="s">
        <v>763</v>
      </c>
      <c r="C501" s="50" t="s">
        <v>1233</v>
      </c>
      <c r="D501" s="63" t="s">
        <v>1617</v>
      </c>
      <c r="E501" s="63" t="s">
        <v>1755</v>
      </c>
    </row>
    <row r="502" spans="1:5">
      <c r="A502" s="48" t="s">
        <v>366</v>
      </c>
      <c r="B502" s="49" t="s">
        <v>764</v>
      </c>
      <c r="C502" s="50" t="s">
        <v>1234</v>
      </c>
      <c r="D502" s="63" t="s">
        <v>1617</v>
      </c>
      <c r="E502" s="63" t="s">
        <v>1755</v>
      </c>
    </row>
    <row r="503" spans="1:5">
      <c r="A503" s="48" t="s">
        <v>367</v>
      </c>
      <c r="B503" s="49" t="s">
        <v>765</v>
      </c>
      <c r="C503" s="50" t="s">
        <v>1235</v>
      </c>
      <c r="D503" s="63" t="s">
        <v>1617</v>
      </c>
      <c r="E503" s="63" t="s">
        <v>1755</v>
      </c>
    </row>
    <row r="504" spans="1:5">
      <c r="A504" s="51" t="s">
        <v>368</v>
      </c>
      <c r="B504" s="30" t="s">
        <v>766</v>
      </c>
      <c r="C504" s="50" t="s">
        <v>1225</v>
      </c>
      <c r="D504" s="63" t="s">
        <v>1617</v>
      </c>
      <c r="E504" s="63" t="s">
        <v>1755</v>
      </c>
    </row>
    <row r="505" spans="1:5">
      <c r="A505" s="48" t="s">
        <v>369</v>
      </c>
      <c r="B505" s="49" t="s">
        <v>767</v>
      </c>
      <c r="C505" s="50" t="s">
        <v>1236</v>
      </c>
      <c r="D505" s="63" t="s">
        <v>1617</v>
      </c>
      <c r="E505" s="63" t="s">
        <v>1755</v>
      </c>
    </row>
    <row r="506" spans="1:5">
      <c r="A506" s="48" t="s">
        <v>370</v>
      </c>
      <c r="B506" s="49" t="s">
        <v>768</v>
      </c>
      <c r="C506" s="50" t="s">
        <v>1237</v>
      </c>
      <c r="D506" s="63" t="s">
        <v>1617</v>
      </c>
      <c r="E506" s="63" t="s">
        <v>1755</v>
      </c>
    </row>
    <row r="507" spans="1:5">
      <c r="A507" s="48" t="s">
        <v>371</v>
      </c>
      <c r="B507" s="49" t="s">
        <v>769</v>
      </c>
      <c r="C507" s="50" t="s">
        <v>1238</v>
      </c>
      <c r="D507" s="63" t="s">
        <v>1617</v>
      </c>
      <c r="E507" s="63" t="s">
        <v>1755</v>
      </c>
    </row>
    <row r="508" spans="1:5">
      <c r="A508" s="48" t="s">
        <v>372</v>
      </c>
      <c r="B508" s="49" t="s">
        <v>770</v>
      </c>
      <c r="C508" s="50" t="s">
        <v>1239</v>
      </c>
      <c r="D508" s="63" t="s">
        <v>1617</v>
      </c>
      <c r="E508" s="63" t="s">
        <v>1755</v>
      </c>
    </row>
    <row r="509" spans="1:5">
      <c r="A509" s="48" t="s">
        <v>373</v>
      </c>
      <c r="B509" s="49" t="s">
        <v>770</v>
      </c>
      <c r="C509" s="50" t="s">
        <v>1240</v>
      </c>
      <c r="D509" s="63" t="s">
        <v>1617</v>
      </c>
      <c r="E509" s="63" t="s">
        <v>1755</v>
      </c>
    </row>
    <row r="510" spans="1:5">
      <c r="A510" s="48" t="s">
        <v>374</v>
      </c>
      <c r="B510" s="49" t="s">
        <v>771</v>
      </c>
      <c r="C510" s="50" t="s">
        <v>1241</v>
      </c>
      <c r="D510" s="63" t="s">
        <v>1617</v>
      </c>
      <c r="E510" s="63" t="s">
        <v>1755</v>
      </c>
    </row>
    <row r="511" spans="1:5">
      <c r="A511" s="48" t="s">
        <v>375</v>
      </c>
      <c r="B511" s="49" t="s">
        <v>772</v>
      </c>
      <c r="C511" s="50" t="s">
        <v>1242</v>
      </c>
      <c r="D511" s="63" t="s">
        <v>1617</v>
      </c>
      <c r="E511" s="63" t="s">
        <v>1755</v>
      </c>
    </row>
    <row r="512" spans="1:5">
      <c r="A512" s="48" t="s">
        <v>376</v>
      </c>
      <c r="B512" s="49" t="s">
        <v>773</v>
      </c>
      <c r="C512" s="50" t="s">
        <v>1243</v>
      </c>
      <c r="D512" s="63" t="s">
        <v>1617</v>
      </c>
      <c r="E512" s="63" t="s">
        <v>1755</v>
      </c>
    </row>
    <row r="513" spans="1:5">
      <c r="A513" s="48" t="s">
        <v>377</v>
      </c>
      <c r="B513" s="49" t="s">
        <v>774</v>
      </c>
      <c r="C513" s="50" t="s">
        <v>1244</v>
      </c>
      <c r="D513" s="63" t="s">
        <v>1617</v>
      </c>
      <c r="E513" s="63" t="s">
        <v>1755</v>
      </c>
    </row>
    <row r="514" spans="1:5">
      <c r="A514" s="48" t="s">
        <v>378</v>
      </c>
      <c r="B514" s="49" t="s">
        <v>775</v>
      </c>
      <c r="C514" s="50" t="s">
        <v>1245</v>
      </c>
      <c r="D514" s="63" t="s">
        <v>1617</v>
      </c>
      <c r="E514" s="63" t="s">
        <v>1755</v>
      </c>
    </row>
    <row r="515" spans="1:5">
      <c r="A515" s="48" t="s">
        <v>379</v>
      </c>
      <c r="B515" s="49" t="s">
        <v>775</v>
      </c>
      <c r="C515" s="50" t="s">
        <v>1246</v>
      </c>
      <c r="D515" s="63" t="s">
        <v>1617</v>
      </c>
      <c r="E515" s="63" t="s">
        <v>1755</v>
      </c>
    </row>
    <row r="516" spans="1:5">
      <c r="A516" s="48" t="s">
        <v>380</v>
      </c>
      <c r="B516" s="49" t="s">
        <v>775</v>
      </c>
      <c r="C516" s="50" t="s">
        <v>1247</v>
      </c>
      <c r="D516" s="63" t="s">
        <v>1617</v>
      </c>
      <c r="E516" s="63" t="s">
        <v>1755</v>
      </c>
    </row>
    <row r="517" spans="1:5">
      <c r="A517" s="48" t="s">
        <v>381</v>
      </c>
      <c r="B517" s="49" t="s">
        <v>776</v>
      </c>
      <c r="C517" s="50" t="s">
        <v>1248</v>
      </c>
      <c r="D517" s="63" t="s">
        <v>1617</v>
      </c>
      <c r="E517" s="63" t="s">
        <v>1755</v>
      </c>
    </row>
    <row r="518" spans="1:5">
      <c r="A518" s="48" t="s">
        <v>382</v>
      </c>
      <c r="B518" s="49" t="s">
        <v>777</v>
      </c>
      <c r="C518" s="50" t="s">
        <v>1249</v>
      </c>
      <c r="D518" s="63" t="s">
        <v>1617</v>
      </c>
      <c r="E518" s="63" t="s">
        <v>1755</v>
      </c>
    </row>
    <row r="519" spans="1:5">
      <c r="A519" s="48" t="s">
        <v>383</v>
      </c>
      <c r="B519" s="49" t="s">
        <v>778</v>
      </c>
      <c r="C519" s="50" t="s">
        <v>1250</v>
      </c>
      <c r="D519" s="63" t="s">
        <v>1617</v>
      </c>
      <c r="E519" s="63" t="s">
        <v>1755</v>
      </c>
    </row>
    <row r="520" spans="1:5">
      <c r="A520" s="51" t="s">
        <v>384</v>
      </c>
      <c r="B520" s="30" t="s">
        <v>779</v>
      </c>
      <c r="C520" s="50" t="s">
        <v>1226</v>
      </c>
      <c r="D520" s="63" t="s">
        <v>1617</v>
      </c>
      <c r="E520" s="63" t="s">
        <v>1755</v>
      </c>
    </row>
    <row r="521" spans="1:5">
      <c r="A521" s="51" t="s">
        <v>385</v>
      </c>
      <c r="B521" s="30" t="s">
        <v>780</v>
      </c>
      <c r="C521" s="50" t="s">
        <v>1227</v>
      </c>
      <c r="D521" s="63" t="s">
        <v>1617</v>
      </c>
      <c r="E521" s="63" t="s">
        <v>1755</v>
      </c>
    </row>
    <row r="522" spans="1:5">
      <c r="A522" s="48" t="s">
        <v>386</v>
      </c>
      <c r="B522" s="49" t="s">
        <v>781</v>
      </c>
      <c r="C522" s="50" t="s">
        <v>1251</v>
      </c>
      <c r="D522" s="63" t="s">
        <v>1617</v>
      </c>
      <c r="E522" s="63" t="s">
        <v>1755</v>
      </c>
    </row>
    <row r="523" spans="1:5">
      <c r="A523" s="48" t="s">
        <v>430</v>
      </c>
      <c r="B523" s="30" t="s">
        <v>824</v>
      </c>
      <c r="C523" s="50" t="s">
        <v>1285</v>
      </c>
      <c r="D523" s="63" t="s">
        <v>1618</v>
      </c>
      <c r="E523" s="63" t="s">
        <v>1755</v>
      </c>
    </row>
    <row r="524" spans="1:5">
      <c r="A524" s="48" t="s">
        <v>431</v>
      </c>
      <c r="B524" s="30" t="s">
        <v>825</v>
      </c>
      <c r="C524" s="50" t="s">
        <v>1286</v>
      </c>
      <c r="D524" s="63" t="s">
        <v>1618</v>
      </c>
      <c r="E524" s="63" t="s">
        <v>1755</v>
      </c>
    </row>
    <row r="525" spans="1:5">
      <c r="A525" s="51" t="s">
        <v>390</v>
      </c>
      <c r="B525" s="30" t="s">
        <v>802</v>
      </c>
      <c r="C525" s="50" t="s">
        <v>1228</v>
      </c>
      <c r="D525" s="63" t="s">
        <v>1615</v>
      </c>
      <c r="E525" s="63" t="s">
        <v>1755</v>
      </c>
    </row>
    <row r="526" spans="1:5">
      <c r="A526" s="51" t="s">
        <v>391</v>
      </c>
      <c r="B526" s="30" t="s">
        <v>803</v>
      </c>
      <c r="C526" s="50" t="s">
        <v>1229</v>
      </c>
      <c r="D526" s="63" t="s">
        <v>1615</v>
      </c>
      <c r="E526" s="63" t="s">
        <v>1755</v>
      </c>
    </row>
    <row r="527" spans="1:5">
      <c r="A527" s="63" t="s">
        <v>1427</v>
      </c>
      <c r="B527" s="49" t="s">
        <v>1428</v>
      </c>
      <c r="C527" s="50" t="s">
        <v>1429</v>
      </c>
      <c r="D527" s="63" t="s">
        <v>1630</v>
      </c>
      <c r="E527" s="63" t="s">
        <v>1755</v>
      </c>
    </row>
    <row r="528" spans="1:5">
      <c r="A528" s="48" t="s">
        <v>396</v>
      </c>
      <c r="B528" s="30" t="s">
        <v>788</v>
      </c>
      <c r="C528" s="50" t="s">
        <v>1264</v>
      </c>
      <c r="D528" s="63" t="s">
        <v>1630</v>
      </c>
      <c r="E528" s="63" t="s">
        <v>1755</v>
      </c>
    </row>
    <row r="529" spans="1:5">
      <c r="A529" s="48" t="s">
        <v>397</v>
      </c>
      <c r="B529" s="49" t="s">
        <v>789</v>
      </c>
      <c r="C529" s="50" t="s">
        <v>1265</v>
      </c>
      <c r="D529" s="63" t="s">
        <v>1630</v>
      </c>
      <c r="E529" s="63" t="s">
        <v>1755</v>
      </c>
    </row>
    <row r="530" spans="1:5">
      <c r="A530" s="51" t="s">
        <v>398</v>
      </c>
      <c r="B530" s="30" t="s">
        <v>790</v>
      </c>
      <c r="C530" s="50" t="s">
        <v>1255</v>
      </c>
      <c r="D530" s="63" t="s">
        <v>1630</v>
      </c>
      <c r="E530" s="63" t="s">
        <v>1755</v>
      </c>
    </row>
    <row r="531" spans="1:5">
      <c r="A531" s="48" t="s">
        <v>399</v>
      </c>
      <c r="B531" s="49" t="s">
        <v>791</v>
      </c>
      <c r="C531" s="50" t="s">
        <v>1266</v>
      </c>
      <c r="D531" s="63" t="s">
        <v>1630</v>
      </c>
      <c r="E531" s="63" t="s">
        <v>1755</v>
      </c>
    </row>
    <row r="532" spans="1:5">
      <c r="A532" s="51" t="s">
        <v>400</v>
      </c>
      <c r="B532" s="30" t="s">
        <v>792</v>
      </c>
      <c r="C532" s="50" t="s">
        <v>1256</v>
      </c>
      <c r="D532" s="63" t="s">
        <v>1630</v>
      </c>
      <c r="E532" s="63" t="s">
        <v>1755</v>
      </c>
    </row>
    <row r="533" spans="1:5">
      <c r="A533" s="48" t="s">
        <v>401</v>
      </c>
      <c r="B533" s="30" t="s">
        <v>793</v>
      </c>
      <c r="C533" s="50" t="s">
        <v>1267</v>
      </c>
      <c r="D533" s="63" t="s">
        <v>1630</v>
      </c>
      <c r="E533" s="63" t="s">
        <v>1755</v>
      </c>
    </row>
    <row r="534" spans="1:5">
      <c r="A534" s="51" t="s">
        <v>393</v>
      </c>
      <c r="B534" s="30" t="s">
        <v>785</v>
      </c>
      <c r="C534" s="50" t="s">
        <v>1257</v>
      </c>
      <c r="D534" s="63" t="s">
        <v>1630</v>
      </c>
      <c r="E534" s="63" t="s">
        <v>1755</v>
      </c>
    </row>
    <row r="535" spans="1:5">
      <c r="A535" s="51" t="s">
        <v>395</v>
      </c>
      <c r="B535" s="30" t="s">
        <v>787</v>
      </c>
      <c r="C535" s="50" t="s">
        <v>1258</v>
      </c>
      <c r="D535" s="63" t="s">
        <v>1630</v>
      </c>
      <c r="E535" s="63" t="s">
        <v>1755</v>
      </c>
    </row>
    <row r="536" spans="1:5">
      <c r="A536" s="51" t="s">
        <v>394</v>
      </c>
      <c r="B536" s="30" t="s">
        <v>786</v>
      </c>
      <c r="C536" s="50" t="s">
        <v>1259</v>
      </c>
      <c r="D536" s="63" t="s">
        <v>1630</v>
      </c>
      <c r="E536" s="63" t="s">
        <v>1755</v>
      </c>
    </row>
    <row r="537" spans="1:5">
      <c r="A537" s="51" t="s">
        <v>402</v>
      </c>
      <c r="B537" s="30" t="s">
        <v>794</v>
      </c>
      <c r="C537" s="50" t="s">
        <v>1260</v>
      </c>
      <c r="D537" s="63" t="s">
        <v>1630</v>
      </c>
      <c r="E537" s="63" t="s">
        <v>1755</v>
      </c>
    </row>
    <row r="538" spans="1:5">
      <c r="A538" s="48" t="s">
        <v>403</v>
      </c>
      <c r="B538" s="30" t="s">
        <v>795</v>
      </c>
      <c r="C538" s="50" t="s">
        <v>1268</v>
      </c>
      <c r="D538" s="63" t="s">
        <v>1630</v>
      </c>
      <c r="E538" s="63" t="s">
        <v>1755</v>
      </c>
    </row>
    <row r="539" spans="1:5">
      <c r="A539" s="48" t="s">
        <v>404</v>
      </c>
      <c r="B539" s="30" t="s">
        <v>796</v>
      </c>
      <c r="C539" s="50" t="s">
        <v>1269</v>
      </c>
      <c r="D539" s="63" t="s">
        <v>1630</v>
      </c>
      <c r="E539" s="63" t="s">
        <v>1755</v>
      </c>
    </row>
    <row r="540" spans="1:5">
      <c r="A540" s="48" t="s">
        <v>405</v>
      </c>
      <c r="B540" s="30" t="s">
        <v>797</v>
      </c>
      <c r="C540" s="50" t="s">
        <v>1270</v>
      </c>
      <c r="D540" s="63" t="s">
        <v>1630</v>
      </c>
      <c r="E540" s="63" t="s">
        <v>1755</v>
      </c>
    </row>
    <row r="541" spans="1:5">
      <c r="A541" s="48" t="s">
        <v>406</v>
      </c>
      <c r="B541" s="30" t="s">
        <v>798</v>
      </c>
      <c r="C541" s="50" t="s">
        <v>1271</v>
      </c>
      <c r="D541" s="63" t="s">
        <v>1630</v>
      </c>
      <c r="E541" s="63" t="s">
        <v>1755</v>
      </c>
    </row>
    <row r="542" spans="1:5">
      <c r="A542" s="51" t="s">
        <v>407</v>
      </c>
      <c r="B542" s="30" t="s">
        <v>799</v>
      </c>
      <c r="C542" s="50" t="s">
        <v>1261</v>
      </c>
      <c r="D542" s="63" t="s">
        <v>1630</v>
      </c>
      <c r="E542" s="63" t="s">
        <v>1755</v>
      </c>
    </row>
    <row r="543" spans="1:5">
      <c r="A543" s="48" t="s">
        <v>408</v>
      </c>
      <c r="B543" s="30" t="s">
        <v>800</v>
      </c>
      <c r="C543" s="52" t="s">
        <v>1272</v>
      </c>
      <c r="D543" s="63" t="s">
        <v>1630</v>
      </c>
      <c r="E543" s="63" t="s">
        <v>1755</v>
      </c>
    </row>
    <row r="544" spans="1:5">
      <c r="A544" s="51" t="s">
        <v>409</v>
      </c>
      <c r="B544" s="30" t="s">
        <v>801</v>
      </c>
      <c r="C544" s="50" t="s">
        <v>1262</v>
      </c>
      <c r="D544" s="63" t="s">
        <v>1630</v>
      </c>
      <c r="E544" s="63" t="s">
        <v>1755</v>
      </c>
    </row>
    <row r="545" spans="1:5">
      <c r="A545" s="63" t="s">
        <v>1534</v>
      </c>
      <c r="B545" s="30" t="s">
        <v>1535</v>
      </c>
      <c r="C545" s="52" t="s">
        <v>1536</v>
      </c>
      <c r="D545" s="63" t="s">
        <v>1630</v>
      </c>
      <c r="E545" s="63" t="s">
        <v>1755</v>
      </c>
    </row>
    <row r="546" spans="1:5">
      <c r="A546" s="48" t="s">
        <v>410</v>
      </c>
      <c r="B546" s="30" t="s">
        <v>806</v>
      </c>
      <c r="C546" s="50" t="s">
        <v>1274</v>
      </c>
      <c r="D546" s="63" t="s">
        <v>1615</v>
      </c>
      <c r="E546" s="63" t="s">
        <v>1755</v>
      </c>
    </row>
    <row r="547" spans="1:5">
      <c r="A547" s="51" t="s">
        <v>411</v>
      </c>
      <c r="B547" s="30" t="s">
        <v>807</v>
      </c>
      <c r="C547" s="50" t="s">
        <v>1263</v>
      </c>
      <c r="D547" s="63" t="s">
        <v>1615</v>
      </c>
      <c r="E547" s="63" t="s">
        <v>1755</v>
      </c>
    </row>
    <row r="548" spans="1:5">
      <c r="A548" s="48" t="s">
        <v>73</v>
      </c>
      <c r="B548" s="49" t="s">
        <v>522</v>
      </c>
      <c r="C548" s="50" t="s">
        <v>967</v>
      </c>
      <c r="D548" s="63" t="s">
        <v>1631</v>
      </c>
      <c r="E548" s="63" t="s">
        <v>1755</v>
      </c>
    </row>
    <row r="549" spans="1:5">
      <c r="A549" s="51" t="s">
        <v>419</v>
      </c>
      <c r="B549" s="30" t="s">
        <v>813</v>
      </c>
      <c r="C549" s="50" t="s">
        <v>858</v>
      </c>
      <c r="D549" s="63" t="s">
        <v>1619</v>
      </c>
      <c r="E549" s="63" t="s">
        <v>1755</v>
      </c>
    </row>
    <row r="550" spans="1:5">
      <c r="A550" s="109" t="s">
        <v>1709</v>
      </c>
      <c r="B550" s="49" t="s">
        <v>1710</v>
      </c>
      <c r="C550" s="64" t="s">
        <v>1711</v>
      </c>
      <c r="D550" s="63" t="s">
        <v>1631</v>
      </c>
      <c r="E550" s="63" t="s">
        <v>1755</v>
      </c>
    </row>
    <row r="551" spans="1:5">
      <c r="A551" s="48" t="s">
        <v>74</v>
      </c>
      <c r="B551" s="49" t="s">
        <v>523</v>
      </c>
      <c r="C551" s="50" t="s">
        <v>968</v>
      </c>
      <c r="D551" s="63" t="s">
        <v>1631</v>
      </c>
      <c r="E551" s="63" t="s">
        <v>1755</v>
      </c>
    </row>
    <row r="552" spans="1:5">
      <c r="A552" s="29" t="s">
        <v>1772</v>
      </c>
      <c r="B552" s="49" t="s">
        <v>1431</v>
      </c>
      <c r="C552" s="64" t="s">
        <v>1773</v>
      </c>
      <c r="D552" s="63" t="s">
        <v>1631</v>
      </c>
      <c r="E552" s="63" t="s">
        <v>1755</v>
      </c>
    </row>
    <row r="553" spans="1:5">
      <c r="A553" s="63" t="s">
        <v>1430</v>
      </c>
      <c r="B553" s="49" t="s">
        <v>1431</v>
      </c>
      <c r="C553" s="50" t="s">
        <v>1432</v>
      </c>
      <c r="D553" s="63" t="s">
        <v>1631</v>
      </c>
      <c r="E553" s="63" t="s">
        <v>1755</v>
      </c>
    </row>
    <row r="554" spans="1:5">
      <c r="A554" s="51" t="s">
        <v>75</v>
      </c>
      <c r="B554" s="30" t="s">
        <v>523</v>
      </c>
      <c r="C554" s="50" t="s">
        <v>900</v>
      </c>
      <c r="D554" s="63" t="s">
        <v>1631</v>
      </c>
      <c r="E554" s="63" t="s">
        <v>1755</v>
      </c>
    </row>
    <row r="555" spans="1:5">
      <c r="A555" s="63" t="s">
        <v>1433</v>
      </c>
      <c r="B555" s="30" t="s">
        <v>523</v>
      </c>
      <c r="C555" s="50" t="s">
        <v>1434</v>
      </c>
      <c r="D555" s="63" t="s">
        <v>1631</v>
      </c>
      <c r="E555" s="63" t="s">
        <v>1755</v>
      </c>
    </row>
    <row r="556" spans="1:5">
      <c r="A556" s="63" t="s">
        <v>1435</v>
      </c>
      <c r="B556" s="49" t="s">
        <v>1431</v>
      </c>
      <c r="C556" s="50" t="s">
        <v>1436</v>
      </c>
      <c r="D556" s="63" t="s">
        <v>1631</v>
      </c>
      <c r="E556" s="63" t="s">
        <v>1755</v>
      </c>
    </row>
    <row r="557" spans="1:5">
      <c r="A557" s="51" t="s">
        <v>76</v>
      </c>
      <c r="B557" s="30" t="s">
        <v>524</v>
      </c>
      <c r="C557" s="50" t="s">
        <v>901</v>
      </c>
      <c r="D557" s="63" t="s">
        <v>1631</v>
      </c>
      <c r="E557" s="63" t="s">
        <v>1755</v>
      </c>
    </row>
    <row r="558" spans="1:5">
      <c r="A558" s="51" t="s">
        <v>77</v>
      </c>
      <c r="B558" s="30" t="s">
        <v>525</v>
      </c>
      <c r="C558" s="50" t="s">
        <v>902</v>
      </c>
      <c r="D558" s="63" t="s">
        <v>1631</v>
      </c>
      <c r="E558" s="63" t="s">
        <v>1755</v>
      </c>
    </row>
    <row r="559" spans="1:5">
      <c r="A559" s="109" t="s">
        <v>1668</v>
      </c>
      <c r="B559" s="49" t="s">
        <v>529</v>
      </c>
      <c r="C559" s="64" t="s">
        <v>1669</v>
      </c>
      <c r="D559" s="63" t="s">
        <v>1631</v>
      </c>
      <c r="E559" s="63" t="s">
        <v>1755</v>
      </c>
    </row>
    <row r="560" spans="1:5">
      <c r="A560" s="50" t="s">
        <v>1550</v>
      </c>
      <c r="B560" s="49" t="s">
        <v>526</v>
      </c>
      <c r="C560" s="52" t="s">
        <v>1551</v>
      </c>
      <c r="D560" s="63" t="s">
        <v>1631</v>
      </c>
      <c r="E560" s="63" t="s">
        <v>1755</v>
      </c>
    </row>
    <row r="561" spans="1:5">
      <c r="A561" s="63" t="s">
        <v>1633</v>
      </c>
      <c r="B561" s="49" t="s">
        <v>1540</v>
      </c>
      <c r="C561" s="64" t="s">
        <v>1661</v>
      </c>
      <c r="D561" s="63" t="s">
        <v>1631</v>
      </c>
      <c r="E561" s="63" t="s">
        <v>1755</v>
      </c>
    </row>
    <row r="562" spans="1:5">
      <c r="A562" s="63" t="s">
        <v>1537</v>
      </c>
      <c r="B562" s="49" t="s">
        <v>526</v>
      </c>
      <c r="C562" s="64" t="s">
        <v>1538</v>
      </c>
      <c r="D562" s="63" t="s">
        <v>1631</v>
      </c>
      <c r="E562" s="63" t="s">
        <v>1755</v>
      </c>
    </row>
    <row r="563" spans="1:5">
      <c r="A563" s="48" t="s">
        <v>78</v>
      </c>
      <c r="B563" s="49" t="s">
        <v>526</v>
      </c>
      <c r="C563" s="50" t="s">
        <v>969</v>
      </c>
      <c r="D563" s="63" t="s">
        <v>1631</v>
      </c>
      <c r="E563" s="63" t="s">
        <v>1755</v>
      </c>
    </row>
    <row r="564" spans="1:5">
      <c r="A564" s="48" t="s">
        <v>79</v>
      </c>
      <c r="B564" s="49" t="s">
        <v>527</v>
      </c>
      <c r="C564" s="50" t="s">
        <v>970</v>
      </c>
      <c r="D564" s="63" t="s">
        <v>1631</v>
      </c>
      <c r="E564" s="63" t="s">
        <v>1755</v>
      </c>
    </row>
    <row r="565" spans="1:5">
      <c r="A565" s="63" t="s">
        <v>1539</v>
      </c>
      <c r="B565" s="30" t="s">
        <v>1540</v>
      </c>
      <c r="C565" s="64" t="s">
        <v>1541</v>
      </c>
      <c r="D565" s="63" t="s">
        <v>1631</v>
      </c>
      <c r="E565" s="63" t="s">
        <v>1755</v>
      </c>
    </row>
    <row r="566" spans="1:5">
      <c r="A566" s="108" t="s">
        <v>1472</v>
      </c>
      <c r="B566" s="49" t="s">
        <v>1474</v>
      </c>
      <c r="C566" s="50" t="s">
        <v>1473</v>
      </c>
      <c r="D566" s="63" t="s">
        <v>1631</v>
      </c>
      <c r="E566" s="63" t="s">
        <v>1755</v>
      </c>
    </row>
    <row r="567" spans="1:5">
      <c r="A567" s="48" t="s">
        <v>80</v>
      </c>
      <c r="B567" s="49" t="s">
        <v>528</v>
      </c>
      <c r="C567" s="50" t="s">
        <v>971</v>
      </c>
      <c r="D567" s="63" t="s">
        <v>1631</v>
      </c>
      <c r="E567" s="63" t="s">
        <v>1755</v>
      </c>
    </row>
    <row r="568" spans="1:5">
      <c r="A568" s="48" t="s">
        <v>81</v>
      </c>
      <c r="B568" s="49" t="s">
        <v>529</v>
      </c>
      <c r="C568" s="50" t="s">
        <v>972</v>
      </c>
      <c r="D568" s="63" t="s">
        <v>1631</v>
      </c>
      <c r="E568" s="63" t="s">
        <v>1755</v>
      </c>
    </row>
    <row r="569" spans="1:5">
      <c r="A569" s="51" t="s">
        <v>82</v>
      </c>
      <c r="B569" s="30" t="s">
        <v>530</v>
      </c>
      <c r="C569" s="50" t="s">
        <v>903</v>
      </c>
      <c r="D569" s="63" t="s">
        <v>1631</v>
      </c>
      <c r="E569" s="63" t="s">
        <v>1755</v>
      </c>
    </row>
    <row r="570" spans="1:5">
      <c r="A570" s="51" t="s">
        <v>1437</v>
      </c>
      <c r="B570" s="49" t="s">
        <v>530</v>
      </c>
      <c r="C570" s="50" t="s">
        <v>1500</v>
      </c>
      <c r="D570" s="63" t="s">
        <v>1631</v>
      </c>
      <c r="E570" s="63" t="s">
        <v>1755</v>
      </c>
    </row>
    <row r="571" spans="1:5">
      <c r="A571" s="48" t="s">
        <v>83</v>
      </c>
      <c r="B571" s="49" t="s">
        <v>522</v>
      </c>
      <c r="C571" s="50" t="s">
        <v>973</v>
      </c>
      <c r="D571" s="63" t="s">
        <v>1631</v>
      </c>
      <c r="E571" s="63" t="s">
        <v>1755</v>
      </c>
    </row>
    <row r="572" spans="1:5">
      <c r="A572" s="48" t="s">
        <v>84</v>
      </c>
      <c r="B572" s="49" t="s">
        <v>522</v>
      </c>
      <c r="C572" s="50" t="s">
        <v>974</v>
      </c>
      <c r="D572" s="63" t="s">
        <v>1631</v>
      </c>
      <c r="E572" s="63" t="s">
        <v>1755</v>
      </c>
    </row>
    <row r="573" spans="1:5">
      <c r="A573" s="63" t="s">
        <v>1438</v>
      </c>
      <c r="B573" s="49" t="s">
        <v>531</v>
      </c>
      <c r="C573" s="50" t="s">
        <v>1439</v>
      </c>
      <c r="D573" s="63" t="s">
        <v>1631</v>
      </c>
      <c r="E573" s="63" t="s">
        <v>1755</v>
      </c>
    </row>
    <row r="574" spans="1:5">
      <c r="A574" s="63" t="s">
        <v>1440</v>
      </c>
      <c r="B574" s="30" t="s">
        <v>532</v>
      </c>
      <c r="C574" s="50" t="s">
        <v>1441</v>
      </c>
      <c r="D574" s="63" t="s">
        <v>1631</v>
      </c>
      <c r="E574" s="63" t="s">
        <v>1755</v>
      </c>
    </row>
    <row r="575" spans="1:5">
      <c r="A575" s="48" t="s">
        <v>85</v>
      </c>
      <c r="B575" s="49" t="s">
        <v>531</v>
      </c>
      <c r="C575" s="50" t="s">
        <v>975</v>
      </c>
      <c r="D575" s="63" t="s">
        <v>1631</v>
      </c>
      <c r="E575" s="63" t="s">
        <v>1755</v>
      </c>
    </row>
    <row r="576" spans="1:5">
      <c r="A576" s="51" t="s">
        <v>86</v>
      </c>
      <c r="B576" s="30" t="s">
        <v>532</v>
      </c>
      <c r="C576" s="50" t="s">
        <v>904</v>
      </c>
      <c r="D576" s="63" t="s">
        <v>1631</v>
      </c>
      <c r="E576" s="63" t="s">
        <v>1755</v>
      </c>
    </row>
    <row r="577" spans="1:5">
      <c r="A577" s="51" t="s">
        <v>1442</v>
      </c>
      <c r="B577" s="49" t="s">
        <v>532</v>
      </c>
      <c r="C577" s="50" t="s">
        <v>1501</v>
      </c>
      <c r="D577" s="63" t="s">
        <v>1631</v>
      </c>
      <c r="E577" s="63" t="s">
        <v>1755</v>
      </c>
    </row>
    <row r="578" spans="1:5">
      <c r="A578" s="51" t="s">
        <v>1542</v>
      </c>
      <c r="B578" s="30" t="s">
        <v>533</v>
      </c>
      <c r="C578" s="50" t="s">
        <v>1543</v>
      </c>
      <c r="D578" s="63" t="s">
        <v>1631</v>
      </c>
      <c r="E578" s="63" t="s">
        <v>1755</v>
      </c>
    </row>
    <row r="579" spans="1:5">
      <c r="A579" s="51" t="s">
        <v>87</v>
      </c>
      <c r="B579" s="30" t="s">
        <v>533</v>
      </c>
      <c r="C579" s="50" t="s">
        <v>905</v>
      </c>
      <c r="D579" s="63" t="s">
        <v>1631</v>
      </c>
      <c r="E579" s="63" t="s">
        <v>1755</v>
      </c>
    </row>
    <row r="580" spans="1:5">
      <c r="A580" s="63" t="s">
        <v>1443</v>
      </c>
      <c r="B580" s="49" t="s">
        <v>534</v>
      </c>
      <c r="C580" s="50" t="s">
        <v>1444</v>
      </c>
      <c r="D580" s="63" t="s">
        <v>1631</v>
      </c>
      <c r="E580" s="63" t="s">
        <v>1755</v>
      </c>
    </row>
    <row r="581" spans="1:5">
      <c r="A581" s="48" t="s">
        <v>88</v>
      </c>
      <c r="B581" s="49" t="s">
        <v>534</v>
      </c>
      <c r="C581" s="50" t="s">
        <v>976</v>
      </c>
      <c r="D581" s="63" t="s">
        <v>1631</v>
      </c>
      <c r="E581" s="63" t="s">
        <v>1755</v>
      </c>
    </row>
    <row r="582" spans="1:5">
      <c r="A582" s="63" t="s">
        <v>1445</v>
      </c>
      <c r="B582" s="30" t="s">
        <v>535</v>
      </c>
      <c r="C582" s="50" t="s">
        <v>1446</v>
      </c>
      <c r="D582" s="63" t="s">
        <v>1631</v>
      </c>
      <c r="E582" s="63" t="s">
        <v>1755</v>
      </c>
    </row>
    <row r="583" spans="1:5">
      <c r="A583" s="51" t="s">
        <v>89</v>
      </c>
      <c r="B583" s="30" t="s">
        <v>535</v>
      </c>
      <c r="C583" s="50" t="s">
        <v>906</v>
      </c>
      <c r="D583" s="63" t="s">
        <v>1631</v>
      </c>
      <c r="E583" s="63" t="s">
        <v>1755</v>
      </c>
    </row>
    <row r="584" spans="1:5">
      <c r="A584" s="51" t="s">
        <v>90</v>
      </c>
      <c r="B584" s="30" t="s">
        <v>536</v>
      </c>
      <c r="C584" s="50" t="s">
        <v>907</v>
      </c>
      <c r="D584" s="63" t="s">
        <v>1631</v>
      </c>
      <c r="E584" s="63" t="s">
        <v>1755</v>
      </c>
    </row>
    <row r="585" spans="1:5">
      <c r="A585" s="63" t="s">
        <v>1447</v>
      </c>
      <c r="B585" s="30" t="s">
        <v>536</v>
      </c>
      <c r="C585" s="50" t="s">
        <v>1448</v>
      </c>
      <c r="D585" s="63" t="s">
        <v>1631</v>
      </c>
      <c r="E585" s="63" t="s">
        <v>1755</v>
      </c>
    </row>
    <row r="586" spans="1:5">
      <c r="A586" s="63" t="s">
        <v>1449</v>
      </c>
      <c r="B586" s="49" t="s">
        <v>1450</v>
      </c>
      <c r="C586" s="50" t="s">
        <v>1475</v>
      </c>
      <c r="D586" s="63" t="s">
        <v>1631</v>
      </c>
      <c r="E586" s="63" t="s">
        <v>1755</v>
      </c>
    </row>
    <row r="587" spans="1:5">
      <c r="A587" s="51" t="s">
        <v>91</v>
      </c>
      <c r="B587" s="30" t="s">
        <v>537</v>
      </c>
      <c r="C587" s="50" t="s">
        <v>908</v>
      </c>
      <c r="D587" s="63" t="s">
        <v>1631</v>
      </c>
      <c r="E587" s="63" t="s">
        <v>1755</v>
      </c>
    </row>
    <row r="588" spans="1:5">
      <c r="A588" s="63" t="s">
        <v>1451</v>
      </c>
      <c r="B588" s="49" t="s">
        <v>537</v>
      </c>
      <c r="C588" s="50" t="s">
        <v>1476</v>
      </c>
      <c r="D588" s="63" t="s">
        <v>1631</v>
      </c>
      <c r="E588" s="63" t="s">
        <v>1755</v>
      </c>
    </row>
    <row r="589" spans="1:5">
      <c r="A589" s="51" t="s">
        <v>92</v>
      </c>
      <c r="B589" s="30" t="s">
        <v>538</v>
      </c>
      <c r="C589" s="50" t="s">
        <v>909</v>
      </c>
      <c r="D589" s="63" t="s">
        <v>1631</v>
      </c>
      <c r="E589" s="63" t="s">
        <v>1755</v>
      </c>
    </row>
    <row r="590" spans="1:5">
      <c r="A590" s="51" t="s">
        <v>93</v>
      </c>
      <c r="B590" s="30" t="s">
        <v>910</v>
      </c>
      <c r="C590" s="50" t="s">
        <v>911</v>
      </c>
      <c r="D590" s="63" t="s">
        <v>1631</v>
      </c>
      <c r="E590" s="63" t="s">
        <v>1755</v>
      </c>
    </row>
    <row r="591" spans="1:5">
      <c r="A591" s="63" t="s">
        <v>1452</v>
      </c>
      <c r="B591" s="49" t="s">
        <v>1453</v>
      </c>
      <c r="C591" s="50" t="s">
        <v>1454</v>
      </c>
      <c r="D591" s="63" t="s">
        <v>1631</v>
      </c>
      <c r="E591" s="63" t="s">
        <v>1755</v>
      </c>
    </row>
    <row r="592" spans="1:5">
      <c r="A592" s="48" t="s">
        <v>94</v>
      </c>
      <c r="B592" s="49" t="s">
        <v>523</v>
      </c>
      <c r="C592" s="50" t="s">
        <v>977</v>
      </c>
      <c r="D592" s="63" t="s">
        <v>1631</v>
      </c>
      <c r="E592" s="63" t="s">
        <v>1755</v>
      </c>
    </row>
    <row r="593" spans="1:5">
      <c r="A593" s="48" t="s">
        <v>95</v>
      </c>
      <c r="B593" s="49" t="s">
        <v>539</v>
      </c>
      <c r="C593" s="50" t="s">
        <v>978</v>
      </c>
      <c r="D593" s="63" t="s">
        <v>1631</v>
      </c>
      <c r="E593" s="63" t="s">
        <v>1755</v>
      </c>
    </row>
    <row r="594" spans="1:5">
      <c r="A594" s="63" t="s">
        <v>1455</v>
      </c>
      <c r="B594" s="49" t="s">
        <v>528</v>
      </c>
      <c r="C594" s="50" t="s">
        <v>1456</v>
      </c>
      <c r="D594" s="63" t="s">
        <v>1631</v>
      </c>
      <c r="E594" s="63" t="s">
        <v>1755</v>
      </c>
    </row>
    <row r="595" spans="1:5">
      <c r="A595" s="48" t="s">
        <v>96</v>
      </c>
      <c r="B595" s="49" t="s">
        <v>535</v>
      </c>
      <c r="C595" s="50" t="s">
        <v>979</v>
      </c>
      <c r="D595" s="63" t="s">
        <v>1631</v>
      </c>
      <c r="E595" s="63" t="s">
        <v>1755</v>
      </c>
    </row>
    <row r="596" spans="1:5">
      <c r="A596" s="63" t="s">
        <v>1457</v>
      </c>
      <c r="B596" s="49" t="s">
        <v>1458</v>
      </c>
      <c r="C596" s="52" t="s">
        <v>1459</v>
      </c>
      <c r="D596" s="63" t="s">
        <v>1631</v>
      </c>
      <c r="E596" s="63" t="s">
        <v>1755</v>
      </c>
    </row>
    <row r="597" spans="1:5">
      <c r="A597" s="48" t="s">
        <v>97</v>
      </c>
      <c r="B597" s="49" t="s">
        <v>540</v>
      </c>
      <c r="C597" s="50" t="s">
        <v>980</v>
      </c>
      <c r="D597" s="63" t="s">
        <v>1631</v>
      </c>
      <c r="E597" s="63" t="s">
        <v>1755</v>
      </c>
    </row>
    <row r="598" spans="1:5">
      <c r="A598" s="63" t="s">
        <v>1460</v>
      </c>
      <c r="B598" s="30" t="s">
        <v>543</v>
      </c>
      <c r="C598" s="50" t="s">
        <v>1461</v>
      </c>
      <c r="D598" s="63" t="s">
        <v>1632</v>
      </c>
      <c r="E598" s="63" t="s">
        <v>1755</v>
      </c>
    </row>
    <row r="599" spans="1:5">
      <c r="A599" s="51" t="s">
        <v>1312</v>
      </c>
      <c r="B599" s="30" t="s">
        <v>1317</v>
      </c>
      <c r="C599" s="52" t="s">
        <v>1316</v>
      </c>
      <c r="D599" s="63" t="s">
        <v>1632</v>
      </c>
      <c r="E599" s="63" t="s">
        <v>1755</v>
      </c>
    </row>
    <row r="600" spans="1:5">
      <c r="A600" s="48" t="s">
        <v>102</v>
      </c>
      <c r="B600" s="49" t="s">
        <v>541</v>
      </c>
      <c r="C600" s="50" t="s">
        <v>981</v>
      </c>
      <c r="D600" s="63" t="s">
        <v>1632</v>
      </c>
      <c r="E600" s="63" t="s">
        <v>1755</v>
      </c>
    </row>
    <row r="601" spans="1:5">
      <c r="A601" s="51" t="s">
        <v>103</v>
      </c>
      <c r="B601" s="30" t="s">
        <v>543</v>
      </c>
      <c r="C601" s="50" t="s">
        <v>912</v>
      </c>
      <c r="D601" s="63" t="s">
        <v>1632</v>
      </c>
      <c r="E601" s="63" t="s">
        <v>1755</v>
      </c>
    </row>
    <row r="602" spans="1:5">
      <c r="A602" s="63" t="s">
        <v>1462</v>
      </c>
      <c r="B602" s="30" t="s">
        <v>1463</v>
      </c>
      <c r="C602" s="50" t="s">
        <v>1464</v>
      </c>
      <c r="D602" s="63" t="s">
        <v>1632</v>
      </c>
      <c r="E602" s="63" t="s">
        <v>1755</v>
      </c>
    </row>
    <row r="603" spans="1:5">
      <c r="A603" s="51" t="s">
        <v>99</v>
      </c>
      <c r="B603" s="30" t="s">
        <v>541</v>
      </c>
      <c r="C603" s="50" t="s">
        <v>913</v>
      </c>
      <c r="D603" s="63" t="s">
        <v>1632</v>
      </c>
      <c r="E603" s="63" t="s">
        <v>1755</v>
      </c>
    </row>
    <row r="604" spans="1:5">
      <c r="A604" s="65" t="s">
        <v>1340</v>
      </c>
      <c r="B604" s="30" t="s">
        <v>1352</v>
      </c>
      <c r="C604" s="64" t="s">
        <v>1353</v>
      </c>
      <c r="D604" s="63" t="s">
        <v>1632</v>
      </c>
      <c r="E604" s="63" t="s">
        <v>1755</v>
      </c>
    </row>
    <row r="605" spans="1:5">
      <c r="A605" s="51" t="s">
        <v>100</v>
      </c>
      <c r="B605" s="30" t="s">
        <v>541</v>
      </c>
      <c r="C605" s="50" t="s">
        <v>914</v>
      </c>
      <c r="D605" s="63" t="s">
        <v>1632</v>
      </c>
      <c r="E605" s="63" t="s">
        <v>1755</v>
      </c>
    </row>
    <row r="606" spans="1:5">
      <c r="A606" s="51" t="s">
        <v>104</v>
      </c>
      <c r="B606" s="30" t="s">
        <v>544</v>
      </c>
      <c r="C606" s="50" t="s">
        <v>915</v>
      </c>
      <c r="D606" s="63" t="s">
        <v>1632</v>
      </c>
      <c r="E606" s="63" t="s">
        <v>1755</v>
      </c>
    </row>
    <row r="607" spans="1:5">
      <c r="A607" s="51" t="s">
        <v>916</v>
      </c>
      <c r="B607" s="30" t="s">
        <v>917</v>
      </c>
      <c r="C607" s="50" t="s">
        <v>918</v>
      </c>
      <c r="D607" s="63" t="s">
        <v>1632</v>
      </c>
      <c r="E607" s="63" t="s">
        <v>1755</v>
      </c>
    </row>
    <row r="608" spans="1:5">
      <c r="A608" s="51" t="s">
        <v>105</v>
      </c>
      <c r="B608" s="30" t="s">
        <v>545</v>
      </c>
      <c r="C608" s="50" t="s">
        <v>919</v>
      </c>
      <c r="D608" s="63" t="s">
        <v>1632</v>
      </c>
      <c r="E608" s="63" t="s">
        <v>1755</v>
      </c>
    </row>
    <row r="609" spans="1:5">
      <c r="A609" s="51" t="s">
        <v>106</v>
      </c>
      <c r="B609" s="30" t="s">
        <v>546</v>
      </c>
      <c r="C609" s="50" t="s">
        <v>920</v>
      </c>
      <c r="D609" s="63" t="s">
        <v>1632</v>
      </c>
      <c r="E609" s="63" t="s">
        <v>1755</v>
      </c>
    </row>
    <row r="610" spans="1:5">
      <c r="A610" s="51" t="s">
        <v>107</v>
      </c>
      <c r="B610" s="30" t="s">
        <v>547</v>
      </c>
      <c r="C610" s="50" t="s">
        <v>921</v>
      </c>
      <c r="D610" s="63" t="s">
        <v>1632</v>
      </c>
      <c r="E610" s="63" t="s">
        <v>1755</v>
      </c>
    </row>
    <row r="611" spans="1:5">
      <c r="A611" s="48" t="s">
        <v>469</v>
      </c>
      <c r="B611" s="49" t="s">
        <v>547</v>
      </c>
      <c r="C611" s="50" t="s">
        <v>982</v>
      </c>
      <c r="D611" s="63" t="s">
        <v>1632</v>
      </c>
      <c r="E611" s="63" t="s">
        <v>1755</v>
      </c>
    </row>
    <row r="612" spans="1:5">
      <c r="A612" s="51" t="s">
        <v>1309</v>
      </c>
      <c r="B612" s="30" t="s">
        <v>1310</v>
      </c>
      <c r="C612" s="50" t="s">
        <v>1311</v>
      </c>
      <c r="D612" s="63" t="s">
        <v>1632</v>
      </c>
      <c r="E612" s="63" t="s">
        <v>1755</v>
      </c>
    </row>
    <row r="613" spans="1:5">
      <c r="A613" s="51" t="s">
        <v>108</v>
      </c>
      <c r="B613" s="30" t="s">
        <v>548</v>
      </c>
      <c r="C613" s="50" t="s">
        <v>922</v>
      </c>
      <c r="D613" s="63" t="s">
        <v>1632</v>
      </c>
      <c r="E613" s="63" t="s">
        <v>1755</v>
      </c>
    </row>
    <row r="614" spans="1:5">
      <c r="A614" s="63" t="s">
        <v>1465</v>
      </c>
      <c r="B614" s="30" t="s">
        <v>542</v>
      </c>
      <c r="C614" s="50" t="s">
        <v>1466</v>
      </c>
      <c r="D614" s="63" t="s">
        <v>1632</v>
      </c>
      <c r="E614" s="63" t="s">
        <v>1755</v>
      </c>
    </row>
    <row r="615" spans="1:5">
      <c r="A615" s="51" t="s">
        <v>101</v>
      </c>
      <c r="B615" s="30" t="s">
        <v>542</v>
      </c>
      <c r="C615" s="50" t="s">
        <v>923</v>
      </c>
      <c r="D615" s="63" t="s">
        <v>1632</v>
      </c>
      <c r="E615" s="63" t="s">
        <v>1755</v>
      </c>
    </row>
    <row r="616" spans="1:5">
      <c r="A616" s="63" t="s">
        <v>1467</v>
      </c>
      <c r="B616" s="30" t="s">
        <v>1468</v>
      </c>
      <c r="C616" s="50" t="s">
        <v>1469</v>
      </c>
      <c r="D616" s="63" t="s">
        <v>1632</v>
      </c>
      <c r="E616" s="63" t="s">
        <v>1755</v>
      </c>
    </row>
    <row r="617" spans="1:5">
      <c r="A617" s="64" t="s">
        <v>1666</v>
      </c>
      <c r="B617" s="49" t="s">
        <v>544</v>
      </c>
      <c r="C617" s="49" t="s">
        <v>1667</v>
      </c>
      <c r="D617" s="63" t="s">
        <v>1632</v>
      </c>
      <c r="E617" s="63" t="s">
        <v>1755</v>
      </c>
    </row>
    <row r="618" spans="1:5">
      <c r="A618" s="63" t="s">
        <v>1470</v>
      </c>
      <c r="B618" s="30" t="s">
        <v>545</v>
      </c>
      <c r="C618" s="50" t="s">
        <v>1471</v>
      </c>
      <c r="D618" s="63" t="s">
        <v>1632</v>
      </c>
      <c r="E618" s="63" t="s">
        <v>1755</v>
      </c>
    </row>
    <row r="619" spans="1:5">
      <c r="A619" s="29" t="s">
        <v>1774</v>
      </c>
      <c r="B619" s="30" t="s">
        <v>545</v>
      </c>
      <c r="C619" s="52" t="s">
        <v>1775</v>
      </c>
      <c r="D619" s="63" t="s">
        <v>1632</v>
      </c>
      <c r="E619" s="63" t="s">
        <v>1755</v>
      </c>
    </row>
    <row r="620" spans="1:5">
      <c r="A620" s="63" t="s">
        <v>1815</v>
      </c>
      <c r="B620" s="113" t="s">
        <v>1816</v>
      </c>
      <c r="C620" s="64" t="s">
        <v>1817</v>
      </c>
      <c r="D620" s="63" t="s">
        <v>1631</v>
      </c>
      <c r="E620" s="63" t="s">
        <v>1755</v>
      </c>
    </row>
    <row r="621" spans="1:5">
      <c r="A621" s="63" t="s">
        <v>1818</v>
      </c>
      <c r="B621" s="113" t="s">
        <v>1819</v>
      </c>
      <c r="C621" s="64" t="s">
        <v>1820</v>
      </c>
      <c r="D621" s="63" t="s">
        <v>1631</v>
      </c>
      <c r="E621" s="63" t="s">
        <v>1755</v>
      </c>
    </row>
    <row r="622" spans="1:5">
      <c r="A622" s="63" t="s">
        <v>1812</v>
      </c>
      <c r="B622" s="110" t="s">
        <v>1653</v>
      </c>
      <c r="C622" s="64" t="s">
        <v>1830</v>
      </c>
      <c r="D622" s="63" t="s">
        <v>1626</v>
      </c>
      <c r="E622" s="63" t="s">
        <v>1755</v>
      </c>
    </row>
    <row r="623" spans="1:5">
      <c r="A623" s="63" t="s">
        <v>1814</v>
      </c>
      <c r="B623" s="110" t="s">
        <v>1821</v>
      </c>
      <c r="C623" s="64" t="s">
        <v>1831</v>
      </c>
      <c r="D623" s="63" t="s">
        <v>1626</v>
      </c>
      <c r="E623" s="63" t="s">
        <v>1755</v>
      </c>
    </row>
    <row r="624" spans="1:5">
      <c r="A624" s="63" t="s">
        <v>1813</v>
      </c>
      <c r="B624" s="110" t="s">
        <v>1650</v>
      </c>
      <c r="C624" s="64" t="s">
        <v>1832</v>
      </c>
      <c r="D624" s="63" t="s">
        <v>1626</v>
      </c>
      <c r="E624" s="63" t="s">
        <v>1755</v>
      </c>
    </row>
    <row r="625" spans="1:5">
      <c r="A625" s="63" t="s">
        <v>1822</v>
      </c>
      <c r="B625" s="113" t="s">
        <v>1823</v>
      </c>
      <c r="C625" s="64" t="s">
        <v>1824</v>
      </c>
      <c r="D625" s="63" t="s">
        <v>1631</v>
      </c>
      <c r="E625" s="63" t="s">
        <v>1755</v>
      </c>
    </row>
    <row r="626" spans="1:5">
      <c r="A626" s="63" t="s">
        <v>1811</v>
      </c>
      <c r="B626" s="110" t="s">
        <v>1327</v>
      </c>
      <c r="C626" s="64" t="s">
        <v>1825</v>
      </c>
      <c r="D626" s="63" t="s">
        <v>1626</v>
      </c>
      <c r="E626" s="63" t="s">
        <v>1755</v>
      </c>
    </row>
    <row r="627" spans="1:5">
      <c r="A627" s="63" t="s">
        <v>1802</v>
      </c>
      <c r="B627" s="110" t="s">
        <v>756</v>
      </c>
      <c r="C627" s="112" t="s">
        <v>1826</v>
      </c>
      <c r="D627" s="63" t="s">
        <v>1620</v>
      </c>
      <c r="E627" s="63" t="s">
        <v>1755</v>
      </c>
    </row>
    <row r="628" spans="1:5">
      <c r="A628" s="63" t="s">
        <v>1806</v>
      </c>
      <c r="B628" s="110" t="s">
        <v>521</v>
      </c>
      <c r="C628" s="64" t="s">
        <v>1833</v>
      </c>
      <c r="D628" s="63" t="s">
        <v>1616</v>
      </c>
      <c r="E628" s="63" t="s">
        <v>1755</v>
      </c>
    </row>
    <row r="629" spans="1:5">
      <c r="A629" s="63" t="s">
        <v>1797</v>
      </c>
      <c r="B629" s="110" t="s">
        <v>1834</v>
      </c>
      <c r="C629" s="64" t="s">
        <v>1835</v>
      </c>
      <c r="D629" s="63" t="s">
        <v>1620</v>
      </c>
      <c r="E629" s="63" t="s">
        <v>1755</v>
      </c>
    </row>
    <row r="630" spans="1:5">
      <c r="A630" s="63" t="s">
        <v>1798</v>
      </c>
      <c r="B630" s="110" t="s">
        <v>740</v>
      </c>
      <c r="C630" s="64" t="s">
        <v>1836</v>
      </c>
      <c r="D630" s="63" t="s">
        <v>1620</v>
      </c>
      <c r="E630" s="63" t="s">
        <v>1755</v>
      </c>
    </row>
    <row r="631" spans="1:5">
      <c r="A631" s="63" t="s">
        <v>1799</v>
      </c>
      <c r="B631" s="110" t="s">
        <v>742</v>
      </c>
      <c r="C631" s="64" t="s">
        <v>1837</v>
      </c>
      <c r="D631" s="63" t="s">
        <v>1620</v>
      </c>
      <c r="E631" s="63" t="s">
        <v>1755</v>
      </c>
    </row>
    <row r="632" spans="1:5">
      <c r="A632" s="63" t="s">
        <v>1800</v>
      </c>
      <c r="B632" s="110" t="s">
        <v>1838</v>
      </c>
      <c r="C632" s="64" t="s">
        <v>1839</v>
      </c>
      <c r="D632" s="63" t="s">
        <v>1620</v>
      </c>
      <c r="E632" s="63" t="s">
        <v>1755</v>
      </c>
    </row>
    <row r="633" spans="1:5">
      <c r="A633" s="63" t="s">
        <v>1801</v>
      </c>
      <c r="B633" s="110" t="s">
        <v>726</v>
      </c>
      <c r="C633" s="64" t="s">
        <v>1840</v>
      </c>
      <c r="D633" s="63" t="s">
        <v>1620</v>
      </c>
      <c r="E633" s="63" t="s">
        <v>1755</v>
      </c>
    </row>
    <row r="634" spans="1:5">
      <c r="A634" s="63" t="s">
        <v>1827</v>
      </c>
      <c r="B634" t="s">
        <v>1841</v>
      </c>
      <c r="D634" s="63" t="s">
        <v>1617</v>
      </c>
      <c r="E634" s="63" t="s">
        <v>1755</v>
      </c>
    </row>
    <row r="635" spans="1:5">
      <c r="A635" s="63" t="s">
        <v>1828</v>
      </c>
      <c r="B635" s="110" t="s">
        <v>1842</v>
      </c>
      <c r="C635" s="64" t="s">
        <v>1843</v>
      </c>
      <c r="D635" s="63" t="s">
        <v>1617</v>
      </c>
      <c r="E635" s="63" t="s">
        <v>1755</v>
      </c>
    </row>
    <row r="636" spans="1:5">
      <c r="A636" s="63" t="s">
        <v>1829</v>
      </c>
      <c r="B636" s="110" t="s">
        <v>1844</v>
      </c>
      <c r="C636" s="64" t="s">
        <v>1845</v>
      </c>
      <c r="D636" s="63" t="s">
        <v>1617</v>
      </c>
      <c r="E636" s="63" t="s">
        <v>1755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6" priority="9"/>
  </conditionalFormatting>
  <conditionalFormatting sqref="A1:A568 A572:A598 A600:A608">
    <cfRule type="duplicateValues" dxfId="15" priority="7"/>
  </conditionalFormatting>
  <conditionalFormatting sqref="A1:A598 A600:A608">
    <cfRule type="duplicateValues" dxfId="14" priority="4"/>
  </conditionalFormatting>
  <conditionalFormatting sqref="A475">
    <cfRule type="duplicateValues" dxfId="13" priority="11"/>
  </conditionalFormatting>
  <conditionalFormatting sqref="A526">
    <cfRule type="duplicateValues" dxfId="12" priority="10"/>
  </conditionalFormatting>
  <conditionalFormatting sqref="A548">
    <cfRule type="duplicateValues" dxfId="11" priority="8"/>
  </conditionalFormatting>
  <conditionalFormatting sqref="A569:A571">
    <cfRule type="duplicateValues" dxfId="10" priority="5"/>
    <cfRule type="duplicateValues" dxfId="9" priority="6"/>
  </conditionalFormatting>
  <conditionalFormatting sqref="A609:A610 A629:A1048576 A618:A627">
    <cfRule type="duplicateValues" dxfId="8" priority="12"/>
    <cfRule type="duplicateValues" dxfId="7" priority="13"/>
    <cfRule type="duplicateValues" dxfId="6" priority="14"/>
  </conditionalFormatting>
  <conditionalFormatting sqref="A611">
    <cfRule type="duplicateValues" dxfId="5" priority="3"/>
  </conditionalFormatting>
  <conditionalFormatting sqref="A612">
    <cfRule type="duplicateValues" dxfId="4" priority="2"/>
  </conditionalFormatting>
  <conditionalFormatting sqref="A613:A617">
    <cfRule type="duplicateValues" dxfId="3" priority="1"/>
  </conditionalFormatting>
  <hyperlinks>
    <hyperlink ref="B2" r:id="rId1" xr:uid="{129FAB67-5D65-4BB3-8B00-31C72B4F777F}"/>
    <hyperlink ref="C2" r:id="rId2" xr:uid="{79AFD021-EC48-4534-B9F8-D52562C98371}"/>
    <hyperlink ref="B3" r:id="rId3" xr:uid="{695412CE-F9BC-43C0-9984-4869154CD229}"/>
    <hyperlink ref="B4" r:id="rId4" xr:uid="{1D2958BC-6C97-4253-A017-5C3D8447997D}"/>
    <hyperlink ref="B5" r:id="rId5" xr:uid="{C6AC5CCD-822B-45E4-A61B-69D89F9038E5}"/>
    <hyperlink ref="B6" r:id="rId6" xr:uid="{C26841A8-5E53-45C1-BDE7-D75C169AA057}"/>
    <hyperlink ref="B7" r:id="rId7" xr:uid="{1DC7687B-31D8-4023-ACA7-5718DBD30B0C}"/>
    <hyperlink ref="B8" r:id="rId8" xr:uid="{277E6AA5-C46A-4A69-BFBB-3FDBDE96A039}"/>
    <hyperlink ref="B9" r:id="rId9" xr:uid="{C8D621E7-8245-4A70-A1BA-B1391ABAB453}"/>
    <hyperlink ref="B10" r:id="rId10" xr:uid="{5271E7C2-2C63-4EB8-B56F-895161AEDA4D}"/>
    <hyperlink ref="B11" r:id="rId11" xr:uid="{7506BAFD-3648-4253-A48B-B846CEDDA86E}"/>
    <hyperlink ref="B12" r:id="rId12" xr:uid="{B3423238-A2CD-43B5-984F-1F38EA7A6E09}"/>
    <hyperlink ref="B14" r:id="rId13" xr:uid="{01073B2F-6151-4D25-8764-9DB1B8033319}"/>
    <hyperlink ref="B15" r:id="rId14" xr:uid="{625C9D5C-8CAD-4680-B787-9B84205FA445}"/>
    <hyperlink ref="B17" r:id="rId15" xr:uid="{08639A27-A6D0-4B7E-B194-714C6BB76A36}"/>
    <hyperlink ref="B18" r:id="rId16" xr:uid="{E3DF8C5F-42FF-467A-910E-8B73740B32B3}"/>
    <hyperlink ref="B19" r:id="rId17" xr:uid="{F3E516B8-03B0-43DD-82D0-DEDDCB1F2EB7}"/>
    <hyperlink ref="B20" r:id="rId18" xr:uid="{3687FF67-2138-4C05-9259-EE5DE2686198}"/>
    <hyperlink ref="B21" r:id="rId19" xr:uid="{603E591B-DD1F-421F-9095-5823059CF686}"/>
    <hyperlink ref="B22" r:id="rId20" xr:uid="{33B781B6-CE62-4CBA-983D-9BCC616E93CF}"/>
    <hyperlink ref="B23" r:id="rId21" xr:uid="{8F916F2A-EFD0-4CC9-B9C0-F13FC0DE6F3B}"/>
    <hyperlink ref="B24" r:id="rId22" xr:uid="{B65E6B34-963D-4DBC-A04A-241D76A58E19}"/>
    <hyperlink ref="B25" r:id="rId23" xr:uid="{FD1D7707-4B60-41F2-9B39-1CA965B5A6DE}"/>
    <hyperlink ref="B26" r:id="rId24" xr:uid="{DA0A5F0F-8B5B-4E1B-B34E-F73114A08BBA}"/>
    <hyperlink ref="B27" r:id="rId25" xr:uid="{167A4E42-2601-4D10-AD1A-B5743A31F337}"/>
    <hyperlink ref="B28" r:id="rId26" xr:uid="{C54CEA6E-1749-4DC8-B876-D2EBF9422F1F}"/>
    <hyperlink ref="B29" r:id="rId27" xr:uid="{45FC5C1C-FA0D-4283-BFB8-A276055C606F}"/>
    <hyperlink ref="B30" r:id="rId28" location="/Tabs=section-spareparts/" xr:uid="{EB5CB19D-40C0-4851-8E06-DACE25114D73}"/>
    <hyperlink ref="B31" r:id="rId29" xr:uid="{D033BF4D-21EB-4BE0-B380-B20B7F1065F0}"/>
    <hyperlink ref="B32" r:id="rId30" xr:uid="{07B7A034-3A1E-4610-9333-67CCCD3AA901}"/>
    <hyperlink ref="B33" r:id="rId31" xr:uid="{9B092189-5ABD-46B7-BC65-B126724A0059}"/>
    <hyperlink ref="B34" r:id="rId32" xr:uid="{2D98412B-48B3-4B4E-99EC-9F7B35B3D830}"/>
    <hyperlink ref="B35" r:id="rId33" xr:uid="{E2EEF773-5D26-4D0F-B26A-7FBE05E2DF8A}"/>
    <hyperlink ref="B36" r:id="rId34" xr:uid="{963146E5-F199-4C4C-BD19-E319CFF98070}"/>
    <hyperlink ref="B37" r:id="rId35" xr:uid="{29267043-EF44-4C60-9CE6-2F7D1E63CBFC}"/>
    <hyperlink ref="B38" r:id="rId36" xr:uid="{EC2E9AFD-274F-48BC-A783-F67EA9E37B38}"/>
    <hyperlink ref="B39" r:id="rId37" xr:uid="{EDEA89FE-56E8-485B-A840-2B54D04F7669}"/>
    <hyperlink ref="B40" r:id="rId38" xr:uid="{54ABABAB-CE26-4D75-B476-89AF0BEF13BA}"/>
    <hyperlink ref="B41" r:id="rId39" xr:uid="{5980266F-03DE-4A5B-B297-35F74D9E22A2}"/>
    <hyperlink ref="B42" r:id="rId40" xr:uid="{8405D8B3-0E25-485E-908B-5B15C5A33D6E}"/>
    <hyperlink ref="B43" r:id="rId41" xr:uid="{DBDA754E-0373-4B12-844D-2085E23156D7}"/>
    <hyperlink ref="B44" r:id="rId42" xr:uid="{A4541385-2246-4605-A510-8D3FAEECC8B3}"/>
    <hyperlink ref="B45" r:id="rId43" xr:uid="{3870505F-9A07-496C-BDD1-BE3AE4014748}"/>
    <hyperlink ref="B46" r:id="rId44" xr:uid="{D077DEF1-93C1-4E04-A75F-5509A5A31A94}"/>
    <hyperlink ref="B47" r:id="rId45" xr:uid="{6D288FF6-1A34-466B-BEBC-DD69430820E0}"/>
    <hyperlink ref="B48" r:id="rId46" xr:uid="{B6D50BD2-2016-476F-B9A9-E710F42AB511}"/>
    <hyperlink ref="B49" r:id="rId47" xr:uid="{FBA2AB77-434F-4C2F-B5C1-F7026A4DCB20}"/>
    <hyperlink ref="B50" r:id="rId48" xr:uid="{6F9F9EEF-A578-46D7-84E7-80295779E785}"/>
    <hyperlink ref="B51" r:id="rId49" xr:uid="{EEE2124E-023B-4D03-B97D-8958D4E38B1D}"/>
    <hyperlink ref="B52" r:id="rId50" xr:uid="{996B8374-F71D-48DD-B8E3-28B181FD5D28}"/>
    <hyperlink ref="B53" r:id="rId51" xr:uid="{BC9C8C7C-AECE-43C8-BED7-47840AFF2EC8}"/>
    <hyperlink ref="B54" r:id="rId52" xr:uid="{A37DA344-B8C0-456E-9054-E61203F1A00A}"/>
    <hyperlink ref="B55" r:id="rId53" xr:uid="{03462D17-9402-4AE4-85EF-9FD5FE6C74C8}"/>
    <hyperlink ref="B56" r:id="rId54" xr:uid="{E7F1D6F6-FEB8-42E1-888D-0C60A39A98FE}"/>
    <hyperlink ref="B57" r:id="rId55" xr:uid="{6BF00C0C-F390-4541-9635-6F13E2392D8C}"/>
    <hyperlink ref="B58" r:id="rId56" xr:uid="{D45BA065-4613-48E9-A9F2-2A26BEB48FD3}"/>
    <hyperlink ref="B59" r:id="rId57" xr:uid="{6C3B0064-F7E4-4C73-893B-587BF44D4DB2}"/>
    <hyperlink ref="B60" r:id="rId58" xr:uid="{B1729332-96C4-4086-86AF-935C76A3EA09}"/>
    <hyperlink ref="B61" r:id="rId59" xr:uid="{CCD139EC-C7E1-46E0-92B8-F4B514A73BBE}"/>
    <hyperlink ref="B62" r:id="rId60" xr:uid="{ECF699CD-E718-404A-87C8-2070BF271377}"/>
    <hyperlink ref="B63" r:id="rId61" xr:uid="{8B28A63C-2957-4A00-8152-95E0CDBF9AE5}"/>
    <hyperlink ref="B64" r:id="rId62" xr:uid="{C103EC7D-5FD5-4489-BFCE-0501FA94A53F}"/>
    <hyperlink ref="B65" r:id="rId63" location="/Tabs=section-spareparts/" xr:uid="{0AEFE244-FC2B-4698-8630-E8DE0ADF7AED}"/>
    <hyperlink ref="B66" r:id="rId64" xr:uid="{749B4240-710B-42C4-8F99-EEF5AE77D388}"/>
    <hyperlink ref="B67" r:id="rId65" xr:uid="{ECF3C2BF-D4ED-4D67-AAE7-0CED98320530}"/>
    <hyperlink ref="B68" r:id="rId66" xr:uid="{2332C8FA-8A79-4955-BC6C-899D8B0DF1F8}"/>
    <hyperlink ref="B69" r:id="rId67" xr:uid="{15510AC6-E767-4515-B4F6-B4D4DDDD751F}"/>
    <hyperlink ref="B70" r:id="rId68" xr:uid="{D416DCCA-04CB-4A72-8078-5DB585B3E3DD}"/>
    <hyperlink ref="B72" r:id="rId69" xr:uid="{56FA978D-17DC-4512-9DB4-586046D7471C}"/>
    <hyperlink ref="B73" r:id="rId70" xr:uid="{4F429C39-7666-4B38-9D31-6BE54F2A551A}"/>
    <hyperlink ref="B74" r:id="rId71" xr:uid="{50E15730-2D9E-4F25-8C64-2F35AB2E695F}"/>
    <hyperlink ref="B75" r:id="rId72" xr:uid="{6E2B0C82-1DF1-44E7-A8F8-0C98466AD8CD}"/>
    <hyperlink ref="B76" r:id="rId73" xr:uid="{D2F12C66-9A25-4FBA-9E85-AC01324574B2}"/>
    <hyperlink ref="B77" r:id="rId74" xr:uid="{300E6950-84AA-4E3E-B494-E05DD489FD18}"/>
    <hyperlink ref="B78" r:id="rId75" xr:uid="{AD0088DB-B580-4C78-BC62-9B051EC0D764}"/>
    <hyperlink ref="B81" r:id="rId76" xr:uid="{590F5CD3-075F-448B-B1AA-B2245790B3CD}"/>
    <hyperlink ref="B82" r:id="rId77" xr:uid="{21EF9846-86FE-419F-B8EA-EB50A6D968FA}"/>
    <hyperlink ref="B83" r:id="rId78" xr:uid="{8BE7CCC4-E786-4257-B0E4-F4DC0BF27B01}"/>
    <hyperlink ref="B84" r:id="rId79" xr:uid="{5BA6CC2A-611D-421A-B244-B42AF7B8379B}"/>
    <hyperlink ref="B85" r:id="rId80" xr:uid="{76D5C1EC-CB25-4623-8547-D75778082B49}"/>
    <hyperlink ref="B86" r:id="rId81" xr:uid="{FD64E7D0-E367-4BD3-9EBF-43B7E68B8E7F}"/>
    <hyperlink ref="C86" r:id="rId82" xr:uid="{1D12FDB9-23D2-44AB-A51B-AEF927D8E356}"/>
    <hyperlink ref="B87" r:id="rId83" xr:uid="{64BD5F1E-A639-4021-A985-C8D059BC465F}"/>
    <hyperlink ref="B89" r:id="rId84" xr:uid="{35A20963-D2B7-4225-B6B3-921729398261}"/>
    <hyperlink ref="B91" r:id="rId85" xr:uid="{E902D204-8105-4A0E-9D44-42CB47673F21}"/>
    <hyperlink ref="B93" r:id="rId86" xr:uid="{E3DB1FC2-0331-4923-8B34-47D17E11B215}"/>
    <hyperlink ref="B94" r:id="rId87" xr:uid="{FFD5AC0E-BC44-43AF-8508-4EE8B34DDC8C}"/>
    <hyperlink ref="B95" r:id="rId88" xr:uid="{5ED54D40-9BBB-436B-9B18-AF6F1AD4A0D9}"/>
    <hyperlink ref="B96" r:id="rId89" xr:uid="{58064391-B857-4B97-A3A5-0F56FE1E4D14}"/>
    <hyperlink ref="B97" r:id="rId90" xr:uid="{3D115CC6-F521-408F-8F6C-F8682830AC62}"/>
    <hyperlink ref="C97" r:id="rId91" xr:uid="{3B341AE5-C30B-43B2-99DE-DE407FF271FA}"/>
    <hyperlink ref="B98" r:id="rId92" xr:uid="{697D0F30-1B3E-4FDD-806F-EF9EEEEFF17F}"/>
    <hyperlink ref="B99" r:id="rId93" xr:uid="{ED83C627-CB8C-4EB6-A7A0-527663B63DDE}"/>
    <hyperlink ref="B100" r:id="rId94" xr:uid="{9BEBA9AA-5046-42B9-AABC-71FF5CAC26F8}"/>
    <hyperlink ref="B101" r:id="rId95" xr:uid="{3CAF475C-C685-4BF4-B833-46F9E6CE53B3}"/>
    <hyperlink ref="B102" r:id="rId96" xr:uid="{D9782DE3-4CDF-47F0-955D-BAF77C674FE8}"/>
    <hyperlink ref="B103" r:id="rId97" xr:uid="{4A997952-5356-47AA-BD75-576B67BBAAF7}"/>
    <hyperlink ref="B104" r:id="rId98" xr:uid="{5890B6BF-09DE-4FA4-B0D0-CEF3BF85D017}"/>
    <hyperlink ref="B105" r:id="rId99" xr:uid="{04ECF7C6-2A0C-42BE-A1A3-A1F63ED73CE0}"/>
    <hyperlink ref="B106" r:id="rId100" xr:uid="{895423B8-B112-4F0F-9A81-6925D7D0EB28}"/>
    <hyperlink ref="B107" r:id="rId101" xr:uid="{70781E3D-90A1-4108-BA7C-B00184890911}"/>
    <hyperlink ref="B109" r:id="rId102" xr:uid="{D7D6C9FF-EA12-4183-A8F1-49D1F8295313}"/>
    <hyperlink ref="C109" r:id="rId103" xr:uid="{577C142C-0F37-4302-B40B-ABD198DB63BC}"/>
    <hyperlink ref="B110" r:id="rId104" xr:uid="{805A7D5E-F270-4C36-BE57-12F663B9EFE8}"/>
    <hyperlink ref="B111" r:id="rId105" xr:uid="{00726666-316F-4EE4-9CFF-4C7C963E9BB6}"/>
    <hyperlink ref="B112" r:id="rId106" xr:uid="{CDC9C934-A977-49B5-9333-9E6966C557CC}"/>
    <hyperlink ref="B113" r:id="rId107" xr:uid="{B6C6D626-727A-4134-8047-EF52438EBCF8}"/>
    <hyperlink ref="B114" r:id="rId108" xr:uid="{9022F8B4-1E63-4EC0-A407-203BF909BB30}"/>
    <hyperlink ref="B115" r:id="rId109" xr:uid="{0905E8D2-39CD-41B7-836D-9C800C681D91}"/>
    <hyperlink ref="B116" r:id="rId110" xr:uid="{521C36EF-96B9-4604-B98A-DA10A0064C3B}"/>
    <hyperlink ref="B117" r:id="rId111" xr:uid="{0DC7AB26-AC68-463B-9257-09E030FA8558}"/>
    <hyperlink ref="B118" r:id="rId112" xr:uid="{8CF63BEC-ADDA-4D53-AFB8-DFD3757AA48B}"/>
    <hyperlink ref="B119" r:id="rId113" xr:uid="{8B39891F-ECAC-44D3-803E-4595A0A28A25}"/>
    <hyperlink ref="B120" r:id="rId114" xr:uid="{F30AB172-8867-47E7-837C-A6504B718844}"/>
    <hyperlink ref="B122" r:id="rId115" xr:uid="{88F58610-BD63-438A-A62D-0DD8274FB72D}"/>
    <hyperlink ref="B123" r:id="rId116" xr:uid="{D673E943-69EE-4588-928B-2E7F76C4D4C5}"/>
    <hyperlink ref="B124" r:id="rId117" xr:uid="{EB6B0A69-D811-4040-B11C-528EB49F1BEB}"/>
    <hyperlink ref="B126" r:id="rId118" xr:uid="{FE735DF9-B66A-46FD-931C-801C0B18B780}"/>
    <hyperlink ref="B127" r:id="rId119" xr:uid="{2D8463B1-A2D3-4D32-8BDC-645D4A0457FD}"/>
    <hyperlink ref="B128" r:id="rId120" xr:uid="{7464E947-DFF1-4B01-A31E-55FB117086DE}"/>
    <hyperlink ref="B129" r:id="rId121" xr:uid="{C150EE67-75C7-4987-9E9F-7B27DAE324B4}"/>
    <hyperlink ref="B130" r:id="rId122" xr:uid="{354977FA-A894-4465-A343-169C14605B44}"/>
    <hyperlink ref="B131" r:id="rId123" xr:uid="{17F62B09-4739-41C7-AFAE-B341519903EC}"/>
    <hyperlink ref="B132" r:id="rId124" xr:uid="{5F570084-B601-479D-BABC-2C9E613E3515}"/>
    <hyperlink ref="B133" r:id="rId125" xr:uid="{D76DA6CC-FD12-45CD-9578-EB8C3AE0281C}"/>
    <hyperlink ref="B134" r:id="rId126" xr:uid="{D4B18C88-3C0E-4F93-A66C-45953DB09998}"/>
    <hyperlink ref="B135" r:id="rId127" xr:uid="{FE167999-42C8-49DA-A3BC-6DCEBA386383}"/>
    <hyperlink ref="B136" r:id="rId128" xr:uid="{BF78B7FD-61BC-404A-960A-7D93385BA72A}"/>
    <hyperlink ref="B137" r:id="rId129" xr:uid="{9B4CD7B0-E739-4CFA-A004-BD60DD9871D8}"/>
    <hyperlink ref="B138" r:id="rId130" xr:uid="{A8207797-7F56-4004-AFA0-5B5CDA94C166}"/>
    <hyperlink ref="B139" r:id="rId131" xr:uid="{E9834E84-AAAD-43F8-86C9-8DDAA7F0645C}"/>
    <hyperlink ref="B140" r:id="rId132" xr:uid="{4D1FE556-9ED1-4DF8-9846-EAC023506BC1}"/>
    <hyperlink ref="B142" r:id="rId133" xr:uid="{79CE7168-3D11-4ED4-92C7-6AC41960E078}"/>
    <hyperlink ref="B143" r:id="rId134" xr:uid="{CD6BE7DF-16B3-4829-AB7C-0473BDFFA1D4}"/>
    <hyperlink ref="B144" r:id="rId135" xr:uid="{31788DAF-BA2D-4C5B-B698-A6EE6C93B996}"/>
    <hyperlink ref="B146" r:id="rId136" xr:uid="{FB0CE7D4-59B7-464D-9EA4-BA23B457489C}"/>
    <hyperlink ref="B147" r:id="rId137" xr:uid="{ABBE70E8-AC85-4632-820C-6979624782FC}"/>
    <hyperlink ref="B148" r:id="rId138" xr:uid="{AFF61119-150B-4F97-8969-264B6B61317D}"/>
    <hyperlink ref="B149" r:id="rId139" xr:uid="{63577C26-CF59-4C36-891D-F8A11C418188}"/>
    <hyperlink ref="B150" r:id="rId140" xr:uid="{8F4EC04E-B0A8-4488-9598-09D52280FB40}"/>
    <hyperlink ref="B151" r:id="rId141" xr:uid="{20DCEBEA-EBF5-4463-8640-58A607269E9B}"/>
    <hyperlink ref="B152" r:id="rId142" xr:uid="{B31C2B7D-C33A-41BB-AF03-7A76AEDD20AE}"/>
    <hyperlink ref="B153" r:id="rId143" xr:uid="{5D7A4F69-93AE-45DD-88A9-745982E7FA4E}"/>
    <hyperlink ref="B154" r:id="rId144" xr:uid="{7FE194B3-37C7-4BEE-97C4-CDF1180241B7}"/>
    <hyperlink ref="B155" r:id="rId145" xr:uid="{906C395C-52AF-4EC3-88EB-A23DDFB21B76}"/>
    <hyperlink ref="B156" r:id="rId146" xr:uid="{9445F806-ABEF-43E2-B82B-F47F39C9066F}"/>
    <hyperlink ref="B157" r:id="rId147" xr:uid="{0212A714-A201-4CFF-83A7-E329543DB0F9}"/>
    <hyperlink ref="B158" r:id="rId148" xr:uid="{471518EB-31C8-4BF1-8001-3BD4FC5705B0}"/>
    <hyperlink ref="B159" r:id="rId149" xr:uid="{6EB6B4B4-49F9-4419-A2DD-84BA6FE4F3C8}"/>
    <hyperlink ref="B160" r:id="rId150" xr:uid="{495F77BD-E152-4B6C-AB0A-0818696C88C2}"/>
    <hyperlink ref="B161" r:id="rId151" xr:uid="{E6BF9105-83AE-4096-9675-7902188A54DC}"/>
    <hyperlink ref="B162" r:id="rId152" xr:uid="{D232DAB7-0230-4CC9-BB2B-BDC8E064D2B7}"/>
    <hyperlink ref="B163" r:id="rId153" xr:uid="{D9CD6DC4-D2D4-4276-BB9C-31B532397489}"/>
    <hyperlink ref="B164" r:id="rId154" xr:uid="{008CA87A-2386-42E9-80B2-677B1F19E6AE}"/>
    <hyperlink ref="B165" r:id="rId155" xr:uid="{7FFB1A6E-6D85-4BDA-8A2F-E1C922E0E0D9}"/>
    <hyperlink ref="B166" r:id="rId156" xr:uid="{23430461-A15A-487E-994A-459402236C0C}"/>
    <hyperlink ref="B167" r:id="rId157" display="iQ700 Gazlı Ocak, 90cm, 5 Gözlü, Sert Cam, Siyah, Döküm, Wok" xr:uid="{4AA9D849-9643-486F-B251-F3F2106751F3}"/>
    <hyperlink ref="C167" r:id="rId158" xr:uid="{36411B63-0FA4-4AF4-97CA-628F80CC2F7F}"/>
    <hyperlink ref="B169" r:id="rId159" xr:uid="{472E3FEF-43B6-470C-9AB9-60D27830E9EC}"/>
    <hyperlink ref="B170" r:id="rId160" xr:uid="{B2F2E4CB-CB14-4E28-AAF7-76C678F8BB5D}"/>
    <hyperlink ref="B171" r:id="rId161" xr:uid="{A56BDD05-2FDD-4DD7-8090-5518901E07FA}"/>
    <hyperlink ref="B172" r:id="rId162" xr:uid="{1BF9E541-366A-492F-A5B9-D953706D8E15}"/>
    <hyperlink ref="B173" r:id="rId163" xr:uid="{647A5C24-1EC8-48D0-AA4C-8F845E627D3E}"/>
    <hyperlink ref="B174" r:id="rId164" xr:uid="{6B0CE255-7F90-492C-A036-9BAB8CF6F743}"/>
    <hyperlink ref="B175" r:id="rId165" xr:uid="{011C6211-9FF0-406D-81AD-3B756905753F}"/>
    <hyperlink ref="C175" r:id="rId166" xr:uid="{646BF564-333B-4999-A802-9F6CE8E0D162}"/>
    <hyperlink ref="B176" r:id="rId167" xr:uid="{62E0D226-44FA-4486-A3EC-758B9EAB9201}"/>
    <hyperlink ref="B177" r:id="rId168" xr:uid="{3CCB1A67-F3AB-473F-8265-F00C0A20A491}"/>
    <hyperlink ref="B178" r:id="rId169" xr:uid="{5B788086-9277-4508-B959-01EB840752A1}"/>
    <hyperlink ref="B179" r:id="rId170" xr:uid="{4309E4EF-D488-4BFA-BEDC-36DF4B26B8C7}"/>
    <hyperlink ref="B180" r:id="rId171" xr:uid="{9FE7FF71-41C6-45DD-8ABC-E044CD064D36}"/>
    <hyperlink ref="B181" r:id="rId172" xr:uid="{1B4D3AAF-99FF-4EFF-AA1D-43ACA46DF9B2}"/>
    <hyperlink ref="B182" r:id="rId173" xr:uid="{81BED124-DE6A-4192-974B-093CE3BA7481}"/>
    <hyperlink ref="B183" r:id="rId174" xr:uid="{DF39CB51-6CC2-46E1-BF5A-50AA7532099E}"/>
    <hyperlink ref="B185" r:id="rId175" xr:uid="{89F99DBC-84A6-41EB-81F4-213622B3FA70}"/>
    <hyperlink ref="B186" r:id="rId176" xr:uid="{0E08F81B-6381-405D-9A68-354FD0AE83B1}"/>
    <hyperlink ref="B187" r:id="rId177" xr:uid="{F7AF6E0A-BE3F-46EB-B0FD-219A5DC2D3E4}"/>
    <hyperlink ref="B188" r:id="rId178" xr:uid="{8A98FDE1-1B36-4862-A443-3904ACC78C92}"/>
    <hyperlink ref="B189" r:id="rId179" xr:uid="{84D7E207-7017-4EF6-AA44-8C54619B182C}"/>
    <hyperlink ref="B190" r:id="rId180" xr:uid="{2ADAEE3E-395B-4A8E-9ED7-DC9EB9922A6A}"/>
    <hyperlink ref="B191" r:id="rId181" xr:uid="{6F4D6F62-F8E0-4AF1-A90F-3FF9EA5DA514}"/>
    <hyperlink ref="B192" r:id="rId182" xr:uid="{594F30EE-39A8-4D3C-B417-A2D90754A2DB}"/>
    <hyperlink ref="B193" r:id="rId183" xr:uid="{BD1F8AF0-8A2D-47E1-AAD8-7994AF567E27}"/>
    <hyperlink ref="B194" r:id="rId184" xr:uid="{EF91311C-1318-44C2-AFFF-BFCE8A1B2352}"/>
    <hyperlink ref="B195" r:id="rId185" xr:uid="{4D030032-7CD7-4D9D-BECB-2B1D35AF6D1C}"/>
    <hyperlink ref="B196" r:id="rId186" xr:uid="{3985CA97-2D3B-4439-AA82-2C8DF83BC755}"/>
    <hyperlink ref="B197" r:id="rId187" xr:uid="{41FE7AFC-A17F-4DDE-87A8-D1ACCC8276FF}"/>
    <hyperlink ref="B198" r:id="rId188" xr:uid="{44B936C7-05F0-43AD-95E5-14E89DD05FCA}"/>
    <hyperlink ref="B199" r:id="rId189" xr:uid="{441ABEE9-EF14-4C2B-B1FB-2A8BEDD7798D}"/>
    <hyperlink ref="B200" r:id="rId190" xr:uid="{E072B4A2-B67B-4518-8D37-5C4EB9BE72D0}"/>
    <hyperlink ref="B201" r:id="rId191" xr:uid="{ACB5FD8D-06F6-4AE5-A33C-6C484DFB8A5E}"/>
    <hyperlink ref="B202" r:id="rId192" xr:uid="{546561B6-09F0-4408-8D87-64CB7F5B8C63}"/>
    <hyperlink ref="B203" r:id="rId193" xr:uid="{028A639D-48A8-47B7-8707-E9A33A93AFB9}"/>
    <hyperlink ref="B204" r:id="rId194" xr:uid="{5F27A794-CBB8-4EC7-8A19-FF6E7FBDABBB}"/>
    <hyperlink ref="B205" r:id="rId195" xr:uid="{03554550-99C1-4A41-858C-3FDB6139C485}"/>
    <hyperlink ref="B206" r:id="rId196" xr:uid="{D498684D-9AB0-4D0F-8CA1-13539EACEB5C}"/>
    <hyperlink ref="B207" r:id="rId197" xr:uid="{FD512FC4-ED6A-4552-98C1-2CA20E98DA9D}"/>
    <hyperlink ref="B209" r:id="rId198" xr:uid="{8EDB1484-C276-4A03-86EF-00AC5A53CAF0}"/>
    <hyperlink ref="B210" r:id="rId199" xr:uid="{AED2DC80-FC6D-4663-9F64-529A6106BD56}"/>
    <hyperlink ref="B211" r:id="rId200" xr:uid="{A11E8782-DBB6-431E-98CC-0A614090802E}"/>
    <hyperlink ref="B212" r:id="rId201" xr:uid="{CA433E9C-24F2-48C5-A177-65FD96D71EA4}"/>
    <hyperlink ref="B213" r:id="rId202" xr:uid="{C30A0A79-8B51-4FB8-AE56-2507493694B1}"/>
    <hyperlink ref="B214" r:id="rId203" xr:uid="{07359A46-2525-4EFB-9AAE-B67C29D72CF9}"/>
    <hyperlink ref="B216" r:id="rId204" xr:uid="{170F637B-F126-40D4-ACAB-00B830B42BB5}"/>
    <hyperlink ref="B217" r:id="rId205" xr:uid="{1C5D0970-DF71-4C64-B0F0-A942F3B4E9E2}"/>
    <hyperlink ref="B218" r:id="rId206" xr:uid="{7D9C7AE5-99E0-4F4F-85F8-2C81C937EA0A}"/>
    <hyperlink ref="B219" r:id="rId207" xr:uid="{1B336BB0-4C7E-4DD7-B0F8-3A1DB83B6C05}"/>
    <hyperlink ref="B220" r:id="rId208" xr:uid="{D3509160-07D2-44FF-B0E6-C23A86068F94}"/>
    <hyperlink ref="B221" r:id="rId209" xr:uid="{30137CEC-473B-4914-B7E3-F733EE83405E}"/>
    <hyperlink ref="B222" r:id="rId210" xr:uid="{17A693A2-E640-4786-AC41-80287C94FEF9}"/>
    <hyperlink ref="C222" r:id="rId211" xr:uid="{B64CFF94-379A-4BE1-9686-2252B89B7D06}"/>
    <hyperlink ref="B223" r:id="rId212" xr:uid="{2D621B3A-0F6D-4A39-8A54-0734A74884B2}"/>
    <hyperlink ref="C223" r:id="rId213" xr:uid="{49D7149C-9327-4E4C-AF2F-86866AFFFDEE}"/>
    <hyperlink ref="B224" r:id="rId214" xr:uid="{F6DC9645-85C2-4AC2-B637-4B2612B0282A}"/>
    <hyperlink ref="B225" r:id="rId215" xr:uid="{A5CB4559-43AA-43DD-85C6-85AC73F9D9F4}"/>
    <hyperlink ref="B226" r:id="rId216" xr:uid="{8CA45830-5AEA-47F2-939C-38211BB61483}"/>
    <hyperlink ref="B227" r:id="rId217" xr:uid="{C6FD6D8B-1172-4E7C-86A0-DCDFA2118725}"/>
    <hyperlink ref="B228" r:id="rId218" xr:uid="{E94146DA-8774-4736-83F0-CE8657FDB7E0}"/>
    <hyperlink ref="B229" r:id="rId219" xr:uid="{3E2E5DAF-C046-44CE-98DB-4E599FA37D5F}"/>
    <hyperlink ref="B230" r:id="rId220" xr:uid="{7C9A9DFF-454E-4BC0-92BF-7041E2E400AE}"/>
    <hyperlink ref="B232" r:id="rId221" xr:uid="{6534AA03-AF00-4684-9CE6-72C54D6EC811}"/>
    <hyperlink ref="B233" r:id="rId222" xr:uid="{E66F7EAF-E468-48F0-9F3E-86CFF0B50E9F}"/>
    <hyperlink ref="B234" r:id="rId223" xr:uid="{D42F1282-DD2C-40EE-895B-64D2010374F5}"/>
    <hyperlink ref="B235" r:id="rId224" xr:uid="{26606BAD-AD03-4B60-BF26-9C7A5A143BF8}"/>
    <hyperlink ref="B236" r:id="rId225" xr:uid="{4E0E1208-D196-4AE3-B026-FB6EC482CE39}"/>
    <hyperlink ref="B237" r:id="rId226" xr:uid="{7910EC90-81A5-4BA9-80C0-F9C26E00AFCB}"/>
    <hyperlink ref="B238" r:id="rId227" xr:uid="{F10BA79C-43F7-41F6-A662-C733A0A54558}"/>
    <hyperlink ref="B239" r:id="rId228" xr:uid="{1E862A2C-AA7C-4E7E-ADCE-12128CDED02B}"/>
    <hyperlink ref="B241" r:id="rId229" xr:uid="{A9F3F86D-8DF7-4FE9-8B81-054377A67B0A}"/>
    <hyperlink ref="B242" r:id="rId230" xr:uid="{3B587223-71DF-4D09-8738-0C695AE23C35}"/>
    <hyperlink ref="C242" r:id="rId231" xr:uid="{3DF7B6BC-FFA2-4278-A1AA-C367475AA453}"/>
    <hyperlink ref="B243" r:id="rId232" xr:uid="{6888E41A-BCB2-4EEC-96C7-E740B4957D26}"/>
    <hyperlink ref="B244" r:id="rId233" xr:uid="{9C66C1A2-20D2-49DA-BF92-B90AC3051A9B}"/>
    <hyperlink ref="B245" r:id="rId234" xr:uid="{39A0D890-81FD-4161-AE57-6D6735DE64F8}"/>
    <hyperlink ref="B246" r:id="rId235" xr:uid="{072B7B03-B7EE-449A-A1F0-ECF2C54E4B9F}"/>
    <hyperlink ref="B247" r:id="rId236" xr:uid="{61DB4776-A703-4B58-BE7F-87DE5B611BE2}"/>
    <hyperlink ref="B248" r:id="rId237" xr:uid="{90A2766E-359C-401C-AD24-889D73E722B5}"/>
    <hyperlink ref="B249" r:id="rId238" xr:uid="{DB3775A7-358E-4654-BF29-897936E605BF}"/>
    <hyperlink ref="B250" r:id="rId239" xr:uid="{59FA6166-AF00-4AAB-BCA2-717B51B3EF1D}"/>
    <hyperlink ref="B251" r:id="rId240" xr:uid="{1DCCDE90-62DA-46CF-B06E-4B63EC25DA33}"/>
    <hyperlink ref="B252" r:id="rId241" xr:uid="{8E257E98-457C-4240-987E-83EF263476A9}"/>
    <hyperlink ref="B253" r:id="rId242" xr:uid="{DD525E79-5DD5-4DDE-BA6D-F305551E723F}"/>
    <hyperlink ref="B254" r:id="rId243" xr:uid="{29D4CAF8-26BD-45DF-A1EF-69C8F4422B88}"/>
    <hyperlink ref="C254" r:id="rId244" xr:uid="{F89693F0-7A50-4750-B119-4050FEC2915D}"/>
    <hyperlink ref="B255" r:id="rId245" xr:uid="{8F85634D-6A88-4DA3-893F-D15709BF0443}"/>
    <hyperlink ref="B256" r:id="rId246" xr:uid="{131DD0A7-6FFB-4AE5-BD37-9E2ADFD01CC0}"/>
    <hyperlink ref="B257" r:id="rId247" xr:uid="{40DFF761-E649-428C-878B-145AA4F8089A}"/>
    <hyperlink ref="B258" r:id="rId248" xr:uid="{D3A97CF5-F63A-448C-B0EA-D6E69E65EF3B}"/>
    <hyperlink ref="B259" r:id="rId249" xr:uid="{76E1D8F9-D95A-4393-B2B7-86A289D9A93F}"/>
    <hyperlink ref="B260" r:id="rId250" xr:uid="{BFECDA9E-A8C1-4C1A-BFF8-D5C3D69EE3A8}"/>
    <hyperlink ref="B261" r:id="rId251" xr:uid="{961CB855-4B9D-43C9-A053-77D83E82FC07}"/>
    <hyperlink ref="B262" r:id="rId252" xr:uid="{CAAD8CC4-10F7-4EAF-8F63-83A171C535EB}"/>
    <hyperlink ref="B263" r:id="rId253" xr:uid="{90F6BA16-8383-4D1F-9FCE-709137476F9D}"/>
    <hyperlink ref="B264" r:id="rId254" xr:uid="{73E7A909-F8CC-408B-B5EF-C7C9361D6632}"/>
    <hyperlink ref="B266" r:id="rId255" xr:uid="{29B10D2B-3D9C-470D-BBA7-74461F996651}"/>
    <hyperlink ref="B267" r:id="rId256" xr:uid="{E60A1939-1FE4-4F38-BECE-941CF3255A67}"/>
    <hyperlink ref="B268" r:id="rId257" xr:uid="{0DA55C36-8828-43BE-92A5-DA5FD8F82F20}"/>
    <hyperlink ref="B269" r:id="rId258" xr:uid="{A59CBC72-3988-4183-911E-9D1FC3057C9B}"/>
    <hyperlink ref="B270" r:id="rId259" xr:uid="{55BE11D6-CABC-499C-9654-66E3CD91653F}"/>
    <hyperlink ref="B271" r:id="rId260" xr:uid="{137B1C26-5DBD-4034-BE6A-3B508852A0AA}"/>
    <hyperlink ref="B272" r:id="rId261" xr:uid="{B20B0A3D-DD92-4862-8D0D-9FE103C1A8AA}"/>
    <hyperlink ref="B273" r:id="rId262" xr:uid="{612605B2-66AF-4B83-81F6-D886AA659EE4}"/>
    <hyperlink ref="B274" r:id="rId263" xr:uid="{F601E229-B710-4B55-B6D1-42A495C25622}"/>
    <hyperlink ref="B276" r:id="rId264" xr:uid="{C5259563-D201-429B-9E3C-06DF2ED9A981}"/>
    <hyperlink ref="B277" r:id="rId265" xr:uid="{C34C009C-5817-453D-A67E-E0F67438048C}"/>
    <hyperlink ref="B278" r:id="rId266" xr:uid="{51A450DE-CADC-4A53-90C6-C9E1AD005CF4}"/>
    <hyperlink ref="B279" r:id="rId267" xr:uid="{F5C10BC5-209B-4281-91B4-154364FF8C32}"/>
    <hyperlink ref="B280" r:id="rId268" xr:uid="{0B01830A-D572-4DED-B86D-653E9B16CABE}"/>
    <hyperlink ref="B281" r:id="rId269" xr:uid="{3D9CF224-FF97-4BC6-A61B-C3FA9E293A38}"/>
    <hyperlink ref="B283" r:id="rId270" xr:uid="{BBD9E51D-14EF-4946-BF19-E10A1EFD7271}"/>
    <hyperlink ref="B284" r:id="rId271" xr:uid="{43164E0F-F9AD-4C23-9999-315A1F369B31}"/>
    <hyperlink ref="B285" r:id="rId272" xr:uid="{5991EC81-24C5-4B66-9D4A-18B4AB4098BA}"/>
    <hyperlink ref="B286" r:id="rId273" xr:uid="{306068C4-FF4B-4050-9D76-FA8D2C91A4F7}"/>
    <hyperlink ref="B287" r:id="rId274" xr:uid="{E1372446-8196-49A8-B8A8-A3D752475CDA}"/>
    <hyperlink ref="B288" r:id="rId275" xr:uid="{B8378E8A-B574-42E6-8199-89A6B1B64EBF}"/>
    <hyperlink ref="B289" r:id="rId276" xr:uid="{070F2A82-F08B-4A79-A0A6-582C8E2C54BF}"/>
    <hyperlink ref="B290" r:id="rId277" xr:uid="{CEB367FD-802B-4B54-9FBD-6DCFB2FC699A}"/>
    <hyperlink ref="B291" r:id="rId278" xr:uid="{BD016C09-F121-47AF-AACA-51391260038C}"/>
    <hyperlink ref="B292" r:id="rId279" xr:uid="{9C550311-A427-4818-910E-6737440CC95F}"/>
    <hyperlink ref="B293" r:id="rId280" xr:uid="{0DD20698-8324-47AD-94B3-FD451A5892DE}"/>
    <hyperlink ref="B294" r:id="rId281" xr:uid="{632EF42D-6EDF-4CF1-9642-075D424AC10A}"/>
    <hyperlink ref="B295" r:id="rId282" xr:uid="{62BF3587-E6ED-4266-8F3D-2675DBC64774}"/>
    <hyperlink ref="B296" r:id="rId283" xr:uid="{FE636498-8F05-48C1-BC69-F74601F06FEC}"/>
    <hyperlink ref="B298" r:id="rId284" xr:uid="{DA3AE4AA-7764-49DF-8241-B68D0D647D54}"/>
    <hyperlink ref="B299" r:id="rId285" xr:uid="{4B829865-7E21-478E-8F1B-F541BC24F72C}"/>
    <hyperlink ref="B300" r:id="rId286" xr:uid="{A9D92525-4C31-466E-A2F5-C1CB885FE1B6}"/>
    <hyperlink ref="B301" r:id="rId287" xr:uid="{4DCD35AD-9A2F-495C-A2FA-44F410EC7A5E}"/>
    <hyperlink ref="B302" r:id="rId288" xr:uid="{60D38EA5-17C6-4FFC-9DE8-6A4F610DEB90}"/>
    <hyperlink ref="B303" r:id="rId289" xr:uid="{4036B1E8-D852-4B20-8D3C-459BC326BF8B}"/>
    <hyperlink ref="B304" r:id="rId290" xr:uid="{37C056F8-2F15-4BA2-8A4B-BCD09282E10E}"/>
    <hyperlink ref="B305" r:id="rId291" xr:uid="{0B234B78-70F5-4529-9859-4FAA201C4DB1}"/>
    <hyperlink ref="B306" r:id="rId292" xr:uid="{721B2983-E607-4DAC-85A4-F258B7ACED67}"/>
    <hyperlink ref="B308" r:id="rId293" xr:uid="{1ACAD16C-FC33-4C6B-BD9B-B9533E54C508}"/>
    <hyperlink ref="B310" r:id="rId294" xr:uid="{0AEFFB69-67FD-4E9A-A3AD-E41F9AA8683A}"/>
    <hyperlink ref="B311" r:id="rId295" xr:uid="{B33CC5FC-EA83-469E-9888-F832BC789BDF}"/>
    <hyperlink ref="B312" r:id="rId296" xr:uid="{9D14C308-05BA-4080-98E0-7F52FF5B373D}"/>
    <hyperlink ref="B315" r:id="rId297" xr:uid="{FB0A77A2-4BE5-484B-B29F-BE460B27C588}"/>
    <hyperlink ref="B309" r:id="rId298" xr:uid="{D8F05A39-15C8-42E5-B203-A956E379BEF6}"/>
    <hyperlink ref="C309" r:id="rId299" xr:uid="{10875E25-2C18-4754-820D-8CC5AD01D03E}"/>
    <hyperlink ref="B314" r:id="rId300" xr:uid="{4F67216D-1A23-4229-94EB-F22A56BFAEE5}"/>
    <hyperlink ref="C314" r:id="rId301" xr:uid="{4578698A-6224-4A81-8E8E-83F788228824}"/>
    <hyperlink ref="B313" r:id="rId302" xr:uid="{922CEF24-AF4A-4E43-9664-6C9702A1BB91}"/>
    <hyperlink ref="B316" r:id="rId303" xr:uid="{7170E1D7-B490-433C-B5BF-E7399CFDF8B2}"/>
    <hyperlink ref="B317" r:id="rId304" xr:uid="{EA908B43-728E-4868-9A0C-305325FBF649}"/>
    <hyperlink ref="B318" r:id="rId305" xr:uid="{15E3F000-6B2E-43D4-993F-55CFE650DFB1}"/>
    <hyperlink ref="B319" r:id="rId306" xr:uid="{A953387F-34D9-483C-8F50-2FCA9E18D447}"/>
    <hyperlink ref="B320" r:id="rId307" xr:uid="{8B3B625A-208A-4C79-A162-264422ACAB67}"/>
    <hyperlink ref="B321" r:id="rId308" xr:uid="{34BAABD8-47A7-4086-865E-DB0DDB49C33A}"/>
    <hyperlink ref="B322" r:id="rId309" xr:uid="{1D9AD0B7-190E-4486-8107-564AF09F998F}"/>
    <hyperlink ref="B323" r:id="rId310" xr:uid="{3F9DFB5B-38A0-4BF9-BA1E-2C45EC0B673A}"/>
    <hyperlink ref="B324" r:id="rId311" xr:uid="{3EB5BADB-27F0-47DD-8ACF-73F34BAD49BE}"/>
    <hyperlink ref="B326" r:id="rId312" xr:uid="{20D8CB48-9825-478E-8A78-81C824E87608}"/>
    <hyperlink ref="B327" r:id="rId313" xr:uid="{3D4B736A-C8B8-44D2-AF19-184CF92916D3}"/>
    <hyperlink ref="B328" r:id="rId314" xr:uid="{D18E0564-2E9D-4FAE-87BA-B3C2B5A4E6F0}"/>
    <hyperlink ref="B329" r:id="rId315" xr:uid="{649BFF36-62D1-42D1-91BD-79A825CD55A4}"/>
    <hyperlink ref="B330" r:id="rId316" xr:uid="{F070A9B1-A3F8-442C-BC57-0B9683BEE7A2}"/>
    <hyperlink ref="B331" r:id="rId317" xr:uid="{FFAF5B46-B3EC-495C-8352-C3B19A26657E}"/>
    <hyperlink ref="B332" r:id="rId318" xr:uid="{FDF1D3F6-4CAF-41F2-B18A-3D480FF6C24E}"/>
    <hyperlink ref="B333" r:id="rId319" xr:uid="{532FC597-0453-49C4-869F-B4915118A6A1}"/>
    <hyperlink ref="B335" r:id="rId320" xr:uid="{9F8C025B-1430-474D-99F4-601202DC410D}"/>
    <hyperlink ref="B336" r:id="rId321" xr:uid="{001F128F-C318-4417-BB5E-1DA5D0FA2D1D}"/>
    <hyperlink ref="B337" r:id="rId322" xr:uid="{51C9E818-3F29-4D5C-8994-3C5AEB7EFCBD}"/>
    <hyperlink ref="B338" r:id="rId323" xr:uid="{5998EECB-063C-4287-A8A3-016FD8EFDAE8}"/>
    <hyperlink ref="B339" r:id="rId324" xr:uid="{A4E32713-FFE9-4F0B-A73E-F0CA4A19C3EC}"/>
    <hyperlink ref="B341" r:id="rId325" xr:uid="{3039F58F-FB5B-4E8C-8B95-93683971CD92}"/>
    <hyperlink ref="B344" r:id="rId326" xr:uid="{298A640C-5C32-479D-9C4C-ED97CD169F4E}"/>
    <hyperlink ref="C344" r:id="rId327" xr:uid="{707FF1E4-0E47-4B32-AAC2-5B5D5DACCB3D}"/>
    <hyperlink ref="B345" r:id="rId328" xr:uid="{335BDB49-89DC-470A-AC09-F6CCE2AF1D4F}"/>
    <hyperlink ref="B347" r:id="rId329" xr:uid="{F634B041-EB31-4F52-B200-BEBFF988F124}"/>
    <hyperlink ref="B348" r:id="rId330" xr:uid="{6BE12C10-117E-4FA5-9C5E-EAC429848CC1}"/>
    <hyperlink ref="B349" r:id="rId331" xr:uid="{94A6051B-C018-4C8D-A1C3-0C2D2F22C0BD}"/>
    <hyperlink ref="B350" r:id="rId332" xr:uid="{66907108-EF96-4819-B301-E878305BBF2C}"/>
    <hyperlink ref="B351" r:id="rId333" xr:uid="{C11DBDBA-846C-4259-A014-0371D2DB538D}"/>
    <hyperlink ref="B352" r:id="rId334" xr:uid="{14F3AAEB-FD00-4F23-81D9-CBEF5A6E289F}"/>
    <hyperlink ref="B353" r:id="rId335" xr:uid="{73DEFF0F-8EC2-42C5-A07C-99EF930A0158}"/>
    <hyperlink ref="B354" r:id="rId336" xr:uid="{228EB7A6-A426-4157-873C-F69E46FA8C03}"/>
    <hyperlink ref="B355" r:id="rId337" xr:uid="{AA48651E-151A-4CC7-8909-CEFAA8A7FA8E}"/>
    <hyperlink ref="B356" r:id="rId338" xr:uid="{04920705-FA4C-44F0-A2D5-0E2E59A1ADB5}"/>
    <hyperlink ref="B357" r:id="rId339" xr:uid="{E2959EF6-E8E2-4829-82C7-DEB0A63597B0}"/>
    <hyperlink ref="B358" r:id="rId340" xr:uid="{022F0408-48CA-4FA5-BD4E-F3955F89521B}"/>
    <hyperlink ref="B359" r:id="rId341" xr:uid="{BE90C756-444D-4A23-9290-E69CDF0451A5}"/>
    <hyperlink ref="B360" r:id="rId342" xr:uid="{AB1F2779-E13A-4EB0-973A-DBAB0381A0BD}"/>
    <hyperlink ref="B362" r:id="rId343" xr:uid="{7E7EE528-B61E-417D-AB99-7A6F73375CFA}"/>
    <hyperlink ref="B365" r:id="rId344" xr:uid="{3875F6A2-F2CF-4E30-A54F-C4B704C6637D}"/>
    <hyperlink ref="B366" r:id="rId345" xr:uid="{8DAF6BC1-8A32-4489-B05D-44C6B3B208AA}"/>
    <hyperlink ref="B367" r:id="rId346" xr:uid="{85228145-6A68-4685-942A-A03A784F3010}"/>
    <hyperlink ref="B369" r:id="rId347" xr:uid="{CCC6F9A8-7974-4006-9916-8B98547FD33B}"/>
    <hyperlink ref="B370" r:id="rId348" xr:uid="{AD2946C6-6784-45BD-817B-2FB0AE0C36EE}"/>
    <hyperlink ref="B371" r:id="rId349" xr:uid="{8A701490-BF17-432C-8C3E-6F6CC175075D}"/>
    <hyperlink ref="B373" r:id="rId350" xr:uid="{58C0FD30-467D-46DA-9AF4-84E61F1268B5}"/>
    <hyperlink ref="B374" r:id="rId351" xr:uid="{812710F9-D71B-44F4-B86D-34C03711B437}"/>
    <hyperlink ref="B375" r:id="rId352" xr:uid="{6D15ADCB-F04D-4AC3-967A-DA0E3C77766A}"/>
    <hyperlink ref="B377" r:id="rId353" xr:uid="{5367F382-4F1E-4379-9CBA-83B9F8B66C8A}"/>
    <hyperlink ref="B378" r:id="rId354" xr:uid="{D925CE67-7878-41FC-BCEB-BDA6224F8974}"/>
    <hyperlink ref="B379" r:id="rId355" xr:uid="{106A2A6C-0D61-4A99-87B5-3F880B6C3D3E}"/>
    <hyperlink ref="B380" r:id="rId356" xr:uid="{9F6A1D20-466D-470A-B64D-2B51822AE916}"/>
    <hyperlink ref="B381" r:id="rId357" xr:uid="{21621815-036A-4EAC-80C8-41FE398AE3B0}"/>
    <hyperlink ref="B382" r:id="rId358" xr:uid="{FD315587-5B11-4273-AF87-A3FAED710003}"/>
    <hyperlink ref="B383" r:id="rId359" xr:uid="{877D3FAF-B17B-4A5B-9BDA-51B49B6477DF}"/>
    <hyperlink ref="B384" r:id="rId360" xr:uid="{DE6CF740-94C6-474F-A42A-129F6E1BEC8D}"/>
    <hyperlink ref="B385" r:id="rId361" xr:uid="{B526E77C-6DE8-4A02-8130-9C9DA71C1418}"/>
    <hyperlink ref="B386" r:id="rId362" xr:uid="{405D5740-24C3-45A5-A299-D2CC559D65C7}"/>
    <hyperlink ref="B387" r:id="rId363" xr:uid="{B1154D6B-5D52-4081-9CB4-24FBB701CC07}"/>
    <hyperlink ref="B388" r:id="rId364" xr:uid="{2988FEB3-4E22-4481-A7C3-AA61C54B6DC7}"/>
    <hyperlink ref="B389" r:id="rId365" xr:uid="{61FD86A3-35F3-4617-810F-B2C137926C1F}"/>
    <hyperlink ref="B390" r:id="rId366" xr:uid="{CCEE57B0-AAFA-4187-8538-018F72D5C681}"/>
    <hyperlink ref="B391" r:id="rId367" xr:uid="{30918BA0-86DC-44DC-8C08-1521C28765A7}"/>
    <hyperlink ref="B392" r:id="rId368" xr:uid="{0BF0E08D-6A98-4FB7-890E-F2851D5C8F1A}"/>
    <hyperlink ref="B393" r:id="rId369" xr:uid="{DF63245B-F353-4F4F-93CB-F48F7E244C18}"/>
    <hyperlink ref="B394" r:id="rId370" xr:uid="{BA9345F8-2B50-473F-AB41-B7065FA166B4}"/>
    <hyperlink ref="B395" r:id="rId371" xr:uid="{DF561F11-307E-4EB8-B358-9854015BC405}"/>
    <hyperlink ref="B396" r:id="rId372" xr:uid="{69658D0B-4D42-4DFD-9CC0-1193D0EE86BE}"/>
    <hyperlink ref="B397" r:id="rId373" xr:uid="{C15275B6-EDE6-46C3-85F0-041C614A67C3}"/>
    <hyperlink ref="B398" r:id="rId374" xr:uid="{ED1366A9-9BF8-4C3F-B05D-973847AC7A57}"/>
    <hyperlink ref="B399" r:id="rId375" xr:uid="{DA9B721C-B481-4671-A478-A2A33E71A537}"/>
    <hyperlink ref="B400" r:id="rId376" xr:uid="{312DD0D9-0A90-49AB-A0F1-75A70CE2AEE9}"/>
    <hyperlink ref="B401" r:id="rId377" xr:uid="{88FEA166-5DFB-4190-8038-8CC12B6E3398}"/>
    <hyperlink ref="B402" r:id="rId378" xr:uid="{75F968BA-F6C0-4F5D-A78F-22E38E800BB4}"/>
    <hyperlink ref="B403" r:id="rId379" xr:uid="{F24A0165-EA66-42A5-927D-1E047E6578F0}"/>
    <hyperlink ref="B404" r:id="rId380" xr:uid="{B3DC52F8-7E51-46E4-8465-2DB68D7C9A2F}"/>
    <hyperlink ref="B405" r:id="rId381" xr:uid="{BB65DC42-EC37-4A1D-A49B-C2D880A99337}"/>
    <hyperlink ref="B406" r:id="rId382" xr:uid="{E172E026-563D-4A4B-A329-2505E3C5ACD4}"/>
    <hyperlink ref="B407" r:id="rId383" xr:uid="{7D4DA8E5-FF04-42D1-80EE-013D4FFA8A0D}"/>
    <hyperlink ref="B408" r:id="rId384" xr:uid="{38B96B6F-50E7-40A2-8E12-05D086317545}"/>
    <hyperlink ref="B409" r:id="rId385" xr:uid="{AB5A61C7-8B26-4150-8ECA-F75E311B7903}"/>
    <hyperlink ref="B410" r:id="rId386" xr:uid="{AD49ACA3-7FA4-4724-B5F3-65F2A8AC0AFD}"/>
    <hyperlink ref="B414" r:id="rId387" xr:uid="{FC0D1717-0F94-4FE5-9928-939CF122E537}"/>
    <hyperlink ref="B415" r:id="rId388" xr:uid="{1C92DD35-4FFE-4409-AC0A-C055E42E8C9D}"/>
    <hyperlink ref="B416" r:id="rId389" xr:uid="{5EC914A2-F8EB-4BC1-B0A1-0F0DC4D54C55}"/>
    <hyperlink ref="B417" r:id="rId390" xr:uid="{2D6042F1-4006-4B9F-8DB3-3D973AB35AF1}"/>
    <hyperlink ref="B418" r:id="rId391" xr:uid="{864B7C3A-6878-4543-9469-141374F156F6}"/>
    <hyperlink ref="B419" r:id="rId392" xr:uid="{79460173-752A-4A86-B00C-60FD426E060D}"/>
    <hyperlink ref="B420" r:id="rId393" xr:uid="{C3A72AFD-AC39-43AD-8120-936AE7097372}"/>
    <hyperlink ref="B421" r:id="rId394" xr:uid="{ADDD8AFE-AF10-45E6-8A3F-752D24186CCB}"/>
    <hyperlink ref="B422" r:id="rId395" xr:uid="{34039E3C-0BAE-4249-9A9A-32E7BF448BB7}"/>
    <hyperlink ref="B423" r:id="rId396" xr:uid="{30F7BB44-9299-40FB-9C32-D09809F64A4D}"/>
    <hyperlink ref="C423" r:id="rId397" xr:uid="{698135E5-283A-4259-8D31-EBE6FDDDF42C}"/>
    <hyperlink ref="B424" r:id="rId398" xr:uid="{F81A210A-1CDC-4262-9C11-A34C61CFDFD8}"/>
    <hyperlink ref="B425" r:id="rId399" xr:uid="{4A429A5F-9BE4-4847-A82D-1661D95DB45B}"/>
    <hyperlink ref="C425" r:id="rId400" xr:uid="{E2FF6B5F-CF0B-4FBA-AE8C-859487C45C73}"/>
    <hyperlink ref="B426" r:id="rId401" xr:uid="{3B3010B8-DB0C-4925-8FEB-63D111249102}"/>
    <hyperlink ref="C426" r:id="rId402" xr:uid="{9A78D499-1595-4AEF-94BA-A81BB97DF3E7}"/>
    <hyperlink ref="B427" r:id="rId403" xr:uid="{FFBE079E-DA78-47F3-8D86-45F288889842}"/>
    <hyperlink ref="C427" r:id="rId404" xr:uid="{4BB54AC8-BFBE-49D2-BD9F-6EAF4922801E}"/>
    <hyperlink ref="B428" r:id="rId405" xr:uid="{163F561E-5943-43CF-B5EC-79D87C1D6E48}"/>
    <hyperlink ref="B429" r:id="rId406" xr:uid="{15F7945C-319D-4AA4-9726-1847C2C32232}"/>
    <hyperlink ref="B430" r:id="rId407" xr:uid="{8014357D-DDE0-4D5E-821C-D276ABD1AB3E}"/>
    <hyperlink ref="B431" r:id="rId408" xr:uid="{D7E5BDED-49C9-41F1-AE20-460B5142F4F9}"/>
    <hyperlink ref="C431" r:id="rId409" xr:uid="{7BB6AEF8-91BE-4009-8370-539EA8315A3F}"/>
    <hyperlink ref="B432" r:id="rId410" xr:uid="{947C466B-6EF7-4F80-A5FE-5E1106C1D455}"/>
    <hyperlink ref="B433" r:id="rId411" xr:uid="{181F23A7-C5CC-4BC9-9454-6A25860503C9}"/>
    <hyperlink ref="B434" r:id="rId412" xr:uid="{801096F9-66C0-443B-8636-375C1978E6DD}"/>
    <hyperlink ref="B435" r:id="rId413" xr:uid="{D7EF1E69-3C1E-48DE-8FBB-42F831715CA4}"/>
    <hyperlink ref="B436" r:id="rId414" xr:uid="{F59332F4-349D-4B6E-BEBC-ACC3103C80FC}"/>
    <hyperlink ref="B437" r:id="rId415" xr:uid="{699C4E32-310A-43A7-84C0-18EA98642E46}"/>
    <hyperlink ref="B438" r:id="rId416" xr:uid="{6FF4FA66-499F-495D-B0D4-FF6999610729}"/>
    <hyperlink ref="B439" r:id="rId417" xr:uid="{F385C6AA-C77B-4227-8D2C-DF87B2384823}"/>
    <hyperlink ref="B440" r:id="rId418" xr:uid="{D5C4B51C-D323-4E2E-94E7-1DA29EAE2F30}"/>
    <hyperlink ref="B441" r:id="rId419" xr:uid="{2E6EA3E7-3731-4D9F-B7C2-BA49EE39FD98}"/>
    <hyperlink ref="B442" r:id="rId420" xr:uid="{4C4551AF-2B57-440E-A10B-AB8780AC3A06}"/>
    <hyperlink ref="B443" r:id="rId421" xr:uid="{43578AFB-23C5-4A63-9206-9220E0A6D945}"/>
    <hyperlink ref="B444" r:id="rId422" xr:uid="{32D08E33-2FDC-448B-84DB-B5881EEB17E6}"/>
    <hyperlink ref="B445" r:id="rId423" xr:uid="{7188C76D-EB9D-48BC-976C-9F05F34D1F57}"/>
    <hyperlink ref="B446" r:id="rId424" xr:uid="{2BA98598-437D-45F6-B1DA-68B78A0CD9D5}"/>
    <hyperlink ref="B447" r:id="rId425" xr:uid="{6E916941-5361-41CF-B742-AA370A9C0700}"/>
    <hyperlink ref="B448" r:id="rId426" xr:uid="{05078EB7-B932-4707-A881-72342E26F861}"/>
    <hyperlink ref="B449" r:id="rId427" xr:uid="{DD01A796-7D48-4F27-B0BB-BE0F60E0FFFA}"/>
    <hyperlink ref="B451" r:id="rId428" xr:uid="{8CAD9CEB-E398-41DB-8933-AABF73FAE652}"/>
    <hyperlink ref="B452" r:id="rId429" xr:uid="{F0314EF7-1C12-42CF-95C9-92C215FDF163}"/>
    <hyperlink ref="B453" r:id="rId430" xr:uid="{0D4AC931-A7F9-4B9F-8AEF-8D3F88C8B98C}"/>
    <hyperlink ref="B454" r:id="rId431" xr:uid="{86D2C903-F9E2-4627-84D9-6CDD42198F87}"/>
    <hyperlink ref="B455" r:id="rId432" xr:uid="{E936C4DB-97B4-4F19-9B6F-F2EA3080FDB8}"/>
    <hyperlink ref="B457" r:id="rId433" xr:uid="{CE7609E8-BD9B-423C-9FAD-6F73BF03DEC3}"/>
    <hyperlink ref="B458" r:id="rId434" xr:uid="{3ABCD9FA-1EB6-41B2-BB53-40945D63BA50}"/>
    <hyperlink ref="B459" r:id="rId435" xr:uid="{A7695F4E-F505-41E4-99FE-485EE383DE35}"/>
    <hyperlink ref="B460" r:id="rId436" xr:uid="{06880579-2619-4347-96F4-512E9E425918}"/>
    <hyperlink ref="B462" r:id="rId437" xr:uid="{E185D8EE-795D-4DA0-99D9-F0D305D4E3D1}"/>
    <hyperlink ref="B463" r:id="rId438" xr:uid="{8EBF0D73-83D4-4D16-86B1-6289B2AEF473}"/>
    <hyperlink ref="B464" r:id="rId439" xr:uid="{F788152D-0EA2-4638-8743-EE8E733B5F92}"/>
    <hyperlink ref="C464" r:id="rId440" xr:uid="{BF9C57A3-B4CE-488E-BE60-BAF547A312DA}"/>
    <hyperlink ref="B465" r:id="rId441" xr:uid="{C676E4E9-DE6C-4644-82B8-82ACFCC4A6AD}"/>
    <hyperlink ref="C465" r:id="rId442" xr:uid="{BC6AAB7F-58CD-4CDE-8E2D-FFB77B22C9C8}"/>
    <hyperlink ref="B467" r:id="rId443" xr:uid="{E429F715-CE49-4D41-BE50-6EDBAC15E35E}"/>
    <hyperlink ref="B468" r:id="rId444" xr:uid="{7DA7A1E3-6E23-4E83-859C-8C9C75576F07}"/>
    <hyperlink ref="B469" r:id="rId445" xr:uid="{052E5222-C597-46A3-A0D9-99673A85183C}"/>
    <hyperlink ref="B470" r:id="rId446" xr:uid="{B55171D0-9432-4C67-A895-C04274F8DB16}"/>
    <hyperlink ref="B472" r:id="rId447" xr:uid="{91ED00B9-9DD9-483D-A0B2-31DF28B1D706}"/>
    <hyperlink ref="B474" r:id="rId448" xr:uid="{50C140F2-A4CF-43FE-907D-CE32A6F06FD1}"/>
    <hyperlink ref="B475" r:id="rId449" xr:uid="{FDEF96F5-1BCB-486F-A118-0BB791E831D6}"/>
    <hyperlink ref="B476" r:id="rId450" xr:uid="{F8381226-A1B6-40C1-9F09-6B080501C97B}"/>
    <hyperlink ref="B477" r:id="rId451" xr:uid="{0FF28FD0-4EA2-4013-B2ED-72F9D24DD2C6}"/>
    <hyperlink ref="B478" r:id="rId452" xr:uid="{E57C84D7-2063-4FAB-8C2B-DC48AB4C114E}"/>
    <hyperlink ref="B479" r:id="rId453" xr:uid="{5FA5C87E-F430-4F0D-935A-9CD8A4319F85}"/>
    <hyperlink ref="B480" r:id="rId454" xr:uid="{882D6AD0-6790-4876-B03F-307B703F998C}"/>
    <hyperlink ref="B481" r:id="rId455" xr:uid="{43EDCB99-95DC-47B1-AC30-474FA684A2D7}"/>
    <hyperlink ref="B482" r:id="rId456" xr:uid="{E24CC140-CA96-4EA2-893E-5339D71077EA}"/>
    <hyperlink ref="B483" r:id="rId457" xr:uid="{A9B988B2-5E25-451C-9B88-380EC57DC0BF}"/>
    <hyperlink ref="B484" r:id="rId458" xr:uid="{753E91B4-CA60-4039-B6E8-843B9EB7DA90}"/>
    <hyperlink ref="B485" r:id="rId459" xr:uid="{73E6C8E9-274E-4C53-9613-7E46BCA110DD}"/>
    <hyperlink ref="B487" r:id="rId460" xr:uid="{650C89DF-2319-4EBB-B9FE-22FD839C85FC}"/>
    <hyperlink ref="B488" r:id="rId461" xr:uid="{2BC478A6-B8B6-440F-ABFD-4D8FB411AF98}"/>
    <hyperlink ref="C488" r:id="rId462" xr:uid="{D3D58E58-DA32-4213-B3D9-BFF214A74BEC}"/>
    <hyperlink ref="B489" r:id="rId463" xr:uid="{E4540D20-ADBC-4A8B-A0D5-526D21563256}"/>
    <hyperlink ref="C489" r:id="rId464" xr:uid="{80AC7ECE-7CE2-4A89-8A15-890F66D38CA4}"/>
    <hyperlink ref="B490" r:id="rId465" xr:uid="{2EF89051-CB91-4A92-8144-A8BBB416C151}"/>
    <hyperlink ref="B491" r:id="rId466" xr:uid="{E7A21EF0-D2E1-49E3-B3DB-BE638A261DB0}"/>
    <hyperlink ref="B492" r:id="rId467" xr:uid="{D4B39070-AB48-47BB-9FB9-FF82F3D22F75}"/>
    <hyperlink ref="B493" r:id="rId468" xr:uid="{9D8E3E2E-6E0C-4D6E-A5F7-88E352A2DDFD}"/>
    <hyperlink ref="B494" r:id="rId469" xr:uid="{880AA60E-D0B1-414F-AE41-81DB383C325D}"/>
    <hyperlink ref="B495" r:id="rId470" xr:uid="{C3DD0309-19E9-45D5-BB54-A58FC5769AF1}"/>
    <hyperlink ref="B496" r:id="rId471" xr:uid="{667E10CD-57E1-4EA9-A0F4-91C7AF710640}"/>
    <hyperlink ref="C496" r:id="rId472" xr:uid="{66DAF0E4-217F-4D43-A4B4-06B80B3A64F0}"/>
    <hyperlink ref="B497" r:id="rId473" xr:uid="{7E560BB4-D085-477E-88EC-6D45C0594C62}"/>
    <hyperlink ref="B498" r:id="rId474" xr:uid="{EAA34184-2E71-4180-80D2-1CF6FB6E4C93}"/>
    <hyperlink ref="B499" r:id="rId475" xr:uid="{30122CE9-73D9-4C6E-AB5E-66412CFF1445}"/>
    <hyperlink ref="B500" r:id="rId476" xr:uid="{650692E0-AF0A-4D0B-9115-0758370512D8}"/>
    <hyperlink ref="B501" r:id="rId477" xr:uid="{D15EAA76-8E16-45EC-AE12-E1FF3D3F00E7}"/>
    <hyperlink ref="B502" r:id="rId478" xr:uid="{1015B7B6-9FBF-4445-9983-985362CBE038}"/>
    <hyperlink ref="B503" r:id="rId479" xr:uid="{9A8F3BD7-2BDE-475A-8196-FE9F2356682B}"/>
    <hyperlink ref="B504" r:id="rId480" xr:uid="{005281DE-86E8-4FDC-818E-A03D1B00D09D}"/>
    <hyperlink ref="B505" r:id="rId481" xr:uid="{F1830144-182B-43CB-8D54-E73AC1764197}"/>
    <hyperlink ref="B506" r:id="rId482" xr:uid="{0650446A-3FC3-4894-B29E-BA21F1050FAD}"/>
    <hyperlink ref="B507" r:id="rId483" xr:uid="{8E2CE039-E225-4F35-BD24-1C76FA736E1C}"/>
    <hyperlink ref="B508" r:id="rId484" xr:uid="{621B303C-EE9F-448B-B31B-F874FEC46834}"/>
    <hyperlink ref="B509" r:id="rId485" xr:uid="{A383D2CF-17AF-40BF-97F6-035584A2B5A1}"/>
    <hyperlink ref="B510" r:id="rId486" xr:uid="{A8AF6AF6-7360-4DAF-B26D-B46FE2744387}"/>
    <hyperlink ref="B511" r:id="rId487" xr:uid="{2A911C8A-5903-4A9E-8D91-0B05443C0C26}"/>
    <hyperlink ref="B512" r:id="rId488" xr:uid="{6C5EFBA2-7F05-4B67-92D1-908FFB78832B}"/>
    <hyperlink ref="B513" r:id="rId489" xr:uid="{552944FD-582F-4278-A3A0-D8ACD1E05E3A}"/>
    <hyperlink ref="B514" r:id="rId490" xr:uid="{9022E814-9534-4C64-B0F3-17B78E311185}"/>
    <hyperlink ref="B515" r:id="rId491" xr:uid="{3C9AA6CF-0C68-4E1C-B5AF-6F4AFAFFFF9C}"/>
    <hyperlink ref="B516" r:id="rId492" xr:uid="{5FA04323-685C-42B3-ACCF-2F3BC998F335}"/>
    <hyperlink ref="B517" r:id="rId493" xr:uid="{026285DF-AFBF-4921-B863-DB3A44882468}"/>
    <hyperlink ref="B518" r:id="rId494" xr:uid="{939DC104-872A-4C1F-BE9C-975AF8EED18A}"/>
    <hyperlink ref="B519" r:id="rId495" xr:uid="{980C12E5-9DCB-464C-889B-4D8558E09577}"/>
    <hyperlink ref="B520" r:id="rId496" xr:uid="{1326DEB7-C8C3-4359-9F5D-1717A7D39584}"/>
    <hyperlink ref="B521" r:id="rId497" xr:uid="{EB629054-7AA7-498E-A333-917B4709457F}"/>
    <hyperlink ref="B522" r:id="rId498" xr:uid="{3C91FDC4-B9B7-41D4-A407-D054B5E521C0}"/>
    <hyperlink ref="B523" r:id="rId499" xr:uid="{79B92DDD-1BF0-4AEE-93B8-9F2D94E5E63D}"/>
    <hyperlink ref="B524" r:id="rId500" xr:uid="{F0E4483A-CC06-4099-9276-CADA80D9171D}"/>
    <hyperlink ref="B525" r:id="rId501" xr:uid="{55941F24-1E08-4DDD-A4C5-654F4B6FA455}"/>
    <hyperlink ref="B526" r:id="rId502" xr:uid="{27F9394E-95F7-4D69-A33F-6018491F522E}"/>
    <hyperlink ref="B527" r:id="rId503" xr:uid="{8FE8AD62-7E67-424B-B0A0-998A02979A7D}"/>
    <hyperlink ref="B528" r:id="rId504" xr:uid="{5070C66F-F8AF-48D5-B36F-42F0968DE2D0}"/>
    <hyperlink ref="B529" r:id="rId505" xr:uid="{6046E333-50DB-4E44-A664-3793506065B3}"/>
    <hyperlink ref="B530" r:id="rId506" xr:uid="{6751FA0D-4022-4315-9831-0D4DDA45CF75}"/>
    <hyperlink ref="B531" r:id="rId507" xr:uid="{5D59953A-B67B-4F0C-B19B-9B1BCC6A16FE}"/>
    <hyperlink ref="B532" r:id="rId508" xr:uid="{C47EECE1-B36D-4314-8BAB-032E26255295}"/>
    <hyperlink ref="B533" r:id="rId509" xr:uid="{34ABFD4F-93CE-4F46-A6FC-6F31EB9BEE19}"/>
    <hyperlink ref="B534" r:id="rId510" xr:uid="{912FCEA0-AF26-4A60-9F73-6AF4CE0054F8}"/>
    <hyperlink ref="B535" r:id="rId511" xr:uid="{232F5CF1-759A-4832-8819-33E5D0F706EA}"/>
    <hyperlink ref="B536" r:id="rId512" xr:uid="{BD4E87D1-EA75-4E22-B578-3189F6D01B86}"/>
    <hyperlink ref="B537" r:id="rId513" xr:uid="{3DF8F47F-8454-4D59-8A66-F1FFB5B7A35A}"/>
    <hyperlink ref="B538" r:id="rId514" xr:uid="{FD056FED-923E-4C9F-9BD0-522E6A97F65F}"/>
    <hyperlink ref="B539" r:id="rId515" xr:uid="{494B8430-BEDF-40FD-B8FF-2A82759C3256}"/>
    <hyperlink ref="B540" r:id="rId516" xr:uid="{C4B211EF-E427-4237-B94D-1631D22926BD}"/>
    <hyperlink ref="B541" r:id="rId517" xr:uid="{83D1BEDC-7B2C-4A29-9848-BCC1565CCF08}"/>
    <hyperlink ref="B542" r:id="rId518" xr:uid="{E151C208-5FEE-491B-8570-1CA7844E42A1}"/>
    <hyperlink ref="B543" r:id="rId519" xr:uid="{BCECDD80-4D53-40A6-B697-E0B5AFBA2172}"/>
    <hyperlink ref="C543" r:id="rId520" xr:uid="{D96FC64C-D401-4ACE-9B4C-471FDDDACF30}"/>
    <hyperlink ref="B544" r:id="rId521" xr:uid="{36D9D9D2-0BCA-47FA-B6F4-3C21763B4B19}"/>
    <hyperlink ref="B545" r:id="rId522" xr:uid="{B9437184-F1BA-44A8-BC94-DF58BEE386B2}"/>
    <hyperlink ref="C545" r:id="rId523" xr:uid="{77151D32-B3F2-41A4-B3A0-BD5FB59DBEC0}"/>
    <hyperlink ref="B546" r:id="rId524" xr:uid="{3BC80D2E-8E74-4EC4-BABE-6053D3294C48}"/>
    <hyperlink ref="B547" r:id="rId525" xr:uid="{034F8DC4-2A63-469B-A589-187EBBF1CF3D}"/>
    <hyperlink ref="B548" r:id="rId526" xr:uid="{C4D9B3B8-5BED-4C0C-88EC-3E1B493AC335}"/>
    <hyperlink ref="B549" r:id="rId527" xr:uid="{C604B138-3FA9-4B17-9230-1ED985A2E1F7}"/>
    <hyperlink ref="B551" r:id="rId528" xr:uid="{B9685F38-CB5B-4D4A-B379-724F015FBF81}"/>
    <hyperlink ref="B553" r:id="rId529" xr:uid="{A8725325-9056-445B-AD14-42F2F267EA32}"/>
    <hyperlink ref="B554" r:id="rId530" xr:uid="{CFE313C6-7C49-4AC8-86C5-7458E1EBCEFF}"/>
    <hyperlink ref="B555" r:id="rId531" xr:uid="{50BC8EC0-ADFC-4E2E-9A74-C3C7253CC19B}"/>
    <hyperlink ref="B556" r:id="rId532" xr:uid="{E0D2F362-F380-4456-85C3-3C1D20D5E9D0}"/>
    <hyperlink ref="B557" r:id="rId533" xr:uid="{065A9747-6892-4E31-AD22-1F8076C5C91A}"/>
    <hyperlink ref="B558" r:id="rId534" xr:uid="{F9243F3F-93DD-4D2B-9B61-C738CBBB3E55}"/>
    <hyperlink ref="B560" r:id="rId535" xr:uid="{9EB6F1C1-18E1-4281-8341-85C02E4891D9}"/>
    <hyperlink ref="C560" r:id="rId536" xr:uid="{396FC0F6-2FCD-48ED-BD66-2DE4CAA3D7AD}"/>
    <hyperlink ref="B562" r:id="rId537" xr:uid="{1CCAD496-A587-49B8-91C2-3C06C9D2D03A}"/>
    <hyperlink ref="B563" r:id="rId538" xr:uid="{07A3C4E7-0349-4AA0-B712-09A515A08955}"/>
    <hyperlink ref="B564" r:id="rId539" xr:uid="{94FE71C8-19F4-4AC2-94EA-BB1BEB668A5C}"/>
    <hyperlink ref="B565" r:id="rId540" xr:uid="{8E2FA6E0-7532-4A06-95D3-2278B0ABFB25}"/>
    <hyperlink ref="B566" r:id="rId541" xr:uid="{E85871F3-091D-4DD5-A3BE-6FD4558CFB1A}"/>
    <hyperlink ref="B567" r:id="rId542" xr:uid="{D26ADB55-4A0A-4340-BB2F-313BA18443A5}"/>
    <hyperlink ref="B568" r:id="rId543" xr:uid="{F91F6C42-EB5D-45F7-B490-20A9DAE808B8}"/>
    <hyperlink ref="B569" r:id="rId544" xr:uid="{6EA0413C-A07D-4FDC-B977-A0D0D7C241E0}"/>
    <hyperlink ref="B570" r:id="rId545" xr:uid="{CEE75005-F4C9-40AA-BEF5-FBD0D5F1F912}"/>
    <hyperlink ref="B571" r:id="rId546" xr:uid="{EABF7035-DB17-494A-B766-244F437CC424}"/>
    <hyperlink ref="B572" r:id="rId547" xr:uid="{405531C3-D8D0-4007-9C02-20D64436ED43}"/>
    <hyperlink ref="B573" r:id="rId548" xr:uid="{093B3816-D22C-4891-A2EF-D34E765907FF}"/>
    <hyperlink ref="B574" r:id="rId549" xr:uid="{74F873DC-F8FF-47FB-95BE-573758879B0D}"/>
    <hyperlink ref="B575" r:id="rId550" xr:uid="{F657CE40-760B-4044-93CD-4DE9CDC56819}"/>
    <hyperlink ref="B576" r:id="rId551" xr:uid="{7A07D689-0A10-4E8C-BC61-A3AAC2B31F34}"/>
    <hyperlink ref="B577" r:id="rId552" xr:uid="{69033191-5DAC-4435-8365-39E3D52B3DB6}"/>
    <hyperlink ref="B578" r:id="rId553" xr:uid="{81716964-C4F2-4888-8E41-F9F2BA25C493}"/>
    <hyperlink ref="B579" r:id="rId554" xr:uid="{E688DB7B-B88B-4FA7-B157-85497736EFCE}"/>
    <hyperlink ref="B580" r:id="rId555" xr:uid="{105E3746-850E-4888-8488-DB53B14EC1EC}"/>
    <hyperlink ref="B581" r:id="rId556" xr:uid="{45CC9DBF-9467-4AB7-9BF5-2BADDE2F3CB5}"/>
    <hyperlink ref="B582" r:id="rId557" xr:uid="{2D5DC9EE-4F0E-48EA-A53E-80529DD2D191}"/>
    <hyperlink ref="B583" r:id="rId558" xr:uid="{89AD5CA3-DB6E-4634-91C7-D2E30EDA2E78}"/>
    <hyperlink ref="B584" r:id="rId559" xr:uid="{C67CEF4F-A8DB-4F13-B37A-C33772482B7E}"/>
    <hyperlink ref="B585" r:id="rId560" xr:uid="{365A70E9-4739-4681-AB94-FD351C607F07}"/>
    <hyperlink ref="B586" r:id="rId561" xr:uid="{733C453C-602D-456A-9C50-FCDDD68C9502}"/>
    <hyperlink ref="B587" r:id="rId562" xr:uid="{CE04C4D3-A4A7-4F00-B23D-36F89533E895}"/>
    <hyperlink ref="B588" r:id="rId563" xr:uid="{77714D65-5CAF-4034-8D57-324EF108EE2D}"/>
    <hyperlink ref="B589" r:id="rId564" xr:uid="{D7D13937-4F57-434E-B6CE-138A9095B23A}"/>
    <hyperlink ref="B590" r:id="rId565" xr:uid="{F468030B-401E-4F21-B965-96223CDEBBE9}"/>
    <hyperlink ref="B591" r:id="rId566" xr:uid="{2B948323-C31E-4875-8E4C-CEA9754B6E9C}"/>
    <hyperlink ref="B592" r:id="rId567" xr:uid="{4396673A-D995-4A1E-8E0D-42E148AA8D45}"/>
    <hyperlink ref="B593" r:id="rId568" xr:uid="{CA1D675B-FEC0-4307-B7F3-4F4F05C8DADB}"/>
    <hyperlink ref="B594" r:id="rId569" xr:uid="{22A16D79-66FF-4D26-B540-818B36C79C0A}"/>
    <hyperlink ref="B595" r:id="rId570" xr:uid="{CCBF7603-B5AB-4643-8F4D-D8FA5A308302}"/>
    <hyperlink ref="B596" r:id="rId571" xr:uid="{3C4EBC09-4FBD-4294-91D5-A81EFFC1E6FC}"/>
    <hyperlink ref="C596" r:id="rId572" xr:uid="{09AA8565-758C-4C47-A601-AEB272FBBAD5}"/>
    <hyperlink ref="B597" r:id="rId573" xr:uid="{26EB89FE-8A58-4117-9BE2-65FC66D32D1D}"/>
    <hyperlink ref="B598" r:id="rId574" xr:uid="{FD9E6C79-4BE8-4E2D-9C02-5246E323D37E}"/>
    <hyperlink ref="B599" r:id="rId575" xr:uid="{6ED5EFA5-80BB-42B2-A106-E9C3B503E7A9}"/>
    <hyperlink ref="C599" r:id="rId576" xr:uid="{69B4B0B1-BB4F-4BEC-86DF-9B1EA2F5C0EB}"/>
    <hyperlink ref="B600" r:id="rId577" xr:uid="{321E2C61-4626-40D5-853C-3E40DE7A1934}"/>
    <hyperlink ref="B601" r:id="rId578" xr:uid="{455F369E-6752-4616-A663-1BE8ACD39A31}"/>
    <hyperlink ref="B602" r:id="rId579" xr:uid="{E42A755D-290D-49CA-84D6-E95FF7E30817}"/>
    <hyperlink ref="B603" r:id="rId580" xr:uid="{BB0CCA85-839B-474E-8926-7835EBED0273}"/>
    <hyperlink ref="B604" r:id="rId581" xr:uid="{D81F2C73-E4D4-49ED-851C-88F110E3606F}"/>
    <hyperlink ref="B605" r:id="rId582" xr:uid="{C47FBD91-518F-45F7-B398-E1BCE7BA1005}"/>
    <hyperlink ref="B606" r:id="rId583" xr:uid="{D7464C84-1AF0-45C9-997C-900ED9D71517}"/>
    <hyperlink ref="B607" r:id="rId584" xr:uid="{C711FF00-CF47-46A0-A63A-96C897EB9C7F}"/>
    <hyperlink ref="B608" r:id="rId585" xr:uid="{245EE8E5-6F05-4424-9C45-1F8A62E5F525}"/>
    <hyperlink ref="B609" r:id="rId586" xr:uid="{0B5DE3FA-E34D-4436-A398-906A02A7F955}"/>
    <hyperlink ref="B610" r:id="rId587" xr:uid="{711A1B1F-EDA3-4434-9387-0F5D5CA8AD23}"/>
    <hyperlink ref="B611" r:id="rId588" xr:uid="{9870EAEA-5366-456F-9B89-C01DAD37F100}"/>
    <hyperlink ref="C612" r:id="rId589" xr:uid="{61EED8FE-1623-45B6-B8F9-EEF7D2688173}"/>
    <hyperlink ref="B613" r:id="rId590" xr:uid="{1238D0A8-799B-4DF5-A99F-890986CFA574}"/>
    <hyperlink ref="B614" r:id="rId591" xr:uid="{025151D3-6BE6-4815-B330-C33826EA5398}"/>
    <hyperlink ref="B615" r:id="rId592" xr:uid="{1F88019A-2856-42DA-A078-B989FAB0B257}"/>
    <hyperlink ref="B616" r:id="rId593" xr:uid="{6E117638-F202-4257-A08F-DD2B7C5743CB}"/>
    <hyperlink ref="B618" r:id="rId594" xr:uid="{1707300C-B28A-46E6-B09F-97FC22B6E0EC}"/>
    <hyperlink ref="B88" r:id="rId595" xr:uid="{B7DC30BF-6074-40E6-A5AF-7544A73281A8}"/>
    <hyperlink ref="B108" r:id="rId596" xr:uid="{A319C365-A42C-497D-B5DE-76164B24CE01}"/>
    <hyperlink ref="B125" r:id="rId597" xr:uid="{2B138839-7F99-4A9E-84D5-59D964D615E0}"/>
    <hyperlink ref="B343" r:id="rId598" xr:uid="{BB407A7D-34B3-470A-9906-BD83F10EC657}"/>
    <hyperlink ref="B372" r:id="rId599" xr:uid="{990F8D0D-9D12-4B32-B38D-235E25E746FA}"/>
    <hyperlink ref="B208" r:id="rId600" xr:uid="{7FFC975E-C03B-4731-B584-BABBC9EF543B}"/>
    <hyperlink ref="B215" r:id="rId601" xr:uid="{9F2AEB40-9B64-4CEC-BB29-3AED25662139}"/>
    <hyperlink ref="B561" r:id="rId602" xr:uid="{F3F47649-4265-4713-80EF-27FFBBC958E9}"/>
    <hyperlink ref="B617" r:id="rId603" xr:uid="{91717F15-DBCB-4169-824D-62B8AA5C9ED2}"/>
    <hyperlink ref="C617" r:id="rId604" xr:uid="{ADB0332B-CCB5-4B60-9B4F-29FC1381820B}"/>
    <hyperlink ref="B559" r:id="rId605" xr:uid="{6DD813D7-FA22-4A38-8FE3-8B304CA7E955}"/>
    <hyperlink ref="B265" r:id="rId606" xr:uid="{84BCE077-D2D6-4B1E-9C98-7275F613059A}"/>
    <hyperlink ref="B340" r:id="rId607" xr:uid="{BCEDD3A8-F0F2-4C94-A871-0BA038E97E65}"/>
    <hyperlink ref="B325" r:id="rId608" xr:uid="{EE87F260-D525-48D6-A7FB-840954EA4A31}"/>
    <hyperlink ref="B456" r:id="rId609" xr:uid="{1DC8A6E3-DA17-49E5-A570-054D3572B55D}"/>
    <hyperlink ref="B90" r:id="rId610" xr:uid="{94662839-6565-45BF-88D0-731D8DA5751D}"/>
    <hyperlink ref="B473" r:id="rId611" xr:uid="{A0747AD0-E204-4DA1-A964-A6045283F637}"/>
    <hyperlink ref="B376" r:id="rId612" xr:uid="{4D80E0B2-EBDA-4933-96D7-1D25E94E7994}"/>
    <hyperlink ref="B334" r:id="rId613" xr:uid="{44DACC50-4F42-425D-80AB-4E42ECB517F6}"/>
    <hyperlink ref="B168" r:id="rId614" xr:uid="{31312A92-6734-4D1F-A4F4-77877DF2FAA5}"/>
    <hyperlink ref="B79" r:id="rId615" xr:uid="{12C9317B-0444-4D71-B780-1D9175B927AF}"/>
    <hyperlink ref="B92" r:id="rId616" xr:uid="{D798B051-3DFC-425D-B521-10C945FC7581}"/>
    <hyperlink ref="B364" r:id="rId617" xr:uid="{15B35D10-A363-4EF1-AD8B-19C0704CB097}"/>
    <hyperlink ref="B297" r:id="rId618" xr:uid="{259647EC-B0FB-45B0-88A9-966BBD256D15}"/>
    <hyperlink ref="B361" r:id="rId619" xr:uid="{D364D90F-1C6F-48D6-83FB-2D0754837551}"/>
    <hyperlink ref="B363" r:id="rId620" xr:uid="{2C6D67EC-EC5B-4A9D-8ADD-43A6784E1B51}"/>
    <hyperlink ref="B550" r:id="rId621" xr:uid="{2E8B06C0-8BA2-489E-9B63-679A8202B1FA}"/>
    <hyperlink ref="B450" r:id="rId622" xr:uid="{7F624F9D-F2B1-4A9C-9B19-2167A78D18C5}"/>
    <hyperlink ref="B282" r:id="rId623" xr:uid="{E3224C70-2B33-426B-BDC7-096FDF2BC88C}"/>
    <hyperlink ref="B466" r:id="rId624" xr:uid="{7B0F55A7-55C8-48C9-B0E8-644EFEF10D33}"/>
    <hyperlink ref="B346" r:id="rId625" xr:uid="{7B9C7D8C-49B2-45C1-98C0-05D2D0C2DEBF}"/>
    <hyperlink ref="B461" r:id="rId626" xr:uid="{BC21E367-37C6-49BA-9F9B-11A8674F76A3}"/>
    <hyperlink ref="B342" r:id="rId627" xr:uid="{8BB65FAB-63BE-4DA9-9B36-2F5EBF0A9EAE}"/>
    <hyperlink ref="B71" r:id="rId628" xr:uid="{46F4CB38-0C38-4A9E-B249-F072DD16F13D}"/>
    <hyperlink ref="B80" r:id="rId629" xr:uid="{32DBB99C-F117-429B-8132-E96FED12F666}"/>
    <hyperlink ref="B275" r:id="rId630" xr:uid="{D99C8F1E-7EE7-4DC7-B4F3-8DB47243C0B5}"/>
    <hyperlink ref="B240" r:id="rId631" xr:uid="{74641F26-4613-42D7-A6DB-C741A58D7875}"/>
    <hyperlink ref="B231" r:id="rId632" xr:uid="{A826FFDA-C76D-40C4-9BDC-B37CBEAE7A71}"/>
    <hyperlink ref="B411" r:id="rId633" display="iQ300 Düz Davlumbaz, 60cm, 649m3, Siyah Cam" xr:uid="{88EC97A9-A097-45E3-9F0F-E8A6F3ABD6FF}"/>
    <hyperlink ref="B412" r:id="rId634" xr:uid="{AC65F8CE-70C2-428B-83F0-E6AA505EFFD6}"/>
    <hyperlink ref="B413" r:id="rId635" xr:uid="{47E4268C-F6C5-49F6-960C-9AA50B81CE72}"/>
    <hyperlink ref="C184" r:id="rId636" xr:uid="{1CA66239-A4B3-4343-81B9-9F016ED6848B}"/>
    <hyperlink ref="B184" r:id="rId637" xr:uid="{5DDB37A7-85CC-4662-9271-0AF96C56E347}"/>
    <hyperlink ref="C313" r:id="rId638" xr:uid="{85C31FB5-C55E-41F3-A7BC-27CC727746A3}"/>
    <hyperlink ref="B121" r:id="rId639" xr:uid="{CA05BC47-0EE2-413F-9815-E5691B9419ED}"/>
    <hyperlink ref="B13" r:id="rId640" xr:uid="{1E0B8DEA-881B-4024-824D-9845628B5244}"/>
    <hyperlink ref="B16" r:id="rId641" xr:uid="{69C46D0F-18A1-40C5-924D-9A7E97767247}"/>
    <hyperlink ref="B619" r:id="rId642" xr:uid="{E940C768-FDC3-448F-8B09-51DF29648BB6}"/>
    <hyperlink ref="C619" r:id="rId643" xr:uid="{8E080D9E-9757-4465-B20C-FEAD85F79C7C}"/>
    <hyperlink ref="B141" r:id="rId644" xr:uid="{D383C696-3F56-4E00-A7F5-03990C255E16}"/>
    <hyperlink ref="B145" r:id="rId645" xr:uid="{08F4664A-4AFA-4B63-9D0C-979C24C88B3E}"/>
    <hyperlink ref="B307" r:id="rId646" xr:uid="{EB8548FC-D60B-4F32-9A3E-01F9922A5553}"/>
    <hyperlink ref="B368" r:id="rId647" display="iQ300 Düz Davlumbaz, 60cm, 368m3, Inox" xr:uid="{DEBB74C4-0BF5-421A-989B-C700F9130755}"/>
    <hyperlink ref="B552" r:id="rId648" xr:uid="{19CF4949-E49B-4669-8C1D-75D0CF5EF750}"/>
    <hyperlink ref="B471" r:id="rId649" xr:uid="{7E1F4CE7-7A63-41BC-B3A6-8C1CEAE9F363}"/>
    <hyperlink ref="B486" r:id="rId650" xr:uid="{AF744677-1F9D-44BC-9345-97928E8B48E5}"/>
    <hyperlink ref="B625" r:id="rId651" xr:uid="{10590EBC-133F-4F9E-8AEA-6DF2016FAF13}"/>
    <hyperlink ref="B620" r:id="rId652" display="iQ700 Çamaşır Makinesi, 11kg/1400devir, intelligentDosing, Gümüş" xr:uid="{111D95B3-8C0E-46AC-B34B-D1C669F6B147}"/>
    <hyperlink ref="B621" r:id="rId653" xr:uid="{5383FFC6-28D4-40CC-9838-AD064027A7A3}"/>
    <hyperlink ref="B626" r:id="rId654" xr:uid="{D9D0F911-6B10-417B-B883-342DF17B6A73}"/>
    <hyperlink ref="B627" r:id="rId655" xr:uid="{66597F89-B5A8-4471-ACDC-17B2EBFD2EA3}"/>
    <hyperlink ref="C627" r:id="rId656" xr:uid="{75E56160-1C31-4963-8B9C-9762BE2F440C}"/>
    <hyperlink ref="B628" r:id="rId657" xr:uid="{9C9D1FF7-8D7D-42CC-A376-7DC9B11E17DA}"/>
    <hyperlink ref="B629" r:id="rId658" display="iQ700 Gazlı Ocak, 60cm, Seramik, Siyah, Döküm" xr:uid="{1A814E68-987A-49D8-AD01-31D2BEA43C85}"/>
    <hyperlink ref="B630" r:id="rId659" xr:uid="{1D357EE9-984C-4CFC-A58A-28807F1D194A}"/>
    <hyperlink ref="B631" r:id="rId660" xr:uid="{59D3F20F-BA20-48D0-AF67-C3FC0875D401}"/>
    <hyperlink ref="B632" r:id="rId661" xr:uid="{27ECE045-0F07-4AB1-BEA9-4F3222DFC7EB}"/>
    <hyperlink ref="B633" r:id="rId662" xr:uid="{AED565FF-51F1-482F-A48D-07C81C541121}"/>
    <hyperlink ref="B622" r:id="rId663" xr:uid="{A9BB86E3-4ABA-4724-9BF8-1BC8E745380B}"/>
    <hyperlink ref="B623" r:id="rId664" xr:uid="{174E73F3-88AA-49ED-87F9-8F68DF9D8AAE}"/>
    <hyperlink ref="B624" r:id="rId665" xr:uid="{79D6F8B3-80FA-4CD5-9C03-A634999D8606}"/>
    <hyperlink ref="B635" r:id="rId666" xr:uid="{D0C78607-ACB3-434E-8498-E030EA2358D4}"/>
    <hyperlink ref="B636" r:id="rId667" xr:uid="{A4C69B6E-F5A1-4A88-BEAD-B372F1E047F3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2026-08-28T08:29:39Z</dcterms:modified>
</cp:coreProperties>
</file>