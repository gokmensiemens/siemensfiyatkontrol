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360" documentId="8_{04D112BD-6BD0-48D2-BCD0-B02DB0158664}" xr6:coauthVersionLast="47" xr6:coauthVersionMax="47" xr10:uidLastSave="{0640E385-E8F3-446D-87DC-9BB40763E2F5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2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O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212" i="1" s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61" i="1" s="1"/>
  <c r="N144" i="1"/>
  <c r="N143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42" i="1" s="1"/>
  <c r="N115" i="1"/>
  <c r="N114" i="1"/>
  <c r="N113" i="1"/>
  <c r="N112" i="1"/>
  <c r="N111" i="1"/>
  <c r="N110" i="1"/>
  <c r="N109" i="1"/>
  <c r="N108" i="1"/>
  <c r="N107" i="1"/>
  <c r="N106" i="1"/>
  <c r="N105" i="1"/>
  <c r="N116" i="1" s="1"/>
  <c r="N104" i="1"/>
  <c r="N103" i="1"/>
  <c r="N102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101" i="1" s="1"/>
  <c r="N76" i="1"/>
  <c r="N75" i="1"/>
  <c r="N74" i="1"/>
  <c r="N73" i="1"/>
  <c r="N72" i="1"/>
  <c r="N71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N55" i="1"/>
  <c r="N54" i="1"/>
  <c r="N53" i="1"/>
  <c r="N52" i="1"/>
  <c r="N51" i="1"/>
  <c r="N50" i="1"/>
  <c r="N49" i="1"/>
  <c r="N48" i="1"/>
  <c r="N47" i="1"/>
  <c r="N46" i="1"/>
  <c r="N56" i="1" s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5" i="1" s="1"/>
  <c r="N4" i="1"/>
  <c r="N3" i="1"/>
  <c r="N2" i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<sst xmlns="http://schemas.openxmlformats.org/spreadsheetml/2006/main" count="2433" uniqueCount="1596">
  <si>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</si>
  <si>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</si>
  <si>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</si>
  <si>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</si>
  <si>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</si>
  <si>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</si>
  <si>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</si>
  <si>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</si>
  <si>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</si>
  <si>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</si>
  <si>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</si>
  <si>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</si>
  <si>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</si>
  <si>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</si>
  <si>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</si>
  <si>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</si>
  <si>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</si>
  <si>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</si>
  <si>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</si>
  <si>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</si>
  <si>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</si>
  <si>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</si>
  <si>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</si>
  <si>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</si>
  <si>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</si>
  <si>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</si>
  <si>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</si>
  <si>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</si>
  <si>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</si>
  <si>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</si>
  <si>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</si>
  <si>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</si>
  <si>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</si>
  <si>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</si>
  <si>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</si>
  <si>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</si>
  <si>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</si>
  <si>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</si>
  <si>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</si>
  <si>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</si>
  <si>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</si>
  <si>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</si>
  <si>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</si>
  <si>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</si>
  <si>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</si>
  <si>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</si>
  <si>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</si>
  <si>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</si>
  <si>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</si>
  <si>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</si>
  <si>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</si>
  <si>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</si>
  <si>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</si>
  <si>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</si>
  <si>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</si>
  <si>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</si>
  <si>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</si>
  <si>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</si>
  <si>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</si>
  <si>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</si>
  <si>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</si>
  <si>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</si>
  <si>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</si>
  <si>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</si>
  <si>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</si>
  <si>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</si>
  <si>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</si>
  <si>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</si>
  <si>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</si>
  <si>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</si>
  <si>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</si>
  <si>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</si>
  <si>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</si>
  <si>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</si>
  <si>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</si>
  <si>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</si>
  <si>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</si>
  <si>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</si>
  <si>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</si>
  <si>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</si>
  <si>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</si>
  <si>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</si>
  <si>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</si>
  <si>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</si>
  <si>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</si>
  <si>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</si>
  <si>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</si>
  <si>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</si>
  <si>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</si>
  <si>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</si>
  <si>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</si>
  <si>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</si>
  <si>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</si>
  <si>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</si>
  <si>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</si>
  <si>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</si>
  <si>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</si>
  <si>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</si>
  <si>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</si>
  <si>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</si>
  <si>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</si>
  <si>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</si>
  <si>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</si>
  <si>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</si>
  <si>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</si>
  <si>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</si>
  <si>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</si>
  <si>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</si>
  <si>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</si>
  <si>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</si>
  <si>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</si>
  <si>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</si>
  <si>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</si>
  <si>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</si>
  <si>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</si>
  <si>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</si>
  <si>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</si>
  <si>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</si>
  <si>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</si>
  <si>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</si>
  <si>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</si>
  <si>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</si>
  <si>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</si>
  <si>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</si>
  <si>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</si>
  <si>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</si>
  <si>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</si>
  <si>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</si>
  <si>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</si>
  <si>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</si>
  <si>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</si>
  <si>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</si>
  <si>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</si>
  <si>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</si>
  <si>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</si>
  <si>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</si>
  <si>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</si>
  <si>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</si>
  <si>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</si>
  <si>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</si>
  <si>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</si>
  <si>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</si>
  <si>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</si>
  <si>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</si>
  <si>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</si>
  <si>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</si>
  <si>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</si>
  <si>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</si>
  <si>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</si>
  <si>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</si>
  <si>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</si>
  <si>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</si>
  <si>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</si>
  <si>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</si>
  <si>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</si>
  <si>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</si>
  <si>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</si>
  <si>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</si>
  <si>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</si>
  <si>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</si>
  <si>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</si>
  <si>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</si>
  <si>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</si>
  <si>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</si>
  <si>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</si>
  <si>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</si>
  <si>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</si>
  <si>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</si>
  <si>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</si>
  <si>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</si>
  <si>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</si>
  <si>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</si>
  <si>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</si>
  <si>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</si>
  <si>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</si>
  <si>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</si>
  <si>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</si>
  <si>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</si>
  <si>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</si>
  <si>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</si>
  <si>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</si>
  <si>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</si>
  <si>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</si>
  <si>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</si>
  <si>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</si>
  <si>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</si>
  <si>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</si>
  <si>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</si>
  <si>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</si>
  <si>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</si>
  <si>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</si>
  <si>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</si>
  <si>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</si>
  <si>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</si>
  <si>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</si>
  <si>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</si>
  <si>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</si>
  <si>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</si>
  <si>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</si>
  <si>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</si>
  <si>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</si>
  <si>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</si>
  <si>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</si>
  <si>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</si>
  <si>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</si>
  <si>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</si>
  <si>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</si>
  <si>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</si>
  <si>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</si>
  <si>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</si>
  <si>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</si>
  <si>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</si>
  <si>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</si>
  <si>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</si>
  <si>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</si>
  <si>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</si>
  <si>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</si>
  <si>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</si>
  <si>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</si>
  <si>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</si>
  <si>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</si>
  <si>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</si>
  <si>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</si>
  <si>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</si>
  <si>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</si>
  <si>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</si>
  <si>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</si>
  <si>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</si>
  <si>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</si>
  <si>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</si>
  <si>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</si>
  <si>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</si>
  <si>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</si>
  <si>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</si>
  <si>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</si>
  <si>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</si>
  <si>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</si>
  <si>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</si>
  <si>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</si>
  <si>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</si>
  <si>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</si>
  <si>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</si>
  <si>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</si>
  <si>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</si>
  <si>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</si>
  <si>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</si>
  <si>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</si>
  <si>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</si>
  <si>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</si>
  <si>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</si>
  <si>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</si>
  <si>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</si>
  <si>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</si>
  <si>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</si>
  <si>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</si>
  <si>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</si>
  <si>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</si>
  <si>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</si>
  <si>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</si>
  <si>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</si>
  <si>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</si>
  <si>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</si>
  <si>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</si>
  <si>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</si>
  <si>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</si>
  <si>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</si>
  <si>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</si>
  <si>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</si>
  <si>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</si>
  <si>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</si>
  <si>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</si>
  <si>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</si>
  <si>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</si>
  <si>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</si>
  <si>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</si>
  <si>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</si>
  <si>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</si>
  <si>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</si>
  <si>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</si>
  <si>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</si>
  <si>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</si>
  <si>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</si>
  <si>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</si>
  <si>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</si>
  <si>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</si>
  <si>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</si>
  <si>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</si>
  <si>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</si>
  <si>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</si>
  <si>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</si>
  <si>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</si>
  <si>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</si>
  <si>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</si>
  <si>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</si>
  <si>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</si>
  <si>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</si>
  <si>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</si>
  <si>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</si>
  <si>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</si>
  <si>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</si>
  <si>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</si>
  <si>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</si>
  <si>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</si>
  <si>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</si>
  <si>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</si>
  <si>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</si>
  <si>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</si>
  <si>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</si>
  <si>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</si>
  <si>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</si>
  <si>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</si>
  <si>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</si>
  <si>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</si>
  <si>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</si>
  <si>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</si>
  <si>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</si>
  <si>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</si>
  <si>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</si>
  <si>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</si>
  <si>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</si>
  <si>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</si>
  <si>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</si>
  <si>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</si>
  <si>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</si>
  <si>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</si>
  <si>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</si>
  <si>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</si>
  <si>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</si>
  <si>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</si>
  <si>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</si>
  <si>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</si>
  <si>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</si>
  <si>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</si>
  <si>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</si>
  <si>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</si>
  <si>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</si>
  <si>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</si>
  <si>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</si>
  <si>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</si>
  <si>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</si>
  <si>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</si>
  <si>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</si>
  <si>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</si>
  <si>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</si>
  <si>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</si>
  <si>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</si>
  <si>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</si>
  <si>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</si>
  <si>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</si>
  <si>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</si>
  <si>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</si>
  <si>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</si>
  <si>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</si>
  <si>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</si>
  <si>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</si>
  <si>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</si>
  <si>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</si>
  <si>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</si>
  <si>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</si>
  <si>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</si>
  <si>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</si>
  <si>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</si>
  <si>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</si>
  <si>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</si>
  <si>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</si>
  <si>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</si>
  <si>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</si>
  <si>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</si>
  <si>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</si>
  <si>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</si>
  <si>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</si>
  <si>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</si>
  <si>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</si>
  <si>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</si>
  <si>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</si>
  <si>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</si>
  <si>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</si>
  <si>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</si>
  <si>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</si>
  <si>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</si>
  <si>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</si>
  <si>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</si>
  <si>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</si>
  <si>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</si>
  <si>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</si>
  <si>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</si>
  <si>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</si>
  <si>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</si>
  <si>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</si>
  <si>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</si>
  <si>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</si>
  <si>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</si>
  <si>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</si>
  <si>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</si>
  <si>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</si>
  <si>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</si>
  <si>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</si>
  <si>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</si>
  <si>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</si>
  <si>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</si>
  <si>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</si>
  <si>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</si>
  <si>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</si>
  <si>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</si>
  <si>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</si>
  <si>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</si>
  <si>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</si>
  <si>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</si>
  <si>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</si>
  <si>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</si>
  <si>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</si>
  <si>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</si>
  <si>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</si>
  <si>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</si>
  <si>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</si>
  <si>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</si>
  <si>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</si>
  <si>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</si>
  <si>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</si>
  <si>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</si>
  <si>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</si>
  <si>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</si>
  <si>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</si>
  <si>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</si>
  <si>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</si>
  <si>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</si>
  <si>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</si>
  <si>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</si>
  <si>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</si>
  <si>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</si>
  <si>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</si>
  <si>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</si>
  <si>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</si>
  <si>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</si>
  <si>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</si>
  <si>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</si>
  <si>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</si>
  <si>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</si>
  <si>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</si>
  <si>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</si>
  <si>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</si>
  <si>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</si>
  <si>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</si>
  <si>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</si>
  <si>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</si>
  <si>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</si>
  <si>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</si>
  <si>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</si>
  <si>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</si>
  <si>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</si>
  <si>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</si>
  <si>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</si>
  <si>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</si>
  <si>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</si>
  <si>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</si>
  <si>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</si>
  <si>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</si>
  <si>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</si>
  <si>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</si>
  <si>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</si>
  <si>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</si>
  <si>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</si>
  <si>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</si>
  <si>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</si>
  <si>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</si>
  <si>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</si>
  <si>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</si>
  <si>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</si>
  <si>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</si>
  <si>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</si>
  <si>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</si>
  <si>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</si>
  <si>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</si>
  <si>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</si>
  <si>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</si>
  <si>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</si>
  <si>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</si>
  <si>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</si>
  <si>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</si>
  <si>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</si>
  <si>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</si>
  <si>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</si>
  <si>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</si>
  <si>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</si>
  <si>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</si>
  <si>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</si>
  <si>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</si>
  <si>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</si>
  <si>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</si>
  <si>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</si>
  <si>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</si>
  <si>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</si>
  <si>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</si>
  <si>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</si>
  <si>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</si>
  <si>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</si>
  <si>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</si>
  <si>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</si>
  <si>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</si>
  <si>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</si>
  <si>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</si>
  <si>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</si>
  <si>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</si>
  <si>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</si>
  <si>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</si>
  <si>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</si>
  <si>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</si>
  <si>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</si>
  <si>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</si>
  <si>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</si>
  <si>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</si>
  <si>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</si>
  <si>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</si>
  <si>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</si>
  <si>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</si>
  <si>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</si>
  <si>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</si>
  <si>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</si>
  <si>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</si>
  <si>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</si>
  <si>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</si>
  <si>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</si>
  <si>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</si>
  <si>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</si>
  <si>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</si>
  <si>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</si>
  <si>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</si>
  <si>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</si>
  <si>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</si>
  <si>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</si>
  <si>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</si>
  <si>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</si>
  <si>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</si>
  <si>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</si>
  <si>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</si>
  <si>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</si>
  <si>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</si>
  <si>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</si>
  <si>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</si>
  <si>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</si>
  <si>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</si>
  <si>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</si>
  <si>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</si>
  <si>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</si>
  <si>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</si>
  <si>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</si>
  <si>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</si>
  <si>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</si>
  <si>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</si>
  <si>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</si>
  <si>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</si>
  <si>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</si>
  <si>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</si>
  <si>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</si>
  <si>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</si>
  <si>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</si>
  <si>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</si>
  <si>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</si>
  <si>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</si>
  <si>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</si>
  <si>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</si>
  <si>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</si>
  <si>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</si>
  <si>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</si>
  <si>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</si>
  <si>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</si>
  <si>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</si>
  <si>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</si>
  <si>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</si>
  <si>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</si>
  <si>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</si>
  <si>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</si>
  <si>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</si>
  <si>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</si>
  <si>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</si>
  <si>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</si>
  <si>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</si>
  <si>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</si>
  <si>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</si>
  <si>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</si>
  <si>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</si>
  <si>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</si>
  <si>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</si>
  <si>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</si>
  <si>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</si>
  <si>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</si>
  <si>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</si>
  <si>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</si>
  <si>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</si>
  <si>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</si>
  <si>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</si>
  <si>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</si>
  <si>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</si>
  <si>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</si>
  <si>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</si>
  <si>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</si>
  <si>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</si>
  <si>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</si>
  <si>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</si>
  <si>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</si>
  <si>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</si>
  <si>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</si>
  <si>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</si>
  <si>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</si>
  <si>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</si>
  <si>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</si>
  <si>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</si>
  <si>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</si>
  <si>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</si>
  <si>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</si>
  <si>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</si>
  <si>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</si>
  <si>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</si>
  <si>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</si>
  <si>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</si>
  <si>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</si>
  <si>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</si>
  <si>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</si>
  <si>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</si>
  <si>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</si>
  <si>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</si>
  <si>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</si>
  <si>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</si>
  <si>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</si>
  <si>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</si>
  <si>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</si>
  <si>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</si>
  <si>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</si>
  <si>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</si>
  <si>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</si>
  <si>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</si>
  <si>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</si>
  <si>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</si>
  <si>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</si>
  <si>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</si>
  <si>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</si>
  <si>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</si>
  <si>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</si>
  <si>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</si>
  <si>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</si>
  <si>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</si>
  <si>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</si>
  <si>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</si>
  <si>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</si>
  <si>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</si>
  <si>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</si>
  <si>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</si>
  <si>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</si>
  <si>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</si>
  <si>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</si>
  <si>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</si>
  <si>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</si>
  <si>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</si>
  <si>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</si>
  <si>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</si>
  <si>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</si>
  <si>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</si>
  <si>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</si>
  <si>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</si>
  <si>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</si>
  <si>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</si>
  <si>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</si>
  <si>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</si>
  <si>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</si>
  <si>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</si>
  <si>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</si>
  <si>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</si>
  <si>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</si>
  <si>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</si>
  <si>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</si>
  <si>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</si>
  <si>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</si>
  <si>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</si>
  <si>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</si>
  <si>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</si>
  <si>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</si>
  <si>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</si>
  <si>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</si>
  <si>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</si>
  <si>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</si>
  <si>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</si>
  <si>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</si>
  <si>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</si>
  <si>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</si>
  <si>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</si>
  <si>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</si>
  <si>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</si>
  <si>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</si>
  <si>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</si>
  <si>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</si>
  <si>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</si>
  <si>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</si>
  <si>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</si>
  <si>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</si>
  <si>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</si>
  <si>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</si>
  <si>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</si>
  <si>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</si>
  <si>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</si>
  <si>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</si>
  <si>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</si>
  <si>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</si>
  <si>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</si>
  <si>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</si>
  <si>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</si>
  <si>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</si>
  <si>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</si>
  <si>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</si>
  <si>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</si>
  <si>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</si>
  <si>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</si>
  <si>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</si>
  <si>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</si>
  <si>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</si>
  <si>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</si>
  <si>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</si>
  <si>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</si>
  <si>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</si>
  <si>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</si>
  <si>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</si>
  <si>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</si>
  <si>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</si>
  <si>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</si>
  <si>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</si>
  <si>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</si>
  <si>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</si>
  <si>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</si>
  <si>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</si>
  <si>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</si>
  <si>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</si>
  <si>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</si>
  <si>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</si>
  <si>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</si>
  <si>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</si>
  <si>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</si>
  <si>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</si>
  <si>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</si>
  <si>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</si>
  <si>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</si>
  <si>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</si>
  <si>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</si>
  <si>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</si>
  <si>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</si>
  <si>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</si>
  <si>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</si>
  <si>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</si>
  <si>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</si>
  <si>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</si>
  <si>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</si>
  <si>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</si>
  <si>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</si>
  <si>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</si>
  <si>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</si>
  <si>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</si>
  <si>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</si>
  <si>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</si>
  <si>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</si>
  <si>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</si>
  <si>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</si>
  <si>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</si>
  <si>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</si>
  <si>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</si>
  <si>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</si>
  <si>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</si>
  <si>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</si>
  <si>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</si>
  <si>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</si>
  <si>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</si>
  <si>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</si>
  <si>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</si>
  <si>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</si>
  <si>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</si>
  <si>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</si>
  <si>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</si>
  <si>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</si>
  <si>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</si>
  <si>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</si>
  <si>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</si>
  <si>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</si>
  <si>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</si>
  <si>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</si>
  <si>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</si>
  <si>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</si>
  <si>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</si>
  <si>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</si>
  <si>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</si>
  <si>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</si>
  <si>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</si>
  <si>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</si>
  <si>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</si>
  <si>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</si>
  <si>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</si>
  <si>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</si>
  <si>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</si>
  <si>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</si>
  <si>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</si>
  <si>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</si>
  <si>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</si>
  <si>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</si>
  <si>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</si>
  <si>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</si>
  <si>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</si>
  <si>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</si>
  <si>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</si>
  <si>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</si>
  <si>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</si>
  <si>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</si>
  <si>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</si>
  <si>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</si>
  <si>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</si>
  <si>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</si>
  <si>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</si>
  <si>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</si>
  <si>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</si>
  <si>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</si>
  <si>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</si>
  <si>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</si>
  <si>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</si>
  <si>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</si>
  <si>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</si>
  <si>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</si>
  <si>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</si>
  <si>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</si>
  <si>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</si>
  <si>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</si>
  <si>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</si>
  <si>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</si>
  <si>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</si>
  <si>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</si>
  <si>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</si>
  <si>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</si>
  <si>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</si>
  <si>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</si>
  <si>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</si>
  <si>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</si>
  <si>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</si>
  <si>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</si>
  <si>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</si>
  <si>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</si>
  <si>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</si>
  <si>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</si>
  <si>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</si>
  <si>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</si>
  <si>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</si>
  <si>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</si>
  <si>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</si>
  <si>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</si>
  <si>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</si>
  <si>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</si>
  <si>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</si>
  <si>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</si>
  <si>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</si>
  <si>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</si>
  <si>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</si>
  <si>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</si>
  <si>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</si>
  <si>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</si>
  <si>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</si>
  <si>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</si>
  <si>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</si>
  <si>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</si>
  <si>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</si>
  <si>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</si>
  <si>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</si>
  <si>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</si>
  <si>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</si>
  <si>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</si>
  <si>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</si>
  <si>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</si>
  <si>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</si>
  <si>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</si>
  <si>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</si>
  <si>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</si>
  <si>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</si>
  <si>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</si>
  <si>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</si>
  <si>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</si>
  <si>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</si>
  <si>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</si>
  <si>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</si>
  <si>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</si>
  <si>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</si>
  <si>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</si>
  <si>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</si>
  <si>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</si>
  <si>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</si>
  <si>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</si>
  <si>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</si>
  <si>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</si>
  <si>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</si>
  <si>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</si>
  <si>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</si>
  <si>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</si>
  <si>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</si>
  <si>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</si>
  <si>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</si>
  <si>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</si>
  <si>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</si>
  <si>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</si>
  <si>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</si>
  <si>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</si>
  <si>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</si>
  <si>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</si>
  <si>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</si>
  <si>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</si>
  <si>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</si>
  <si>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</si>
  <si>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</si>
  <si>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</si>
  <si>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</si>
  <si>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</si>
  <si>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</si>
  <si>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</si>
  <si>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</si>
  <si>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</si>
  <si>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</si>
  <si>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</si>
  <si>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</si>
  <si>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</si>
  <si>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</si>
  <si>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</si>
  <si>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</si>
  <si>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</si>
  <si>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</si>
  <si>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</si>
  <si>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</si>
  <si>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</si>
  <si>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</si>
  <si>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</si>
  <si>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</si>
  <si>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</si>
  <si>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</si>
  <si>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</si>
  <si>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</si>
  <si>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</si>
  <si>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</si>
  <si>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</si>
  <si>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</si>
  <si>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</si>
  <si>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</si>
  <si>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</si>
  <si>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</si>
  <si>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</si>
  <si>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</si>
  <si>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</si>
  <si>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</si>
  <si>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</si>
  <si>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</si>
  <si>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</si>
  <si>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</si>
  <si>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</si>
  <si>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</si>
  <si>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</si>
  <si>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</si>
  <si>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</si>
  <si>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</si>
  <si>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</si>
  <si>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</si>
  <si>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</si>
  <si>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</si>
  <si>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</si>
  <si>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</si>
  <si>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</si>
  <si>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</si>
  <si>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</si>
  <si>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</si>
  <si>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</si>
  <si>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</si>
  <si>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</si>
  <si>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</si>
  <si>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</si>
  <si>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</si>
  <si>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</si>
  <si>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</si>
  <si>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</si>
  <si>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</si>
  <si>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</si>
  <si>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</si>
  <si>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</si>
  <si>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</si>
  <si>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</si>
  <si>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</si>
  <si>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</si>
  <si>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</si>
  <si>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</si>
  <si>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</si>
  <si>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</si>
  <si>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</si>
  <si>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</si>
  <si>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</si>
  <si>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</si>
  <si>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</si>
  <si>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</si>
  <si>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</si>
  <si>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</si>
  <si>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</si>
  <si>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</si>
  <si>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</si>
  <si>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</si>
  <si>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</si>
  <si>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</si>
  <si>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</si>
  <si>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</si>
  <si>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</si>
  <si>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</si>
  <si>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</si>
  <si>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</si>
  <si>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</si>
  <si>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</si>
  <si>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</si>
  <si>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</si>
  <si>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</si>
  <si>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</si>
  <si>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</si>
  <si>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</si>
  <si>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</si>
  <si>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</si>
  <si>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</si>
  <si>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</si>
  <si>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</si>
  <si>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</si>
  <si>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</si>
  <si>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</si>
  <si>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</si>
  <si>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</si>
  <si>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</si>
  <si>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</si>
  <si>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</si>
  <si>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</si>
  <si>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</si>
  <si>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</si>
  <si>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</si>
  <si>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</si>
  <si>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</si>
  <si>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</si>
  <si>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</si>
  <si>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</si>
  <si>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</si>
  <si>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</si>
  <si>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</si>
  <si>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</si>
  <si>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</si>
  <si>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</si>
  <si>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</si>
  <si>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</si>
  <si>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</si>
  <si>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</si>
  <si>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</si>
  <si>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</si>
  <si>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</si>
  <si>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</si>
  <si>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</si>
  <si>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</si>
  <si>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</si>
  <si>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</si>
  <si>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</si>
  <si>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</si>
  <si>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</si>
  <si>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</si>
  <si>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</si>
  <si>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</si>
  <si>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</si>
  <si>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</si>
  <si>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</si>
  <si>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</si>
  <si>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</si>
  <si>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</si>
  <si>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</si>
  <si>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</si>
  <si>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</si>
  <si>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</si>
  <si>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</si>
  <si>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</si>
  <si>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</si>
  <si>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</si>
  <si>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</si>
  <si>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</si>
  <si>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</si>
  <si>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</si>
  <si>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</si>
  <si>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</si>
  <si>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</si>
  <si>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</si>
  <si>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</si>
  <si>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</si>
  <si>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</si>
  <si>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</si>
  <si>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</si>
  <si>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</si>
  <si>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</si>
  <si>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</si>
  <si>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</si>
  <si>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</si>
  <si>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</si>
  <si>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</si>
  <si>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</si>
  <si>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</si>
  <si>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</si>
  <si>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</si>
  <si>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</si>
  <si>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</si>
  <si>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</si>
  <si>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</si>
  <si>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</si>
  <si>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</si>
  <si>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</si>
  <si>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</si>
  <si>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</si>
  <si>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</si>
  <si>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</si>
  <si>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</si>
  <si>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</si>
  <si>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</si>
  <si>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</si>
  <si>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</si>
  <si>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</si>
  <si>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</si>
  <si>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</si>
  <si>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</si>
  <si>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</si>
  <si>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</si>
  <si>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</si>
  <si>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</si>
  <si>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</si>
  <si>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</si>
  <si>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</si>
  <si>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</si>
  <si>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</si>
  <si>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</si>
  <si>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</si>
  <si>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</si>
  <si>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</si>
  <si>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</si>
  <si>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</si>
  <si>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</si>
  <si>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</si>
  <si>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</si>
  <si>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</si>
  <si>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</si>
  <si>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</si>
  <si>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</si>
  <si>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</si>
  <si>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</si>
  <si>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</si>
  <si>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</si>
  <si>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</si>
  <si>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</si>
  <si>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</si>
  <si>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</si>
  <si>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</si>
  <si>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</si>
  <si>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</si>
  <si>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</si>
  <si>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</si>
  <si>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</si>
  <si>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</si>
  <si>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</si>
  <si>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</si>
  <si>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</si>
  <si>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</si>
  <si>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</si>
  <si>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</si>
  <si>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</si>
  <si>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</si>
  <si>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</si>
  <si>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</si>
  <si>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</si>
  <si>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</si>
  <si>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</si>
  <si>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</si>
  <si>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</si>
  <si>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</si>
  <si>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</si>
  <si>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</si>
  <si>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</si>
  <si>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</si>
  <si>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</si>
  <si>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</si>
  <si>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</si>
  <si>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</si>
  <si>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</si>
  <si>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</si>
  <si>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</si>
  <si>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</si>
  <si>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</si>
  <si>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</si>
  <si>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</si>
  <si>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</si>
  <si>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</si>
  <si>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</si>
  <si>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</si>
  <si>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</si>
  <si>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</si>
  <si>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</si>
  <si>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</si>
  <si>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</si>
  <si>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</si>
  <si>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</si>
  <si>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</si>
  <si>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</si>
  <si>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</si>
  <si>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</si>
  <si>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</si>
  <si>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</si>
  <si>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</si>
  <si>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</si>
  <si>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</si>
  <si>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</si>
  <si>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</si>
  <si>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</si>
  <si>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</si>
  <si>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</si>
  <si>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</si>
  <si>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</si>
  <si>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</si>
  <si>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</si>
  <si>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</si>
  <si>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</si>
  <si>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</si>
  <si>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</si>
  <si>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</si>
  <si>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</si>
  <si>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</si>
  <si>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</si>
  <si>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</si>
  <si>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</si>
  <si>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</si>
  <si>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</si>
  <si>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</si>
  <si>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</si>
  <si>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</si>
  <si>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</si>
  <si>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</si>
  <si>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</si>
  <si>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</si>
  <si>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</si>
  <si>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</si>
  <si>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</si>
  <si>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</si>
  <si>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</si>
  <si>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</si>
  <si>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</si>
  <si>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</si>
  <si>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</si>
  <si>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</si>
  <si>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</si>
  <si>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</si>
  <si>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</si>
  <si>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</si>
  <si>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</si>
  <si>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</si>
  <si>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</si>
  <si>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</si>
  <si>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</si>
  <si>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</si>
  <si>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</si>
  <si>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</si>
  <si>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</si>
  <si>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</si>
  <si>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</si>
  <si>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</si>
  <si>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</si>
  <si>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</si>
  <si>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</si>
  <si>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</si>
  <si>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</si>
  <si>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</si>
  <si>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</si>
  <si>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</si>
  <si>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</si>
  <si>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</si>
  <si>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</si>
  <si>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</si>
  <si>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</si>
  <si>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</si>
  <si>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</si>
  <si>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</si>
  <si>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</si>
  <si>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</si>
  <si>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</si>
  <si>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</si>
  <si>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</si>
  <si>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</si>
  <si>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</si>
  <si>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</si>
  <si>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</si>
  <si>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</si>
  <si>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</si>
  <si>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</si>
  <si>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</si>
  <si>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</si>
  <si>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</si>
  <si>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</si>
  <si>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</si>
  <si>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</si>
  <si>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</si>
  <si>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</si>
  <si>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</si>
  <si>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</si>
  <si>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</si>
  <si>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</si>
  <si>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</si>
  <si>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</si>
  <si>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</si>
  <si>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</si>
  <si>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</si>
  <si>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</si>
  <si>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</si>
  <si>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</si>
  <si>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</si>
  <si>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</si>
  <si>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</si>
  <si>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</si>
  <si>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</si>
  <si>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</si>
  <si>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</si>
  <si>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</si>
  <si>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</si>
  <si>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</si>
  <si>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</si>
  <si>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</si>
  <si>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</si>
  <si>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</si>
  <si>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</si>
  <si>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</si>
  <si>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</si>
  <si>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</si>
  <si>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</si>
  <si>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</si>
  <si>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</si>
  <si>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</si>
  <si>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</si>
  <si>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</si>
  <si>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</si>
  <si>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</si>
  <si>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</si>
  <si>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</si>
  <si>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</si>
  <si>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</si>
  <si>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</si>
  <si>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</si>
  <si>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</si>
  <si>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</si>
  <si>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</si>
  <si>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</si>
  <si>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</si>
  <si>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</si>
  <si>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</si>
  <si>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</si>
  <si>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</si>
  <si>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</si>
  <si>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</si>
  <si>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</si>
  <si>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</si>
  <si>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</si>
  <si>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</si>
  <si>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</si>
  <si>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</si>
  <si>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</si>
  <si>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</si>
  <si>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</si>
  <si>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</si>
  <si>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</si>
  <si>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</si>
  <si>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</si>
  <si>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</si>
  <si>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</si>
  <si>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</si>
  <si>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</si>
  <si>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</si>
  <si>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</si>
  <si>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</si>
  <si>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</si>
  <si>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</si>
  <si>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</si>
  <si>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</si>
  <si>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</si>
  <si>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</si>
  <si>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</si>
  <si>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</si>
  <si>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</si>
  <si>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</si>
  <si>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</si>
  <si>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</si>
  <si>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</si>
  <si>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</si>
  <si>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</si>
  <si>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</si>
  <si>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</si>
  <si>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</si>
  <si>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</si>
  <si>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</si>
  <si>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</si>
  <si>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</si>
  <si>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</si>
  <si>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</si>
  <si>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</si>
  <si>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</si>
  <si>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</si>
  <si>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</si>
  <si>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</si>
  <si>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</si>
  <si>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</si>
  <si>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</si>
  <si>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</si>
  <si>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</si>
  <si>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</si>
  <si>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</si>
  <si>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</si>
  <si>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</si>
  <si>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</si>
  <si>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</si>
  <si>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</si>
  <si>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</si>
  <si>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</si>
  <si>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</si>
  <si>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</si>
  <si>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</si>
  <si>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</si>
  <si>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</si>
  <si>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</si>
  <si>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</si>
  <si>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</si>
  <si>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</si>
  <si>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</si>
  <si>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</si>
  <si>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</si>
  <si>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</si>
  <si>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</si>
  <si>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</si>
  <si>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</si>
  <si>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</si>
  <si>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</si>
  <si>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</si>
  <si>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</si>
  <si>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</si>
  <si>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</si>
  <si>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</si>
  <si>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</si>
  <si>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</si>
  <si>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</si>
  <si>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</si>
  <si>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</si>
  <si>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</si>
  <si>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</si>
  <si>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</si>
  <si>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</si>
  <si>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</si>
  <si>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</si>
  <si>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</si>
  <si>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</si>
  <si>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</si>
  <si>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</si>
  <si>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</si>
  <si>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</si>
  <si>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</si>
  <si>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</si>
  <si>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</si>
  <si>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</si>
  <si>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</si>
  <si>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</si>
  <si>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</si>
  <si>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</si>
  <si>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</si>
  <si>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</si>
  <si>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</si>
  <si>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</si>
  <si>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</si>
  <si>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</si>
  <si>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</si>
  <si>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</si>
  <si>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</si>
  <si>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</si>
  <si>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</si>
  <si>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</si>
  <si>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</si>
  <si>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</si>
  <si>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</si>
  <si>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</si>
  <si>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</si>
  <si>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</si>
  <si>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</si>
  <si>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</si>
  <si>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</si>
  <si>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</si>
  <si>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</si>
  <si>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</si>
  <si>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</si>
  <si>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</si>
  <si>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</si>
  <si>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</si>
  <si>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</si>
  <si>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</si>
  <si>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</si>
  <si>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</si>
  <si>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</si>
  <si>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</si>
  <si>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</si>
  <si>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</si>
  <si>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</si>
  <si>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</si>
  <si>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</si>
  <si>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</si>
  <si>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</si>
  <si>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</si>
  <si>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</si>
  <si>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</si>
  <si>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</si>
  <si>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</si>
  <si>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</si>
  <si>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</si>
  <si>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</si>
  <si>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</si>
  <si>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</si>
  <si>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</si>
  <si>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</si>
  <si>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</si>
  <si>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</si>
  <si>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</si>
  <si>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</si>
  <si>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</si>
  <si>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</si>
  <si>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</si>
  <si>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</si>
  <si>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</si>
  <si>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</si>
  <si>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</si>
  <si>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</si>
  <si>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</si>
  <si>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</si>
  <si>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8 NİSAN YILDIZ DEPO</t>
  </si>
  <si>
    <t>PREMIUM 4 LÜ SET</t>
  </si>
  <si>
    <t>ONLINE SATILABİLİR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</si>
  <si>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</si>
  <si>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</si>
  <si>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</si>
  <si>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</si>
  <si>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</si>
  <si>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</si>
  <si>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</si>
  <si>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</si>
  <si>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</si>
  <si>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</si>
  <si>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</si>
  <si>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</si>
  <si>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</si>
  <si>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</si>
  <si>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</si>
  <si>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</si>
  <si>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</si>
  <si>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</si>
  <si>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</si>
  <si>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</si>
  <si>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</si>
  <si>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</si>
  <si>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</si>
  <si>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</si>
  <si>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</si>
  <si>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</si>
  <si>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</si>
  <si>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</si>
  <si>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</si>
  <si>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</si>
  <si>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</si>
  <si>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</si>
  <si>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</si>
  <si>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</si>
  <si>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</si>
  <si>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</si>
  <si>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</si>
  <si>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</si>
  <si>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</si>
  <si>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</si>
  <si>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</si>
  <si>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</si>
  <si>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</si>
  <si>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</si>
  <si>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</si>
  <si>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</si>
  <si>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</si>
  <si>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</si>
  <si>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</si>
  <si>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</si>
  <si>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</si>
  <si>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</si>
  <si>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 xml:space="preserve">MONTAJ ZORUNLU BİP / SATIŞ FİYATINDAN DÜŞÜLECEK 21.04.2026-15.05.2026 tarihleri arasında offline geçerli </t>
  </si>
  <si>
    <t>PRİM HARİÇ</t>
  </si>
  <si>
    <t>GİRİŞ SET</t>
  </si>
  <si>
    <t>iQ700 studioLine Gazlı Ocak, 90cm, 5 Gözlü, Sert Cam, Siyah, Döküm, Wok</t>
  </si>
  <si>
    <t>23 NİSAN HOROZ</t>
  </si>
  <si>
    <t>22 nisan BEKLEYEN</t>
  </si>
  <si>
    <t>ONLINE FİYAT</t>
  </si>
  <si>
    <t>KD76NAWE1N</t>
  </si>
  <si>
    <t>ANKASTRE BULAŞIK / LDA</t>
  </si>
  <si>
    <t>https://www.siemens-home.bsh-group.com/tr/tr/product/KD76NAWE1N</t>
  </si>
  <si>
    <t>https://www.siemens-home.bsh-group.com/tr/tr/product/buzdolaplari-ve-derin-dondurucular/ankastre-buzdolaplari-ve-derin-dondurucular/ankastre-buzdolaplari/KI82LADD0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</si>
</sst>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2" fillId="0" borderId="0"/>
    <xf numFmtId="0" fontId="1" fillId="0" borderId="0"/>
    <xf numFmtId="0" fontId="36" fillId="0" borderId="0"/>
    <xf numFmtId="0" fontId="37" fillId="0" borderId="0"/>
    <xf numFmtId="0" fontId="22" fillId="0" borderId="0"/>
    <xf numFmtId="0" fontId="52" fillId="0" borderId="0" applyNumberFormat="0" applyFill="0" applyBorder="0" applyAlignment="0" applyProtection="0"/>
    <xf numFmtId="0" fontId="1" fillId="0" borderId="0"/>
    <xf numFmtId="0" fontId="1" fillId="0" borderId="0"/>
    <xf numFmtId="0" fontId="52" fillId="0" borderId="0" applyNumberFormat="0" applyFill="0" applyBorder="0" applyAlignment="0" applyProtection="0"/>
    <xf numFmtId="0" fontId="1" fillId="0" borderId="0"/>
  </cellStyleXfs>
  <cellXfs count="27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20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0" fillId="0" borderId="0" xfId="1" applyNumberFormat="1" applyFont="1" applyFill="1" applyAlignment="1">
      <alignment horizontal="left" vertical="center"/>
    </xf>
    <xf numFmtId="0" fontId="24" fillId="0" borderId="0" xfId="0" applyFont="1"/>
    <xf numFmtId="164" fontId="20" fillId="0" borderId="0" xfId="1" applyNumberFormat="1" applyFont="1" applyFill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9" fillId="8" borderId="0" xfId="0" applyFont="1" applyFill="1" applyAlignment="1">
      <alignment horizontal="left" vertical="center" wrapText="1"/>
    </xf>
    <xf numFmtId="0" fontId="27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2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164" fontId="15" fillId="0" borderId="0" xfId="1" applyNumberFormat="1" applyFont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left"/>
    </xf>
    <xf numFmtId="164" fontId="35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1" fillId="0" borderId="0" xfId="0" applyFont="1" applyAlignment="1">
      <alignment horizontal="left" vertical="center"/>
    </xf>
    <xf numFmtId="0" fontId="52" fillId="0" borderId="0" xfId="7" applyAlignment="1">
      <alignment vertical="center"/>
    </xf>
    <xf numFmtId="164" fontId="20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26" fillId="7" borderId="0" xfId="0" applyFont="1" applyFill="1" applyAlignment="1">
      <alignment horizontal="left"/>
    </xf>
    <xf numFmtId="0" fontId="28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28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0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3" fillId="26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left"/>
    </xf>
    <xf numFmtId="0" fontId="20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3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165" fontId="20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5" fillId="5" borderId="1" xfId="1" applyNumberFormat="1" applyFont="1" applyFill="1" applyBorder="1" applyAlignment="1" applyProtection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164" fontId="56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7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2" fillId="0" borderId="1" xfId="1" applyNumberFormat="1" applyFont="1" applyFill="1" applyBorder="1" applyAlignment="1">
      <alignment horizontal="center" vertical="center" wrapText="1"/>
    </xf>
    <xf numFmtId="164" fontId="20" fillId="8" borderId="0" xfId="1" applyNumberFormat="1" applyFont="1" applyFill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164" fontId="15" fillId="8" borderId="0" xfId="1" applyNumberFormat="1" applyFont="1" applyFill="1" applyAlignment="1">
      <alignment horizontal="center" vertical="center"/>
    </xf>
    <xf numFmtId="0" fontId="25" fillId="29" borderId="0" xfId="0" applyFont="1" applyFill="1" applyAlignment="1">
      <alignment horizontal="left" vertical="center"/>
    </xf>
    <xf numFmtId="0" fontId="23" fillId="30" borderId="0" xfId="0" applyFont="1" applyFill="1" applyAlignment="1">
      <alignment horizontal="left" vertical="center"/>
    </xf>
    <xf numFmtId="0" fontId="3" fillId="30" borderId="0" xfId="0" applyFont="1" applyFill="1" applyAlignment="1">
      <alignment horizontal="left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2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2" fillId="0" borderId="0" xfId="7" applyNumberFormat="1"/>
    <xf numFmtId="0" fontId="62" fillId="0" borderId="0" xfId="0" applyFont="1" applyAlignment="1">
      <alignment horizontal="left" vertical="center" wrapText="1"/>
    </xf>
    <xf numFmtId="0" fontId="25" fillId="16" borderId="0" xfId="0" applyFont="1" applyFill="1" applyAlignment="1">
      <alignment horizontal="left" vertical="center"/>
    </xf>
    <xf numFmtId="0" fontId="25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1" fillId="0" borderId="0" xfId="8" applyAlignment="1">
      <alignment horizontal="left"/>
    </xf>
    <xf numFmtId="0" fontId="1" fillId="0" borderId="0" xfId="0" applyFont="1"/>
    <xf numFmtId="0" fontId="60" fillId="0" borderId="0" xfId="0" applyFont="1" applyAlignment="1">
      <alignment horizontal="left"/>
    </xf>
    <xf numFmtId="0" fontId="63" fillId="0" borderId="1" xfId="0" applyFont="1" applyBorder="1" applyAlignment="1">
      <alignment horizontal="left"/>
    </xf>
    <xf numFmtId="164" fontId="20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8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20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82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83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164" fontId="19" fillId="6" borderId="0" xfId="1" applyNumberFormat="1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left"/>
    </xf>
    <xf numFmtId="164" fontId="32" fillId="8" borderId="0" xfId="1" applyNumberFormat="1" applyFont="1" applyFill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" fillId="15" borderId="0" xfId="0" applyFont="1" applyFill="1" applyAlignment="1">
      <alignment horizontal="left"/>
    </xf>
    <xf numFmtId="164" fontId="10" fillId="8" borderId="0" xfId="1" applyNumberFormat="1" applyFont="1" applyFill="1" applyAlignment="1">
      <alignment horizontal="center" vertical="center"/>
    </xf>
    <xf numFmtId="164" fontId="19" fillId="8" borderId="0" xfId="1" applyNumberFormat="1" applyFont="1" applyFill="1" applyAlignment="1">
      <alignment horizontal="center" vertical="center" wrapText="1"/>
    </xf>
    <xf numFmtId="0" fontId="84" fillId="31" borderId="12" xfId="9" applyFont="1" applyFill="1" applyBorder="1" applyAlignment="1">
      <alignment horizontal="center" vertical="center"/>
    </xf>
    <xf numFmtId="49" fontId="84" fillId="31" borderId="12" xfId="9" applyNumberFormat="1" applyFont="1" applyFill="1" applyBorder="1" applyAlignment="1">
      <alignment horizontal="center" vertical="center"/>
    </xf>
    <xf numFmtId="0" fontId="1" fillId="0" borderId="0" xfId="11"/>
    <xf numFmtId="0" fontId="52" fillId="0" borderId="0" xfId="10"/>
    <xf numFmtId="49" fontId="52" fillId="0" borderId="0" xfId="10" applyNumberFormat="1"/>
    <xf numFmtId="49" fontId="1" fillId="0" borderId="0" xfId="11" applyNumberFormat="1"/>
    <xf numFmtId="0" fontId="1" fillId="0" borderId="0" xfId="11" applyAlignment="1">
      <alignment vertical="center"/>
    </xf>
    <xf numFmtId="0" fontId="52" fillId="0" borderId="0" xfId="10" applyAlignment="1">
      <alignment vertical="center"/>
    </xf>
    <xf numFmtId="0" fontId="0" fillId="0" borderId="0" xfId="11" applyFont="1" applyAlignment="1">
      <alignment horizontal="left"/>
    </xf>
    <xf numFmtId="0" fontId="10" fillId="5" borderId="1" xfId="0" applyFont="1" applyFill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164" fontId="85" fillId="0" borderId="0" xfId="0" applyNumberFormat="1" applyFont="1" applyAlignment="1">
      <alignment horizontal="center" vertical="center"/>
    </xf>
    <xf numFmtId="0" fontId="85" fillId="8" borderId="0" xfId="0" applyFont="1" applyFill="1" applyAlignment="1">
      <alignment horizontal="center" vertical="center"/>
    </xf>
    <xf numFmtId="0" fontId="86" fillId="0" borderId="0" xfId="0" applyFont="1"/>
    <xf numFmtId="0" fontId="85" fillId="20" borderId="0" xfId="0" applyFont="1" applyFill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5" fillId="6" borderId="0" xfId="0" applyFont="1" applyFill="1" applyAlignment="1">
      <alignment horizontal="center" vertical="center"/>
    </xf>
    <xf numFmtId="164" fontId="20" fillId="11" borderId="0" xfId="1" applyNumberFormat="1" applyFont="1" applyFill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4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9" fillId="25" borderId="4" xfId="0" applyFont="1" applyFill="1" applyBorder="1" applyAlignment="1">
      <alignment horizontal="center" vertical="center" wrapText="1"/>
    </xf>
    <xf numFmtId="0" fontId="39" fillId="25" borderId="6" xfId="0" applyFont="1" applyFill="1" applyBorder="1" applyAlignment="1">
      <alignment horizontal="center" vertical="center" wrapText="1"/>
    </xf>
    <xf numFmtId="0" fontId="39" fillId="25" borderId="11" xfId="0" applyFont="1" applyFill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78" fillId="5" borderId="3" xfId="6" applyFont="1" applyFill="1" applyBorder="1" applyAlignment="1">
      <alignment horizontal="center" vertical="center" wrapText="1"/>
    </xf>
    <xf numFmtId="0" fontId="78" fillId="5" borderId="5" xfId="6" applyFont="1" applyFill="1" applyBorder="1" applyAlignment="1">
      <alignment horizontal="center" vertical="center" wrapText="1"/>
    </xf>
    <xf numFmtId="0" fontId="78" fillId="5" borderId="7" xfId="6" applyFont="1" applyFill="1" applyBorder="1" applyAlignment="1">
      <alignment horizontal="center" vertical="center" wrapText="1"/>
    </xf>
    <xf numFmtId="0" fontId="78" fillId="5" borderId="8" xfId="6" applyFont="1" applyFill="1" applyBorder="1" applyAlignment="1">
      <alignment horizontal="center" vertical="center" wrapText="1"/>
    </xf>
    <xf numFmtId="0" fontId="78" fillId="5" borderId="9" xfId="6" applyFont="1" applyFill="1" applyBorder="1" applyAlignment="1">
      <alignment horizontal="center" vertical="center" wrapText="1"/>
    </xf>
    <xf numFmtId="0" fontId="78" fillId="5" borderId="10" xfId="6" applyFont="1" applyFill="1" applyBorder="1" applyAlignment="1">
      <alignment horizontal="center" vertical="center" wrapText="1"/>
    </xf>
    <xf numFmtId="0" fontId="64" fillId="4" borderId="3" xfId="0" applyFont="1" applyFill="1" applyBorder="1" applyAlignment="1">
      <alignment horizontal="center" vertical="center" wrapText="1"/>
    </xf>
    <xf numFmtId="0" fontId="64" fillId="4" borderId="5" xfId="0" applyFont="1" applyFill="1" applyBorder="1" applyAlignment="1">
      <alignment horizontal="center" vertical="center" wrapText="1"/>
    </xf>
    <xf numFmtId="0" fontId="64" fillId="4" borderId="7" xfId="0" applyFont="1" applyFill="1" applyBorder="1" applyAlignment="1">
      <alignment horizontal="center" vertical="center" wrapText="1"/>
    </xf>
    <xf numFmtId="0" fontId="64" fillId="4" borderId="8" xfId="0" applyFont="1" applyFill="1" applyBorder="1" applyAlignment="1">
      <alignment horizontal="center" vertical="center" wrapText="1"/>
    </xf>
    <xf numFmtId="0" fontId="64" fillId="4" borderId="9" xfId="0" applyFont="1" applyFill="1" applyBorder="1" applyAlignment="1">
      <alignment horizontal="center" vertical="center" wrapText="1"/>
    </xf>
    <xf numFmtId="0" fontId="64" fillId="4" borderId="10" xfId="0" applyFont="1" applyFill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center" vertical="center" wrapText="1"/>
    </xf>
    <xf numFmtId="0" fontId="39" fillId="4" borderId="5" xfId="0" applyFont="1" applyFill="1" applyBorder="1" applyAlignment="1">
      <alignment horizontal="center" vertical="center" wrapText="1"/>
    </xf>
    <xf numFmtId="0" fontId="39" fillId="4" borderId="7" xfId="0" applyFont="1" applyFill="1" applyBorder="1" applyAlignment="1">
      <alignment horizontal="center" vertical="center" wrapText="1"/>
    </xf>
    <xf numFmtId="0" fontId="39" fillId="4" borderId="8" xfId="0" applyFont="1" applyFill="1" applyBorder="1" applyAlignment="1">
      <alignment horizontal="center" vertical="center" wrapText="1"/>
    </xf>
    <xf numFmtId="0" fontId="39" fillId="4" borderId="9" xfId="0" applyFont="1" applyFill="1" applyBorder="1" applyAlignment="1">
      <alignment horizontal="center" vertical="center" wrapText="1"/>
    </xf>
    <xf numFmtId="0" fontId="39" fillId="4" borderId="10" xfId="0" applyFont="1" applyFill="1" applyBorder="1" applyAlignment="1">
      <alignment horizontal="center" vertical="center" wrapText="1"/>
    </xf>
    <xf numFmtId="0" fontId="79" fillId="5" borderId="3" xfId="6" applyFont="1" applyFill="1" applyBorder="1" applyAlignment="1">
      <alignment horizontal="center" vertical="center" wrapText="1"/>
    </xf>
    <xf numFmtId="0" fontId="79" fillId="5" borderId="5" xfId="6" applyFont="1" applyFill="1" applyBorder="1" applyAlignment="1">
      <alignment horizontal="center" vertical="center" wrapText="1"/>
    </xf>
    <xf numFmtId="0" fontId="79" fillId="5" borderId="7" xfId="6" applyFont="1" applyFill="1" applyBorder="1" applyAlignment="1">
      <alignment horizontal="center" vertical="center" wrapText="1"/>
    </xf>
    <xf numFmtId="0" fontId="79" fillId="5" borderId="8" xfId="6" applyFont="1" applyFill="1" applyBorder="1" applyAlignment="1">
      <alignment horizontal="center" vertical="center" wrapText="1"/>
    </xf>
    <xf numFmtId="0" fontId="79" fillId="5" borderId="9" xfId="6" applyFont="1" applyFill="1" applyBorder="1" applyAlignment="1">
      <alignment horizontal="center" vertical="center" wrapText="1"/>
    </xf>
    <xf numFmtId="0" fontId="79" fillId="5" borderId="10" xfId="6" applyFont="1" applyFill="1" applyBorder="1" applyAlignment="1">
      <alignment horizontal="center" vertical="center" wrapText="1"/>
    </xf>
    <xf numFmtId="0" fontId="80" fillId="4" borderId="3" xfId="0" applyFont="1" applyFill="1" applyBorder="1" applyAlignment="1">
      <alignment horizontal="center" vertical="center" wrapText="1"/>
    </xf>
    <xf numFmtId="0" fontId="80" fillId="4" borderId="5" xfId="0" applyFont="1" applyFill="1" applyBorder="1" applyAlignment="1">
      <alignment horizontal="center" vertical="center" wrapText="1"/>
    </xf>
    <xf numFmtId="0" fontId="80" fillId="4" borderId="7" xfId="0" applyFont="1" applyFill="1" applyBorder="1" applyAlignment="1">
      <alignment horizontal="center" vertical="center" wrapText="1"/>
    </xf>
    <xf numFmtId="0" fontId="80" fillId="4" borderId="8" xfId="0" applyFont="1" applyFill="1" applyBorder="1" applyAlignment="1">
      <alignment horizontal="center" vertical="center" wrapText="1"/>
    </xf>
    <xf numFmtId="0" fontId="80" fillId="4" borderId="9" xfId="0" applyFont="1" applyFill="1" applyBorder="1" applyAlignment="1">
      <alignment horizontal="center" vertical="center" wrapText="1"/>
    </xf>
    <xf numFmtId="0" fontId="80" fillId="4" borderId="10" xfId="0" applyFont="1" applyFill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 wrapText="1"/>
    </xf>
    <xf numFmtId="0" fontId="68" fillId="4" borderId="3" xfId="0" applyFont="1" applyFill="1" applyBorder="1" applyAlignment="1">
      <alignment horizontal="center" vertical="center" wrapText="1"/>
    </xf>
    <xf numFmtId="0" fontId="68" fillId="4" borderId="5" xfId="0" applyFont="1" applyFill="1" applyBorder="1" applyAlignment="1">
      <alignment horizontal="center" vertical="center" wrapText="1"/>
    </xf>
    <xf numFmtId="0" fontId="68" fillId="4" borderId="7" xfId="0" applyFont="1" applyFill="1" applyBorder="1" applyAlignment="1">
      <alignment horizontal="center" vertical="center" wrapText="1"/>
    </xf>
    <xf numFmtId="0" fontId="68" fillId="4" borderId="8" xfId="0" applyFont="1" applyFill="1" applyBorder="1" applyAlignment="1">
      <alignment horizontal="center" vertical="center" wrapText="1"/>
    </xf>
    <xf numFmtId="0" fontId="68" fillId="4" borderId="9" xfId="0" applyFont="1" applyFill="1" applyBorder="1" applyAlignment="1">
      <alignment horizontal="center" vertical="center" wrapText="1"/>
    </xf>
    <xf numFmtId="0" fontId="68" fillId="4" borderId="10" xfId="0" applyFont="1" applyFill="1" applyBorder="1" applyAlignment="1">
      <alignment horizontal="center" vertical="center" wrapText="1"/>
    </xf>
    <xf numFmtId="0" fontId="72" fillId="25" borderId="4" xfId="0" applyFont="1" applyFill="1" applyBorder="1" applyAlignment="1">
      <alignment horizontal="center" vertical="center" wrapText="1"/>
    </xf>
    <xf numFmtId="0" fontId="72" fillId="25" borderId="6" xfId="0" applyFont="1" applyFill="1" applyBorder="1" applyAlignment="1">
      <alignment horizontal="center" vertical="center" wrapText="1"/>
    </xf>
    <xf numFmtId="0" fontId="72" fillId="25" borderId="11" xfId="0" applyFont="1" applyFill="1" applyBorder="1" applyAlignment="1">
      <alignment horizontal="center" vertical="center" wrapText="1"/>
    </xf>
    <xf numFmtId="0" fontId="74" fillId="0" borderId="3" xfId="0" applyFont="1" applyBorder="1" applyAlignment="1">
      <alignment horizontal="center" vertical="center" wrapText="1"/>
    </xf>
    <xf numFmtId="0" fontId="74" fillId="0" borderId="5" xfId="0" applyFont="1" applyBorder="1" applyAlignment="1">
      <alignment horizontal="center" vertical="center" wrapText="1"/>
    </xf>
    <xf numFmtId="0" fontId="74" fillId="0" borderId="7" xfId="0" applyFont="1" applyBorder="1" applyAlignment="1">
      <alignment horizontal="center" vertical="center" wrapText="1"/>
    </xf>
    <xf numFmtId="0" fontId="74" fillId="0" borderId="8" xfId="0" applyFont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74" fillId="0" borderId="10" xfId="0" applyFont="1" applyBorder="1" applyAlignment="1">
      <alignment horizontal="center" vertical="center" wrapText="1"/>
    </xf>
    <xf numFmtId="0" fontId="57" fillId="25" borderId="4" xfId="0" applyFont="1" applyFill="1" applyBorder="1" applyAlignment="1">
      <alignment horizontal="center" vertical="center" wrapText="1"/>
    </xf>
    <xf numFmtId="0" fontId="57" fillId="25" borderId="6" xfId="0" applyFont="1" applyFill="1" applyBorder="1" applyAlignment="1">
      <alignment horizontal="center" vertical="center" wrapText="1"/>
    </xf>
    <xf numFmtId="0" fontId="57" fillId="25" borderId="11" xfId="0" applyFont="1" applyFill="1" applyBorder="1" applyAlignment="1">
      <alignment horizontal="center" vertical="center" wrapText="1"/>
    </xf>
    <xf numFmtId="0" fontId="49" fillId="0" borderId="3" xfId="6" applyFont="1" applyBorder="1" applyAlignment="1">
      <alignment horizontal="left" vertical="center" wrapText="1"/>
    </xf>
    <xf numFmtId="0" fontId="49" fillId="0" borderId="5" xfId="6" applyFont="1" applyBorder="1" applyAlignment="1">
      <alignment horizontal="left" vertical="center" wrapText="1"/>
    </xf>
    <xf numFmtId="0" fontId="49" fillId="0" borderId="7" xfId="6" applyFont="1" applyBorder="1" applyAlignment="1">
      <alignment horizontal="left" vertical="center" wrapText="1"/>
    </xf>
    <xf numFmtId="0" fontId="49" fillId="0" borderId="8" xfId="6" applyFont="1" applyBorder="1" applyAlignment="1">
      <alignment horizontal="left" vertical="center" wrapText="1"/>
    </xf>
    <xf numFmtId="0" fontId="49" fillId="0" borderId="9" xfId="6" applyFont="1" applyBorder="1" applyAlignment="1">
      <alignment horizontal="left" vertical="center" wrapText="1"/>
    </xf>
    <xf numFmtId="0" fontId="49" fillId="0" borderId="10" xfId="6" applyFont="1" applyBorder="1" applyAlignment="1">
      <alignment horizontal="left" vertical="center" wrapText="1"/>
    </xf>
    <xf numFmtId="0" fontId="58" fillId="0" borderId="3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58" fillId="0" borderId="9" xfId="0" applyFont="1" applyBorder="1" applyAlignment="1">
      <alignment horizontal="center" vertical="center" wrapText="1"/>
    </xf>
    <xf numFmtId="0" fontId="58" fillId="0" borderId="10" xfId="0" applyFont="1" applyBorder="1" applyAlignment="1">
      <alignment horizontal="center" vertical="center" wrapText="1"/>
    </xf>
    <xf numFmtId="0" fontId="47" fillId="0" borderId="3" xfId="6" applyFont="1" applyBorder="1" applyAlignment="1">
      <alignment horizontal="center" vertical="center" wrapText="1"/>
    </xf>
    <xf numFmtId="0" fontId="47" fillId="0" borderId="5" xfId="6" applyFont="1" applyBorder="1" applyAlignment="1">
      <alignment horizontal="center" vertical="center" wrapText="1"/>
    </xf>
    <xf numFmtId="0" fontId="47" fillId="0" borderId="7" xfId="6" applyFont="1" applyBorder="1" applyAlignment="1">
      <alignment horizontal="center" vertical="center" wrapText="1"/>
    </xf>
    <xf numFmtId="0" fontId="47" fillId="0" borderId="8" xfId="6" applyFont="1" applyBorder="1" applyAlignment="1">
      <alignment horizontal="center" vertical="center" wrapText="1"/>
    </xf>
    <xf numFmtId="0" fontId="47" fillId="0" borderId="9" xfId="6" applyFont="1" applyBorder="1" applyAlignment="1">
      <alignment horizontal="center" vertical="center" wrapText="1"/>
    </xf>
    <xf numFmtId="0" fontId="47" fillId="0" borderId="10" xfId="6" applyFont="1" applyBorder="1" applyAlignment="1">
      <alignment horizontal="center" vertical="center" wrapText="1"/>
    </xf>
  </cellXfs>
  <cellStyles count="12">
    <cellStyle name="Köprü" xfId="10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1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ankastre/ankastre-ocaklar/EO7C6PO12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31" Type="http://schemas.openxmlformats.org/officeDocument/2006/relationships/hyperlink" Target="https://www.siemens-home.bsh-group.com/tr/tr/product/WN54A2X1TR" TargetMode="External"/><Relationship Id="rId170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75" Type="http://schemas.openxmlformats.org/officeDocument/2006/relationships/hyperlink" Target="https://www.siemens-home.bsh-group.com/tr/tr/product/elektrikli-supurgeler/sarjli-supurgeler/VSM120XXL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pisirme-grubu/ocaklar/gazli-ocaklar/EP6A6PI40O" TargetMode="External"/><Relationship Id="rId335" Type="http://schemas.openxmlformats.org/officeDocument/2006/relationships/hyperlink" Target="https://www.siemens-home.bsh-group.com/tr/tr/product/ankastre/ankastre-davlumbazlar/LC68KAK20T" TargetMode="External"/><Relationship Id="rId542" Type="http://schemas.openxmlformats.org/officeDocument/2006/relationships/hyperlink" Target="https://www.siemens-home.bsh-group.com/tr/tr/product/yikama-ve-utuleme-grubu/kurutma-makineleri/isi-pompali-kurutma-makineleri/WQ43J2C0TR" TargetMode="External"/><Relationship Id="rId181" Type="http://schemas.openxmlformats.org/officeDocument/2006/relationships/hyperlink" Target="https://www.siemens-home.bsh-group.com/tr/tr/product/pisirme-grubu/firinlar/ankastre-firinlar/HB012FBB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279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1" TargetMode="External"/><Relationship Id="rId139" Type="http://schemas.openxmlformats.org/officeDocument/2006/relationships/hyperlink" Target="https://www.siemens-home.bsh-group.com/tr/tr/product/pisirme-grubu/ocaklar/domino-ocaklar/ER3A6BB70" TargetMode="External"/><Relationship Id="rId346" Type="http://schemas.openxmlformats.org/officeDocument/2006/relationships/hyperlink" Target="https://www.siemens-home.bsh-group.com/tr/tr/product/ankastre/ankastre-davlumbazlar/LC95KA670T" TargetMode="External"/><Relationship Id="rId553" Type="http://schemas.openxmlformats.org/officeDocument/2006/relationships/hyperlink" Target="https://www.siemens-home.bsh-group.com/tr/tr/product/prsiemensdryer/WT45W41STR" TargetMode="External"/><Relationship Id="rId192" Type="http://schemas.openxmlformats.org/officeDocument/2006/relationships/hyperlink" Target="https://www.siemens-home.bsh-group.com/tr/tr/product/pisirme-grubu/firinlar/ankastre-firinlar/HB234FEH2T" TargetMode="External"/><Relationship Id="rId206" Type="http://schemas.openxmlformats.org/officeDocument/2006/relationships/hyperlink" Target="https://www.siemens-home.bsh-group.com/tr/tr/product/pisirme-grubu/firinlar/ankastre-firinlar/HB534FER3T" TargetMode="External"/><Relationship Id="rId413" Type="http://schemas.openxmlformats.org/officeDocument/2006/relationships/hyperlink" Target="https://www.siemens-home.bsh-group.com/tr/tr/product/ankastre/ankastre-bulasik-makineleri/SN515W01DT" TargetMode="External"/><Relationship Id="rId497" Type="http://schemas.openxmlformats.org/officeDocument/2006/relationships/hyperlink" Target="https://www.siemens-home.bsh-group.com/tr/tr/product/yikama-ve-utuleme-grubu/camasir-makineleri/solo-camasir-makineleri/WG42K2ZXTR" TargetMode="External"/><Relationship Id="rId357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4" Type="http://schemas.openxmlformats.org/officeDocument/2006/relationships/hyperlink" Target="https://www.siemens-home.bsh-group.com/tr/tr/product/CI60ZBL1" TargetMode="External"/><Relationship Id="rId217" Type="http://schemas.openxmlformats.org/officeDocument/2006/relationships/hyperlink" Target="https://www.siemens-home.bsh-group.com/tr/tr/product/ankastre/ankastre-firinlar/HB676G5S6" TargetMode="External"/><Relationship Id="rId424" Type="http://schemas.openxmlformats.org/officeDocument/2006/relationships/hyperlink" Target="https://www.siemens-home.bsh-group.com/tr/tr/product/SN63HX60MT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8HP30O" TargetMode="External"/><Relationship Id="rId270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326" Type="http://schemas.openxmlformats.org/officeDocument/2006/relationships/hyperlink" Target="https://www.siemens-home.bsh-group.com/tr/tr/product/ankastre/ankastre-davlumbazlar/LC67BBK20T" TargetMode="External"/><Relationship Id="rId533" Type="http://schemas.openxmlformats.org/officeDocument/2006/relationships/hyperlink" Target="https://www.siemens-home.bsh-group.com/tr/tr/product/yikama-ve-utuleme-grubu/kurutmali-camasir-makineleri/wash-dryers/WN54C2A0TR" TargetMode="External"/><Relationship Id="rId65" Type="http://schemas.openxmlformats.org/officeDocument/2006/relationships/hyperlink" Target="https://www.siemens-home.bsh-group.com/tr/tr/product/su-sebilleri/DW15704" TargetMode="External"/><Relationship Id="rId130" Type="http://schemas.openxmlformats.org/officeDocument/2006/relationships/hyperlink" Target="https://www.siemens-home.bsh-group.com/tr/tr/product/pisirme-grubu/ocaklar/gazli-ocaklar/EP6A8HI40" TargetMode="External"/><Relationship Id="rId368" Type="http://schemas.openxmlformats.org/officeDocument/2006/relationships/hyperlink" Target="https://www.siemens-home.bsh-group.com/tr/tr/product/MQ96400" TargetMode="External"/><Relationship Id="rId172" Type="http://schemas.openxmlformats.org/officeDocument/2006/relationships/hyperlink" Target="https://www.siemens-home.bsh-group.com/tr/tr/product/ldaset2ref/GS29NVWE0N" TargetMode="External"/><Relationship Id="rId228" Type="http://schemas.openxmlformats.org/officeDocument/2006/relationships/hyperlink" Target="https://www.siemens-home.bsh-group.com/tr/tr/product/pisirme-grubu/firinlar/ankastre-firinlar/HJ852GYB0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X21A300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7" Type="http://schemas.openxmlformats.org/officeDocument/2006/relationships/hyperlink" Target="https://www.siemens-home.bsh-group.com/tr/tr/product/ankastre/ankastre-davlumbazlar/LC77BHM50" TargetMode="External"/><Relationship Id="rId502" Type="http://schemas.openxmlformats.org/officeDocument/2006/relationships/hyperlink" Target="https://www.siemens-home.bsh-group.com/tr/tr/product/prsiemenswm/WG44B200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ankastre/ankastre-ocaklar/EC9A5TB90" TargetMode="External"/><Relationship Id="rId141" Type="http://schemas.openxmlformats.org/officeDocument/2006/relationships/hyperlink" Target="https://www.siemens-home.bsh-group.com/tr/tr/product/pisirme-grubu/ocaklar/gazli-ocaklar/ER9A6SH4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544" Type="http://schemas.openxmlformats.org/officeDocument/2006/relationships/hyperlink" Target="https://www.siemens-home.bsh-group.com/tr/tr/product/prsiemensdryer/WQ44G2CT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W1T" TargetMode="External"/><Relationship Id="rId239" Type="http://schemas.openxmlformats.org/officeDocument/2006/relationships/hyperlink" Target="https://www.siemens-home.bsh-group.com/tr/tr/product/pisirme-grubu/buharli-firinlar/buharli-firinlar/HU717ABN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4" Type="http://schemas.openxmlformats.org/officeDocument/2006/relationships/hyperlink" Target="https://www.siemens-home.bsh-group.com/tr/tr/product/prsiemensdw/SN25HW80MT" TargetMode="External"/><Relationship Id="rId446" Type="http://schemas.openxmlformats.org/officeDocument/2006/relationships/hyperlink" Target="https://www.siemens-home.bsh-group.com/tr/tr/product/TI9553X9RW" TargetMode="External"/><Relationship Id="rId25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6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488" Type="http://schemas.openxmlformats.org/officeDocument/2006/relationships/hyperlink" Target="https://www.siemens-home.bsh-group.com/tr/tr/product/VZ41FGALL" TargetMode="External"/><Relationship Id="rId45" Type="http://schemas.openxmlformats.org/officeDocument/2006/relationships/hyperlink" Target="https://www.siemens-home.bsh-group.com/tr/tr/product/CI10ZH10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7C2HP30O" TargetMode="External"/><Relationship Id="rId348" Type="http://schemas.openxmlformats.org/officeDocument/2006/relationships/hyperlink" Target="https://www.siemens-home.bsh-group.com/tr/tr/product/LC97FQP60" TargetMode="External"/><Relationship Id="rId513" Type="http://schemas.openxmlformats.org/officeDocument/2006/relationships/hyperlink" Target="https://www.siemens-home.bsh-group.com/tr/tr/product/yikama-ve-utuleme-grubu/camasir-makineleri/solo-camasir-makineleri/WG52K2Z1TR" TargetMode="External"/><Relationship Id="rId555" Type="http://schemas.openxmlformats.org/officeDocument/2006/relationships/hyperlink" Target="https://www.siemens-home.bsh-group.com/tr/tr/product/EN6B6PO10O" TargetMode="External"/><Relationship Id="rId152" Type="http://schemas.openxmlformats.org/officeDocument/2006/relationships/hyperlink" Target="https://www.siemens-home.bsh-group.com/tr/tr/product/EU611BEB1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ankastre/ankastre-firinlar/HB557JYH0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457" Type="http://schemas.openxmlformats.org/officeDocument/2006/relationships/hyperlink" Target="https://www.siemens-home.bsh-group.com/tr/tr/product/TQ507R02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499" Type="http://schemas.openxmlformats.org/officeDocument/2006/relationships/hyperlink" Target="https://www.siemens-home.bsh-group.com/tr/tr/product/yikama-ve-utuleme-grubu/camasir-makineleri/solo-camasir-makineleri/WG44A2Z1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ankastre/ankastre-firinlar/CN838GRB6" TargetMode="External"/><Relationship Id="rId317" Type="http://schemas.openxmlformats.org/officeDocument/2006/relationships/hyperlink" Target="https://www.siemens-home.bsh-group.com/tr/tr/product/ankastre/ankastre-davlumbazlar/LC65FCJ2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24" Type="http://schemas.openxmlformats.org/officeDocument/2006/relationships/hyperlink" Target="https://www.siemens-home.bsh-group.com/tr/tr/product/yikama-ve-utuleme-grubu/camasir-makineleri/solo-camasir-makineleri/WG64K2Z0TR" TargetMode="External"/><Relationship Id="rId98" Type="http://schemas.openxmlformats.org/officeDocument/2006/relationships/hyperlink" Target="https://www.siemens-home.bsh-group.com/tr/tr/product/pisirme-grubu/ocaklar/gazli-ocaklar/EN7B8QP30O" TargetMode="External"/><Relationship Id="rId121" Type="http://schemas.openxmlformats.org/officeDocument/2006/relationships/hyperlink" Target="https://www.siemens-home.bsh-group.com/tr/tr/product/pisirme-grubu/ocaklar/gazli-ocaklar/EO7C8PP30O" TargetMode="External"/><Relationship Id="rId163" Type="http://schemas.openxmlformats.org/officeDocument/2006/relationships/hyperlink" Target="https://www.siemens-home.bsh-group.com/tr/tr/product/FF020LMB2" TargetMode="External"/><Relationship Id="rId219" Type="http://schemas.openxmlformats.org/officeDocument/2006/relationships/hyperlink" Target="https://www.siemens-home.bsh-group.com/tr/tr/product/ankastre/ankastre-firinlar/HB734G1W1" TargetMode="External"/><Relationship Id="rId370" Type="http://schemas.openxmlformats.org/officeDocument/2006/relationships/hyperlink" Target="https://www.siemens-home.bsh-group.com/tr/tr/product/MR008B1" TargetMode="External"/><Relationship Id="rId426" Type="http://schemas.openxmlformats.org/officeDocument/2006/relationships/hyperlink" Target="https://www.siemens-home.bsh-group.com/tr/tr/product/ankastre/ankastre-bulasik-makineleri/SN63IX62MT" TargetMode="External"/><Relationship Id="rId230" Type="http://schemas.openxmlformats.org/officeDocument/2006/relationships/hyperlink" Target="https://www.siemens-home.bsh-group.com/tr/tr/product/pisirme-grubu/firinlar/ankastre-firinlar/HJ852GYW0T" TargetMode="External"/><Relationship Id="rId468" Type="http://schemas.openxmlformats.org/officeDocument/2006/relationships/hyperlink" Target="https://www.siemens-home.bsh-group.com/tr/tr/product/elektrikli-supurgeler/toz-torbali-torbasiz-elektrikli-supurgeler/VSC3A2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pisirme-grubu/ocaklar/gazli-ocaklar/EB0C2PK80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8" Type="http://schemas.openxmlformats.org/officeDocument/2006/relationships/hyperlink" Target="https://www.siemens-home.bsh-group.com/tr/tr/product/ankastre/ankastre-davlumbazlar/LC67BBK70T" TargetMode="External"/><Relationship Id="rId535" Type="http://schemas.openxmlformats.org/officeDocument/2006/relationships/hyperlink" Target="https://www.siemens-home.bsh-group.com/tr/tr/product/yikama-ve-utuleme-grubu/kurutma-makineleri/isi-pompali-kurutma-makineleri/WQ41G20TTR" TargetMode="External"/><Relationship Id="rId132" Type="http://schemas.openxmlformats.org/officeDocument/2006/relationships/hyperlink" Target="https://www.siemens-home.bsh-group.com/tr/tr/product/pisirme-grubu/ocaklar/gazli-ocaklar/EP7A2QI40" TargetMode="External"/><Relationship Id="rId174" Type="http://schemas.openxmlformats.org/officeDocument/2006/relationships/hyperlink" Target="https://www.siemens-home.bsh-group.com/tr/tr/product/ldaset2ref/GS33VVI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41" Type="http://schemas.openxmlformats.org/officeDocument/2006/relationships/hyperlink" Target="https://www.siemens-home.bsh-group.com/tr/tr/product/pisirme-grubu/buharli-firinlar/buharli-firinlar/HU736AEA0T" TargetMode="External"/><Relationship Id="rId437" Type="http://schemas.openxmlformats.org/officeDocument/2006/relationships/hyperlink" Target="https://www.siemens-home.bsh-group.com/tr/tr/product/TC86505" TargetMode="External"/><Relationship Id="rId479" Type="http://schemas.openxmlformats.org/officeDocument/2006/relationships/hyperlink" Target="https://www.siemens-home.bsh-group.com/tr/tr/product/elektrikli-supurgeler/toz-torbali-torbasiz-elektrikli-supurgeler/VSX41A30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490" Type="http://schemas.openxmlformats.org/officeDocument/2006/relationships/hyperlink" Target="https://www.siemens-home.bsh-group.com/tr/tr/product/su-sebilleri/WB13CPB0N" TargetMode="External"/><Relationship Id="rId504" Type="http://schemas.openxmlformats.org/officeDocument/2006/relationships/hyperlink" Target="https://www.siemens-home.bsh-group.com/tr/tr/product/yikama-ve-utuleme-grubu/camasir-makineleri/solo-camasir-makineleri/WG44K2Z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8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1" Type="http://schemas.openxmlformats.org/officeDocument/2006/relationships/hyperlink" Target="https://www.siemens-home.bsh-group.com/tr/tr/product/pisirme-grubu/ocaklar/gazli-ocaklar/EO6C2PP30O" TargetMode="External"/><Relationship Id="rId143" Type="http://schemas.openxmlformats.org/officeDocument/2006/relationships/hyperlink" Target="https://www.siemens-home.bsh-group.com/tr/tr/product/ankastre/ankastre-ocaklar/ET475FYB1E" TargetMode="External"/><Relationship Id="rId185" Type="http://schemas.openxmlformats.org/officeDocument/2006/relationships/hyperlink" Target="https://www.siemens-home.bsh-group.com/tr/tr/product/3d-airfry-ankastre-firinlar/HB013FBW1T" TargetMode="External"/><Relationship Id="rId350" Type="http://schemas.openxmlformats.org/officeDocument/2006/relationships/hyperlink" Target="https://www.siemens-home.bsh-group.com/tr/tr/product/ankastre/ankastre-davlumbazlar/LC97FVW60" TargetMode="External"/><Relationship Id="rId406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prsiemensovenaddedvalue/HB557JYS0T" TargetMode="External"/><Relationship Id="rId392" Type="http://schemas.openxmlformats.org/officeDocument/2006/relationships/hyperlink" Target="https://www.siemens-home.bsh-group.com/tr/tr/product/SN23II60KT" TargetMode="External"/><Relationship Id="rId448" Type="http://schemas.openxmlformats.org/officeDocument/2006/relationships/hyperlink" Target="https://www.siemens-home.bsh-group.com/tr/tr/product/kucuk-ev-aletleri/TP503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515" Type="http://schemas.openxmlformats.org/officeDocument/2006/relationships/hyperlink" Target="https://www.siemens-home.bsh-group.com/tr/tr/product/prsiemenswm/WG54A200TR" TargetMode="External"/><Relationship Id="rId47" Type="http://schemas.openxmlformats.org/officeDocument/2006/relationships/hyperlink" Target="https://www.siemens-home.bsh-group.com/tr/tr/product/ankastre/ankastre-buzdolaplari-ve-sogutucular/CI30BP02" TargetMode="External"/><Relationship Id="rId89" Type="http://schemas.openxmlformats.org/officeDocument/2006/relationships/hyperlink" Target="https://www.siemens-home.bsh-group.com/tr/tr/product/ankastre/ankastre-ocaklar/EN6C8PO12O" TargetMode="External"/><Relationship Id="rId112" Type="http://schemas.openxmlformats.org/officeDocument/2006/relationships/hyperlink" Target="https://www.siemens-home.bsh-group.com/tr/tr/product/ankastre/ankastre-ocaklar/EO7C2PO12O" TargetMode="External"/><Relationship Id="rId154" Type="http://schemas.openxmlformats.org/officeDocument/2006/relationships/hyperlink" Target="https://www.siemens-home.bsh-group.com/tr/tr/product/pisirme-grubu/ocaklar/induksiyonlu-ocaklar/EX675LYV1E" TargetMode="External"/><Relationship Id="rId361" Type="http://schemas.openxmlformats.org/officeDocument/2006/relationships/hyperlink" Target="https://www.siemens-home.bsh-group.com/tr/tr/product/ankastre/ankastre-davlumbazlar/LI63TCA21T" TargetMode="External"/><Relationship Id="rId557" Type="http://schemas.openxmlformats.org/officeDocument/2006/relationships/hyperlink" Target="https://www.siemens-home.bsh-group.com/tr/tr/product/pisirme-grubu/ocaklar/induksiyonlu-ocaklar/EX907NXV6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SN55ES80KT" TargetMode="External"/><Relationship Id="rId459" Type="http://schemas.openxmlformats.org/officeDocument/2006/relationships/hyperlink" Target="https://www.siemens-home.bsh-group.com/tr/tr/product/kahve-makineleri/tam-otomatik-kahve-makineleri/eq700/TQ713R03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ankastre/ankastre-firinlar/HB778G3B1" TargetMode="External"/><Relationship Id="rId263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19" Type="http://schemas.openxmlformats.org/officeDocument/2006/relationships/hyperlink" Target="https://www.siemens-home.bsh-group.com/tr/tr/product/ankastre/ankastre-davlumbazlar/LC65KA670T" TargetMode="External"/><Relationship Id="rId470" Type="http://schemas.openxmlformats.org/officeDocument/2006/relationships/hyperlink" Target="https://www.siemens-home.bsh-group.com/tr/tr/product/VSC3A330A" TargetMode="External"/><Relationship Id="rId526" Type="http://schemas.openxmlformats.org/officeDocument/2006/relationships/hyperlink" Target="https://www.siemens-home.bsh-group.com/tr/tr/product/yikama-ve-utuleme-grubu/camasir-makineleri/solo-camasir-makineleri/WM12N180TR" TargetMode="External"/><Relationship Id="rId58" Type="http://schemas.openxmlformats.org/officeDocument/2006/relationships/hyperlink" Target="https://www.siemens-home.bsh-group.com/tr/tr/product/kahve-makineleri/ankastre-tam-otomatik-kahve-makineleri/CT718L1B0" TargetMode="External"/><Relationship Id="rId123" Type="http://schemas.openxmlformats.org/officeDocument/2006/relationships/hyperlink" Target="https://www.siemens-home.bsh-group.com/tr/tr/product/pisirme-grubu/ocaklar/gazli-ocaklar/EO7C9PO12O" TargetMode="External"/><Relationship Id="rId330" Type="http://schemas.openxmlformats.org/officeDocument/2006/relationships/hyperlink" Target="https://www.siemens-home.bsh-group.com/tr/tr/product/ankastre/ankastre-davlumbazlar/LC67FCK60T" TargetMode="External"/><Relationship Id="rId165" Type="http://schemas.openxmlformats.org/officeDocument/2006/relationships/hyperlink" Target="https://www.siemens-home.bsh-group.com/tr/tr/product/FF023LMS1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ankastre/ankastre-bulasik-makineleri/SN85E800BE" TargetMode="External"/><Relationship Id="rId232" Type="http://schemas.openxmlformats.org/officeDocument/2006/relationships/hyperlink" Target="https://www.siemens-home.bsh-group.com/tr/tr/product/pisirme-grubu/firinlar/mikrodalgali-firinlar/HN978GQB1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481" Type="http://schemas.openxmlformats.org/officeDocument/2006/relationships/hyperlink" Target="https://www.siemens-home.bsh-group.com/tr/tr/product/elektrikli-supurgeler/toz-torbali-torbasiz-elektrikli-supurgeler/VSX41XTRM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EB0C5PB82O" TargetMode="External"/><Relationship Id="rId134" Type="http://schemas.openxmlformats.org/officeDocument/2006/relationships/hyperlink" Target="https://www.siemens-home.bsh-group.com/tr/tr/product/ankastre/ankastre-ocaklar/EP7A6QB20" TargetMode="External"/><Relationship Id="rId537" Type="http://schemas.openxmlformats.org/officeDocument/2006/relationships/hyperlink" Target="https://www.siemens-home.bsh-group.com/tr/tr/product/kampanyalar/lda-kurutma-kampanyasi/WQ41G2C0TR" TargetMode="External"/><Relationship Id="rId80" Type="http://schemas.openxmlformats.org/officeDocument/2006/relationships/hyperlink" Target="https://www.siemens-home.bsh-group.com/tr/tr/product/EG6B5PO51" TargetMode="External"/><Relationship Id="rId17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1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439" Type="http://schemas.openxmlformats.org/officeDocument/2006/relationships/hyperlink" Target="https://www.siemens-home.bsh-group.com/tr/tr/product/kucuk-ev-aletleri/TE651319RW" TargetMode="External"/><Relationship Id="rId201" Type="http://schemas.openxmlformats.org/officeDocument/2006/relationships/hyperlink" Target="https://www.siemens-home.bsh-group.com/tr/tr/product/ankastre/ankastre-firinlar/HB478G5B6" TargetMode="External"/><Relationship Id="rId243" Type="http://schemas.openxmlformats.org/officeDocument/2006/relationships/hyperlink" Target="https://www.siemens-home.bsh-group.com/tr/tr/product/pisirme-grubu/buharli-firinlar/buharli-firinlar/HU736AEN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0" Type="http://schemas.openxmlformats.org/officeDocument/2006/relationships/hyperlink" Target="https://www.siemens-home.bsh-group.com/tr/tr/product/TP507R04" TargetMode="External"/><Relationship Id="rId506" Type="http://schemas.openxmlformats.org/officeDocument/2006/relationships/hyperlink" Target="https://www.siemens-home.bsh-group.com/tr/tr/product/yikama-ve-utuleme-grubu/camasir-makineleri/solo-camasir-makineleri/WG52A203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EO6C6PO90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92" Type="http://schemas.openxmlformats.org/officeDocument/2006/relationships/hyperlink" Target="https://www.siemens-home.bsh-group.com/tr/tr/product/ldaset2wm/WG42A1ZXTR" TargetMode="External"/><Relationship Id="rId54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1" Type="http://schemas.openxmlformats.org/officeDocument/2006/relationships/hyperlink" Target="https://www.siemens-home.bsh-group.com/tr/tr/product/ankastre/ankastre-ocaklar/EN6C9PO12O" TargetMode="External"/><Relationship Id="rId145" Type="http://schemas.openxmlformats.org/officeDocument/2006/relationships/hyperlink" Target="https://www.siemens-home.bsh-group.com/tr/tr/product/pisirme-grubu/ocaklar/seramik-ocaklar/ET612FEA1E" TargetMode="External"/><Relationship Id="rId187" Type="http://schemas.openxmlformats.org/officeDocument/2006/relationships/hyperlink" Target="https://www.siemens-home.bsh-group.com/tr/tr/product/3d-airfry-ankastre-firinlar/HB214FBS0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212" Type="http://schemas.openxmlformats.org/officeDocument/2006/relationships/hyperlink" Target="https://www.siemens-home.bsh-group.com/tr/tr/product/pisirme-grubu/firinlar/ankastre-firinlar/HB557JYW5T" TargetMode="External"/><Relationship Id="rId254" Type="http://schemas.openxmlformats.org/officeDocument/2006/relationships/hyperlink" Target="https://www.siemens-home.bsh-group.com/tr/tr/product/kampanyalar/supurge-hediye-firsati/KD76NAIE0N" TargetMode="External"/><Relationship Id="rId49" Type="http://schemas.openxmlformats.org/officeDocument/2006/relationships/hyperlink" Target="https://www.siemens-home.bsh-group.com/tr/supportdetail/product/CI30ZSETB2(00)" TargetMode="External"/><Relationship Id="rId114" Type="http://schemas.openxmlformats.org/officeDocument/2006/relationships/hyperlink" Target="https://www.siemens-home.bsh-group.com/tr/tr/product/pisirme-grubu/ocaklar/gazli-ocaklar/EO7C2PP30O" TargetMode="External"/><Relationship Id="rId296" Type="http://schemas.openxmlformats.org/officeDocument/2006/relationships/hyperlink" Target="https://www.siemens-home.bsh-group.com/tr/tr/product/ankastre/ankastre-buzdolaplari-ve-sogutucular/KI86NHDF0" TargetMode="External"/><Relationship Id="rId461" Type="http://schemas.openxmlformats.org/officeDocument/2006/relationships/hyperlink" Target="https://www.siemens-home.bsh-group.com/tr/tr/product/kahve-makineleri/tam-otomatik-kahve-makineleri/eq900/TQ907RZ3" TargetMode="External"/><Relationship Id="rId517" Type="http://schemas.openxmlformats.org/officeDocument/2006/relationships/hyperlink" Target="https://www.siemens-home.bsh-group.com/tr/tr/product/yikama-ve-utuleme-grubu/camasir-makineleri/iq700-camasir-makineleri/WG54B2A0TR" TargetMode="External"/><Relationship Id="rId559" Type="http://schemas.openxmlformats.org/officeDocument/2006/relationships/hyperlink" Target="https://www.siemens-home.bsh-group.com/tr/tr/product/LC68KPK60T" TargetMode="External"/><Relationship Id="rId60" Type="http://schemas.openxmlformats.org/officeDocument/2006/relationships/hyperlink" Target="https://www.siemens-home.bsh-group.com/tr/tr/product/DE2124407M" TargetMode="External"/><Relationship Id="rId156" Type="http://schemas.openxmlformats.org/officeDocument/2006/relationships/hyperlink" Target="https://www.siemens-home.bsh-group.com/tr/tr/product/pisirme-grubu/ocaklar/induksiyonlu-ocaklar/EX807NYV6E" TargetMode="External"/><Relationship Id="rId198" Type="http://schemas.openxmlformats.org/officeDocument/2006/relationships/hyperlink" Target="https://www.siemens-home.bsh-group.com/tr/tr/product/pisirme-grubu/firinlar/ankastre-firinlar/HB237FEG5T" TargetMode="External"/><Relationship Id="rId321" Type="http://schemas.openxmlformats.org/officeDocument/2006/relationships/hyperlink" Target="https://www.siemens-home.bsh-group.com/tr/tr/product/ankastre/ankastre-davlumbazlar/LC65KAJ60T" TargetMode="External"/><Relationship Id="rId363" Type="http://schemas.openxmlformats.org/officeDocument/2006/relationships/hyperlink" Target="https://www.siemens-home.bsh-group.com/tr/tr/product/MQ66120" TargetMode="External"/><Relationship Id="rId419" Type="http://schemas.openxmlformats.org/officeDocument/2006/relationships/hyperlink" Target="https://www.siemens-home.bsh-group.com/tr/tr/product/SN57ZS80DT" TargetMode="External"/><Relationship Id="rId223" Type="http://schemas.openxmlformats.org/officeDocument/2006/relationships/hyperlink" Target="https://www.siemens-home.bsh-group.com/tr/tr/product/pisirme-grubu/firinlar/ankastre-firinlar/HB976GMB1" TargetMode="External"/><Relationship Id="rId430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prsiemensfridge/KD86NHID1N" TargetMode="External"/><Relationship Id="rId472" Type="http://schemas.openxmlformats.org/officeDocument/2006/relationships/hyperlink" Target="https://www.siemens-home.bsh-group.com/tr/tr/product/kucuk-ev-aletleri/VSC7X300" TargetMode="External"/><Relationship Id="rId528" Type="http://schemas.openxmlformats.org/officeDocument/2006/relationships/hyperlink" Target="https://www.siemens-home.bsh-group.com/tr/tr/product/ldaset2wm/WM14UP91TR" TargetMode="External"/><Relationship Id="rId125" Type="http://schemas.openxmlformats.org/officeDocument/2006/relationships/hyperlink" Target="https://www.siemens-home.bsh-group.com/tr/tr/product/pisirme-grubu/ocaklar/gazli-ocaklar/EP6A6HB20" TargetMode="External"/><Relationship Id="rId167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74" Type="http://schemas.openxmlformats.org/officeDocument/2006/relationships/hyperlink" Target="https://shaza.com.tr/shaza-akim-korumali-uclu-priz" TargetMode="External"/><Relationship Id="rId71" Type="http://schemas.openxmlformats.org/officeDocument/2006/relationships/hyperlink" Target="https://www.siemens-home.bsh-group.com/tr/tr/product/EB6C5YB82L" TargetMode="External"/><Relationship Id="rId234" Type="http://schemas.openxmlformats.org/officeDocument/2006/relationships/hyperlink" Target="https://www.siemens-home.bsh-group.com/tr/tr/product/ankastre/ankastre-firinlar/HR538ABS1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TEE0N" TargetMode="External"/><Relationship Id="rId441" Type="http://schemas.openxmlformats.org/officeDocument/2006/relationships/hyperlink" Target="https://www.siemens-home.bsh-group.com/tr/tr/product/kampanyalar/online-ozel-kahve-makineleri/TE655203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ldaset2wm/WQ42G20RTR" TargetMode="External"/><Relationship Id="rId40" Type="http://schemas.openxmlformats.org/officeDocument/2006/relationships/hyperlink" Target="https://www.siemens-home.bsh-group.com/tr/tr/product/pisirme-grubu/buharli-firinlar/buharli-pisirici/CD714GXB1" TargetMode="External"/><Relationship Id="rId136" Type="http://schemas.openxmlformats.org/officeDocument/2006/relationships/hyperlink" Target="https://www.siemens-home.bsh-group.com/tr/tr/product/pisirme-grubu/ocaklar/gazli-ocaklar/EP9A6QB90" TargetMode="External"/><Relationship Id="rId178" Type="http://schemas.openxmlformats.org/officeDocument/2006/relationships/hyperlink" Target="https://www.siemens-home.bsh-group.com/tr/tr/product/GS36NVWF0N" TargetMode="External"/><Relationship Id="rId301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3" Type="http://schemas.openxmlformats.org/officeDocument/2006/relationships/hyperlink" Target="https://www.siemens-home.bsh-group.com/tr/tr/product/ankastre/ankastre-davlumbazlar/LC95FCJ60T" TargetMode="External"/><Relationship Id="rId550" Type="http://schemas.openxmlformats.org/officeDocument/2006/relationships/hyperlink" Target="https://www.siemens-home.bsh-group.com/tr/tr/product/yikama-ve-utuleme-grubu/kurutma-makineleri/isi-pompali-kurutma-makineleri/WQ52K200TR" TargetMode="External"/><Relationship Id="rId82" Type="http://schemas.openxmlformats.org/officeDocument/2006/relationships/hyperlink" Target="https://www.siemens-home.bsh-group.com/tr/tr/product/pisirme-grubu/ocaklar/induksiyonlu-ocaklar/EH975LVC1E" TargetMode="External"/><Relationship Id="rId203" Type="http://schemas.openxmlformats.org/officeDocument/2006/relationships/hyperlink" Target="https://www.siemens-home.bsh-group.com/tr/tr/product/ankastre/ankastre-firinlar/HB514FBH2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245" Type="http://schemas.openxmlformats.org/officeDocument/2006/relationships/hyperlink" Target="https://www.siemens-home.bsh-group.com/tr/tr/product/pisirme-grubu/aksesuarlar/HZ429000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0" Type="http://schemas.openxmlformats.org/officeDocument/2006/relationships/hyperlink" Target="https://www.siemens-home.bsh-group.com/tr/tr/product/ankastre/ankastre-bulasik-makineleri/SN515B01D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94" Type="http://schemas.openxmlformats.org/officeDocument/2006/relationships/hyperlink" Target="https://www.siemens-home.bsh-group.com/tr/tr/product/yikama-ve-utuleme-grubu/camasir-makineleri/solo-camasir-makineleri/WG42A2Z0TR" TargetMode="External"/><Relationship Id="rId508" Type="http://schemas.openxmlformats.org/officeDocument/2006/relationships/hyperlink" Target="https://www.siemens-home.bsh-group.com/tr/tr/product/yikama-ve-utuleme-grubu/camasir-makineleri/solo-camasir-makineleri/WG52A2F0TR" TargetMode="External"/><Relationship Id="rId105" Type="http://schemas.openxmlformats.org/officeDocument/2006/relationships/hyperlink" Target="https://www.siemens-home.bsh-group.com/tr/tr/product/pisirme-grubu/ocaklar/gazli-ocaklar/EO6C6PP30O" TargetMode="External"/><Relationship Id="rId147" Type="http://schemas.openxmlformats.org/officeDocument/2006/relationships/hyperlink" Target="https://www.siemens-home.bsh-group.com/tr/tr/product/ankastre/ankastre-ocaklar/ET775FGP1E" TargetMode="External"/><Relationship Id="rId312" Type="http://schemas.openxmlformats.org/officeDocument/2006/relationships/hyperlink" Target="https://www.siemens-home.bsh-group.com/tr/tr/product/ankastre/ankastre-davlumbazlar/LC64PCC20T" TargetMode="External"/><Relationship Id="rId354" Type="http://schemas.openxmlformats.org/officeDocument/2006/relationships/hyperlink" Target="https://www.siemens-home.bsh-group.com/tr/tr/product/LC98GA542" TargetMode="External"/><Relationship Id="rId51" Type="http://schemas.openxmlformats.org/officeDocument/2006/relationships/hyperlink" Target="https://www.siemens-home.bsh-group.com/tr/tr/product/CI36Z490" TargetMode="External"/><Relationship Id="rId93" Type="http://schemas.openxmlformats.org/officeDocument/2006/relationships/hyperlink" Target="https://www.siemens-home.bsh-group.com/tr/tr/product/ankastre/ankastre-ocaklar/EN7B2QO12O" TargetMode="External"/><Relationship Id="rId189" Type="http://schemas.openxmlformats.org/officeDocument/2006/relationships/hyperlink" Target="https://www.siemens-home.bsh-group.com/tr/tr/product/3d-airfry-ankastre-firinlar/HB214FBW0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61" Type="http://schemas.openxmlformats.org/officeDocument/2006/relationships/hyperlink" Target="https://www.siemens-home.bsh-group.com/tr/tr/product/studioline/BI830CNB1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8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421" Type="http://schemas.openxmlformats.org/officeDocument/2006/relationships/hyperlink" Target="https://www.siemens-home.bsh-group.com/tr/tr/product/ankastre/ankastre-bulasik-makineleri/SN615X01DT" TargetMode="External"/><Relationship Id="rId463" Type="http://schemas.openxmlformats.org/officeDocument/2006/relationships/hyperlink" Target="https://www.siemens-home.bsh-group.com/tr/tr/product/TW3A0103" TargetMode="External"/><Relationship Id="rId519" Type="http://schemas.openxmlformats.org/officeDocument/2006/relationships/hyperlink" Target="https://www.siemens-home.bsh-group.com/tr/tr/product/yikama-ve-utuleme-grubu/camasir-makineleri/solo-camasir-makineleri/WG54B2ASTR" TargetMode="External"/><Relationship Id="rId116" Type="http://schemas.openxmlformats.org/officeDocument/2006/relationships/hyperlink" Target="https://www.siemens-home.bsh-group.com/tr/tr/product/pisirme-grubu/ocaklar/gazli-ocaklar/EO7C6HP30O" TargetMode="External"/><Relationship Id="rId158" Type="http://schemas.openxmlformats.org/officeDocument/2006/relationships/hyperlink" Target="https://www.siemens-home.bsh-group.com/tr/tr/product/ankastre/ankastre-ocaklar/EX875LX67E" TargetMode="External"/><Relationship Id="rId323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0" Type="http://schemas.openxmlformats.org/officeDocument/2006/relationships/hyperlink" Target="https://www.siemens-home.bsh-group.com/tr/tr/product/prsiemenswm/WM14XE5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su-sebilleri/DW15701" TargetMode="External"/><Relationship Id="rId365" Type="http://schemas.openxmlformats.org/officeDocument/2006/relationships/hyperlink" Target="https://www.siemens-home.bsh-group.com/tr/tr/product/MQ67110" TargetMode="External"/><Relationship Id="rId225" Type="http://schemas.openxmlformats.org/officeDocument/2006/relationships/hyperlink" Target="https://www.siemens-home.bsh-group.com/tr/tr/product/3d-airfry-ankastre-firinlar/HI133FEW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32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474" Type="http://schemas.openxmlformats.org/officeDocument/2006/relationships/hyperlink" Target="https://www.siemens-home.bsh-group.com/tr/tr/product/elektrikli-supurgeler/sarjli-supurgeler/VSM120HYG" TargetMode="External"/><Relationship Id="rId127" Type="http://schemas.openxmlformats.org/officeDocument/2006/relationships/hyperlink" Target="https://www.siemens-home.bsh-group.com/tr/tr/product/ankastre/ankastre-ocaklar/EP6A6PB20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pisirme-grubu/ocaklar/gazli-ocaklar/EC6A5HB90" TargetMode="External"/><Relationship Id="rId169" Type="http://schemas.openxmlformats.org/officeDocument/2006/relationships/hyperlink" Target="https://www.siemens-home.bsh-group.com/tr/tr/product/buzdolaplari-ve-derin-dondurucular/aksesuarlar/FI30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X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ankastre/ankastre-firinlar/HB010FBR1T" TargetMode="External"/><Relationship Id="rId236" Type="http://schemas.openxmlformats.org/officeDocument/2006/relationships/hyperlink" Target="https://www.siemens-home.bsh-group.com/tr/tr/product/3d-airfry-ankastre-firinlar/HS636GDS2" TargetMode="External"/><Relationship Id="rId278" Type="http://schemas.openxmlformats.org/officeDocument/2006/relationships/hyperlink" Target="https://www.siemens-home.bsh-group.com/tr/tr/product/kampanyalar/set-kurutma-firsati/siemensbuiltinset3cooker/KG56NX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43" Type="http://schemas.openxmlformats.org/officeDocument/2006/relationships/hyperlink" Target="https://www.siemens-home.bsh-group.com/tr/tr/product/kucuk-ev-aletleri/TI35120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VSZ2V210" TargetMode="External"/><Relationship Id="rId42" Type="http://schemas.openxmlformats.org/officeDocument/2006/relationships/hyperlink" Target="https://www.siemens-home.bsh-group.com/tr/tr/product/CI10Z490" TargetMode="External"/><Relationship Id="rId84" Type="http://schemas.openxmlformats.org/officeDocument/2006/relationships/hyperlink" Target="https://www.siemens-home.bsh-group.com/tr/tr/product/pisirme-grubu/ocaklar/gazli-ocaklar/EN6B6NP40R" TargetMode="External"/><Relationship Id="rId138" Type="http://schemas.openxmlformats.org/officeDocument/2006/relationships/hyperlink" Target="https://www.siemens-home.bsh-group.com/tr/tr/product/pisirme-grubu/ocaklar/domino-ocaklar/ER3A6AB70" TargetMode="External"/><Relationship Id="rId345" Type="http://schemas.openxmlformats.org/officeDocument/2006/relationships/hyperlink" Target="https://www.siemens-home.bsh-group.com/tr/tr/product/ankastre/ankastre-davlumbazlar/LC95KA270T" TargetMode="External"/><Relationship Id="rId387" Type="http://schemas.openxmlformats.org/officeDocument/2006/relationships/hyperlink" Target="https://www.siemens-home.bsh-group.com/tr/tr/product/prsiemensdw/SN23HW60MT" TargetMode="External"/><Relationship Id="rId510" Type="http://schemas.openxmlformats.org/officeDocument/2006/relationships/hyperlink" Target="https://www.siemens-home.bsh-group.com/tr/tr/product/yikama-ve-utuleme-grubu/camasir-makineleri/iq300-camasir-makineleri/WG52A2Z0TR" TargetMode="External"/><Relationship Id="rId552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1" Type="http://schemas.openxmlformats.org/officeDocument/2006/relationships/hyperlink" Target="https://www.siemens-home.bsh-group.com/tr/tr/product/3d-airfry-ankastre-firinlar/HB234FEH0T" TargetMode="External"/><Relationship Id="rId205" Type="http://schemas.openxmlformats.org/officeDocument/2006/relationships/hyperlink" Target="https://www.siemens-home.bsh-group.com/tr/tr/product/ankastre/ankastre-firinlar/HB534FER0T" TargetMode="External"/><Relationship Id="rId247" Type="http://schemas.openxmlformats.org/officeDocument/2006/relationships/hyperlink" Target="https://www.siemens-home.bsh-group.com/tr/tr/product/KA93NVL30N" TargetMode="External"/><Relationship Id="rId412" Type="http://schemas.openxmlformats.org/officeDocument/2006/relationships/hyperlink" Target="https://www.siemens-home.bsh-group.com/tr/tr/product/SN515W00DT" TargetMode="External"/><Relationship Id="rId107" Type="http://schemas.openxmlformats.org/officeDocument/2006/relationships/hyperlink" Target="https://www.siemens-home.bsh-group.com/tr/tr/product/EO6C8PO9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54" Type="http://schemas.openxmlformats.org/officeDocument/2006/relationships/hyperlink" Target="https://www.siemens-home.bsh-group.com/tr/tr/product/kucuk-ev-aletleri/TP703R19" TargetMode="External"/><Relationship Id="rId496" Type="http://schemas.openxmlformats.org/officeDocument/2006/relationships/hyperlink" Target="https://www.siemens-home.bsh-group.com/tr/tr/product/yikama-ve-utuleme-grubu/camasir-makineleri/solo-camasir-makineleri/WG42K2Z0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200" TargetMode="External"/><Relationship Id="rId149" Type="http://schemas.openxmlformats.org/officeDocument/2006/relationships/hyperlink" Target="https://www.siemens-home.bsh-group.com/tr/tr/product/ankastre/ankastre-ocaklar/ET875LMV1D" TargetMode="External"/><Relationship Id="rId314" Type="http://schemas.openxmlformats.org/officeDocument/2006/relationships/hyperlink" Target="https://www.siemens-home.bsh-group.com/tr/tr/product/ankastre/ankastre-davlumbazlar/LC64PCC60T" TargetMode="External"/><Relationship Id="rId356" Type="http://schemas.openxmlformats.org/officeDocument/2006/relationships/hyperlink" Target="https://www.siemens-home.bsh-group.com/tr/tr/product/ankastre/ankastre-davlumbazlar/LC98KLR61S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521" Type="http://schemas.openxmlformats.org/officeDocument/2006/relationships/hyperlink" Target="https://www.siemens-home.bsh-group.com/tr/tr/product/yikama-ve-utuleme-grubu/camasir-makineleri/solo-camasir-makineleri/WG54K2Y0TR" TargetMode="External"/><Relationship Id="rId563" Type="http://schemas.openxmlformats.org/officeDocument/2006/relationships/printerSettings" Target="../printerSettings/printerSettings2.bin"/><Relationship Id="rId95" Type="http://schemas.openxmlformats.org/officeDocument/2006/relationships/hyperlink" Target="https://www.siemens-home.bsh-group.com/tr/tr/product/ankastre/ankastre-ocaklar/EN7B6QO12O" TargetMode="External"/><Relationship Id="rId160" Type="http://schemas.openxmlformats.org/officeDocument/2006/relationships/hyperlink" Target="https://www.siemens-home.bsh-group.com/tr/tr/product/EX975KXV1E" TargetMode="External"/><Relationship Id="rId216" Type="http://schemas.openxmlformats.org/officeDocument/2006/relationships/hyperlink" Target="https://www.siemens-home.bsh-group.com/tr/tr/product/3d-airfry-ankastre-firinlar/HB656GHW1" TargetMode="External"/><Relationship Id="rId423" Type="http://schemas.openxmlformats.org/officeDocument/2006/relationships/hyperlink" Target="https://www.siemens-home.bsh-group.com/tr/tr/product/ankastre/ankastre-bulasik-makineleri/SN61IX01KT" TargetMode="External"/><Relationship Id="rId258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5" Type="http://schemas.openxmlformats.org/officeDocument/2006/relationships/hyperlink" Target="https://www.siemens-home.bsh-group.com/tr/tr/product/kahve-makineleri/aksesuarlar/TZ80002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3" TargetMode="External"/><Relationship Id="rId118" Type="http://schemas.openxmlformats.org/officeDocument/2006/relationships/hyperlink" Target="https://www.siemens-home.bsh-group.com/tr/tr/product/pisirme-grubu/ocaklar/gazli-ocaklar/EO7C6PP30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367" Type="http://schemas.openxmlformats.org/officeDocument/2006/relationships/hyperlink" Target="https://www.siemens-home.bsh-group.com/tr/tr/product/MQ955PE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GS24VVWF0N" TargetMode="External"/><Relationship Id="rId227" Type="http://schemas.openxmlformats.org/officeDocument/2006/relationships/hyperlink" Target="https://www.siemens-home.bsh-group.com/tr/tr/product/ankastre/ankastre-firinlar/HI133FEW3T" TargetMode="External"/><Relationship Id="rId269" Type="http://schemas.openxmlformats.org/officeDocument/2006/relationships/hyperlink" Target="https://www.siemens-home.bsh-group.com/tr/tr/product/prsiemensfridge/KG36NNLE0N" TargetMode="External"/><Relationship Id="rId434" Type="http://schemas.openxmlformats.org/officeDocument/2006/relationships/hyperlink" Target="https://www.siemens-home.bsh-group.com/tr/tr/productservice/SZ36RB04(00)" TargetMode="External"/><Relationship Id="rId476" Type="http://schemas.openxmlformats.org/officeDocument/2006/relationships/hyperlink" Target="https://www.siemens-home.bsh-group.com/tr/tr/product/elektrikli-supurgeler/toz-torbali-torbasiz-elektrikli-supurgeler/VSP3AAAA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ankastre/ankastre-ocaklar/EP6A8HB20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6" Type="http://schemas.openxmlformats.org/officeDocument/2006/relationships/hyperlink" Target="https://www.siemens-home.bsh-group.com/tr/tr/product/ankastre/ankastre-davlumbazlar/LC68KAK60T" TargetMode="External"/><Relationship Id="rId501" Type="http://schemas.openxmlformats.org/officeDocument/2006/relationships/hyperlink" Target="https://www.siemens-home.bsh-group.com/tr/tr/product/prsiemenswm/WG44A2ZXTR" TargetMode="External"/><Relationship Id="rId543" Type="http://schemas.openxmlformats.org/officeDocument/2006/relationships/hyperlink" Target="https://www.siemens-home.bsh-group.com/tr/tr/product/yikama-ve-utuleme-grubu/kurutma-makineleri/isi-pompali-kurutma-makineleri/WQ44G2C1TR" TargetMode="External"/><Relationship Id="rId75" Type="http://schemas.openxmlformats.org/officeDocument/2006/relationships/hyperlink" Target="https://www.siemens-home.bsh-group.com/tr/tr/product/pisirme-grubu/ocaklar/gazli-ocaklar/EC7A5RI90" TargetMode="External"/><Relationship Id="rId140" Type="http://schemas.openxmlformats.org/officeDocument/2006/relationships/hyperlink" Target="https://www.siemens-home.bsh-group.com/tr/tr/product/ER6A6PD70" TargetMode="External"/><Relationship Id="rId182" Type="http://schemas.openxmlformats.org/officeDocument/2006/relationships/hyperlink" Target="https://www.siemens-home.bsh-group.com/tr/tr/product/pisirme-grubu/firinlar/ankastre-firinlar/HB012FBH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pisirme-grubu/buharli-firinlar/buharli-firinlar/HU717ABA0T" TargetMode="External"/><Relationship Id="rId445" Type="http://schemas.openxmlformats.org/officeDocument/2006/relationships/hyperlink" Target="https://www.siemens-home.bsh-group.com/tr/tr/product/TI923309RW" TargetMode="External"/><Relationship Id="rId487" Type="http://schemas.openxmlformats.org/officeDocument/2006/relationships/hyperlink" Target="https://www.siemens-home.bsh-group.com/tr/tr/product/VZ41AFP" TargetMode="External"/><Relationship Id="rId291" Type="http://schemas.openxmlformats.org/officeDocument/2006/relationships/hyperlink" Target="https://www.siemens-home.bsh-group.com/tr/tr/product/kampanyalar/supurge-hediye-firsati/KG86PAW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347" Type="http://schemas.openxmlformats.org/officeDocument/2006/relationships/hyperlink" Target="https://www.siemens-home.bsh-group.com/tr/tr/product/ankastre/ankastre-davlumbazlar/LC97BBM50T" TargetMode="External"/><Relationship Id="rId512" Type="http://schemas.openxmlformats.org/officeDocument/2006/relationships/hyperlink" Target="https://www.siemens-home.bsh-group.com/tr/tr/product/yikama-ve-utuleme-grubu/camasir-makineleri/solo-camasir-makineleri/WG52K2Z0TR" TargetMode="External"/><Relationship Id="rId44" Type="http://schemas.openxmlformats.org/officeDocument/2006/relationships/hyperlink" Target="https://www.siemens-home.bsh-group.com/tr/tr/product/CI10Z591" TargetMode="External"/><Relationship Id="rId86" Type="http://schemas.openxmlformats.org/officeDocument/2006/relationships/hyperlink" Target="https://www.siemens-home.bsh-group.com/tr/tr/product/ankastre/ankastre-ocaklar/EN6C2PO12O" TargetMode="External"/><Relationship Id="rId151" Type="http://schemas.openxmlformats.org/officeDocument/2006/relationships/hyperlink" Target="https://www.siemens-home.bsh-group.com/tr/tr/product/ankastre/ankastre-ocaklar/EU611AGA5E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554" Type="http://schemas.openxmlformats.org/officeDocument/2006/relationships/hyperlink" Target="https://www.siemens-home.bsh-group.com/tr/tr/product/prsiemensdryer/WT47XK80TR" TargetMode="External"/><Relationship Id="rId193" Type="http://schemas.openxmlformats.org/officeDocument/2006/relationships/hyperlink" Target="https://www.siemens-home.bsh-group.com/tr/tr/product/3d-airfry-ankastre-firinlar/HB234FEW0T" TargetMode="External"/><Relationship Id="rId207" Type="http://schemas.openxmlformats.org/officeDocument/2006/relationships/hyperlink" Target="https://www.siemens-home.bsh-group.com/tr/tr/product/pisirme-grubu/firinlar/ankastre-firinlar/HB557JEB6T" TargetMode="External"/><Relationship Id="rId249" Type="http://schemas.openxmlformats.org/officeDocument/2006/relationships/hyperlink" Target="https://www.siemens-home.bsh-group.com/tr/tr/product/ankastre/ankastre-buzdolaplari-ve-sogutucular/CI36TP02" TargetMode="External"/><Relationship Id="rId41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6" Type="http://schemas.openxmlformats.org/officeDocument/2006/relationships/hyperlink" Target="https://www.siemens-home.bsh-group.com/tr/tr/product/kucuk-ev-aletleri/TQ505R09" TargetMode="External"/><Relationship Id="rId498" Type="http://schemas.openxmlformats.org/officeDocument/2006/relationships/hyperlink" Target="https://www.siemens-home.bsh-group.com/tr/tr/product/prsiemenswm/WG44A2Z0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9PO0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316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23" Type="http://schemas.openxmlformats.org/officeDocument/2006/relationships/hyperlink" Target="https://www.siemens-home.bsh-group.com/tr/tr/product/yikama-ve-utuleme-grubu/camasir-makineleri/solo-camasir-makineleri/WG64K2Y0TR" TargetMode="External"/><Relationship Id="rId55" Type="http://schemas.openxmlformats.org/officeDocument/2006/relationships/hyperlink" Target="https://www.siemens-home.bsh-group.com/tr/tr/product/pisirme-grubu/firinlar/kompakt-firinlar/CM978GNB1" TargetMode="External"/><Relationship Id="rId97" Type="http://schemas.openxmlformats.org/officeDocument/2006/relationships/hyperlink" Target="https://www.siemens-home.bsh-group.com/tr/tr/product/ankastre/ankastre-ocaklar/EN7B8QO12O" TargetMode="External"/><Relationship Id="rId120" Type="http://schemas.openxmlformats.org/officeDocument/2006/relationships/hyperlink" Target="https://www.siemens-home.bsh-group.com/tr/tr/product/ankastre/ankastre-ocaklar/EO7C8PO12O" TargetMode="External"/><Relationship Id="rId358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162" Type="http://schemas.openxmlformats.org/officeDocument/2006/relationships/hyperlink" Target="https://www.siemens-home.bsh-group.com/tr/tr/product/pisirme-grubu/ocaklar/induksiyonlu-ocaklar/EZ877KZY1E" TargetMode="External"/><Relationship Id="rId218" Type="http://schemas.openxmlformats.org/officeDocument/2006/relationships/hyperlink" Target="https://www.siemens-home.bsh-group.com/tr/tr/product/pisirme-grubu/firinlar/ankastre-firinlar/HB734G1B1" TargetMode="External"/><Relationship Id="rId425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467" Type="http://schemas.openxmlformats.org/officeDocument/2006/relationships/hyperlink" Target="https://www.siemens-home.bsh-group.com/tr/tr/product/elektrikli-supurgeler/toz-torbali-torbasiz-elektrikli-supurgeler/VS06B1110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EB0C2PB82O" TargetMode="External"/><Relationship Id="rId131" Type="http://schemas.openxmlformats.org/officeDocument/2006/relationships/hyperlink" Target="https://www.siemens-home.bsh-group.com/tr/tr/product/ankastre/ankastre-ocaklar/EP7A2QB20" TargetMode="External"/><Relationship Id="rId327" Type="http://schemas.openxmlformats.org/officeDocument/2006/relationships/hyperlink" Target="https://www.siemens-home.bsh-group.com/tr/tr/product/kampanyalar/ankastre-set-indirim/davlumbazlar/LC67BBK60T" TargetMode="External"/><Relationship Id="rId369" Type="http://schemas.openxmlformats.org/officeDocument/2006/relationships/hyperlink" Target="https://www.siemens-home.bsh-group.com/tr/tr/product/MQ96580" TargetMode="External"/><Relationship Id="rId534" Type="http://schemas.openxmlformats.org/officeDocument/2006/relationships/hyperlink" Target="https://www.siemens-home.bsh-group.com/tr/tr/product/prsiemensdryer/WQ41G200TR" TargetMode="External"/><Relationship Id="rId173" Type="http://schemas.openxmlformats.org/officeDocument/2006/relationships/hyperlink" Target="https://www.siemens-home.bsh-group.com/tr/tr/product/ldaset2ref/GS29VVWE0N" TargetMode="External"/><Relationship Id="rId229" Type="http://schemas.openxmlformats.org/officeDocument/2006/relationships/hyperlink" Target="https://www.siemens-home.bsh-group.com/tr/tr/product/pisirme-grubu/firinlar/ankastre-firinlar/HJ852GYN0T" TargetMode="External"/><Relationship Id="rId380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36" Type="http://schemas.openxmlformats.org/officeDocument/2006/relationships/hyperlink" Target="https://www.siemens-home.bsh-group.com/tr/tr/product/TA22005" TargetMode="External"/><Relationship Id="rId240" Type="http://schemas.openxmlformats.org/officeDocument/2006/relationships/hyperlink" Target="https://www.siemens-home.bsh-group.com/tr/tr/product/pisirme-grubu/buharli-firinlar/buharli-firinlar/HU717ABV0T" TargetMode="External"/><Relationship Id="rId478" Type="http://schemas.openxmlformats.org/officeDocument/2006/relationships/hyperlink" Target="https://www.siemens-home.bsh-group.com/tr/tr/product/elektrikli-supurgeler/toz-torbali-torbasiz-elektrikli-supurgeler/VSX21A32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EO6C2PO92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8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503" Type="http://schemas.openxmlformats.org/officeDocument/2006/relationships/hyperlink" Target="https://www.siemens-home.bsh-group.com/tr/tr/product/yikama-ve-utuleme-grubu/camasir-makineleri/solo-camasir-makineleri/WG44B2A0TR" TargetMode="External"/><Relationship Id="rId545" Type="http://schemas.openxmlformats.org/officeDocument/2006/relationships/hyperlink" Target="https://www.siemens-home.bsh-group.com/tr/tr/product/yikama-ve-utuleme-grubu/kurutma-makineleri/isi-pompali-kurutma-makineleri/WQ45B2A0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ankastre/ankastre-firinlar/HB013FBS1T" TargetMode="External"/><Relationship Id="rId391" Type="http://schemas.openxmlformats.org/officeDocument/2006/relationships/hyperlink" Target="https://www.siemens-home.bsh-group.com/tr/tr/product/bulasik-makineleri/siemens-finish-isbirligi-bulasik-makineleri/SN23II51KT" TargetMode="External"/><Relationship Id="rId405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447" Type="http://schemas.openxmlformats.org/officeDocument/2006/relationships/hyperlink" Target="https://www.siemens-home.bsh-group.com/tr/tr/product/kucuk-ev-aletleri/TP501R09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89" Type="http://schemas.openxmlformats.org/officeDocument/2006/relationships/hyperlink" Target="https://www.siemens-home.bsh-group.com/tr/tr/product/prsiemenswm/WA12LPH0TR" TargetMode="External"/><Relationship Id="rId46" Type="http://schemas.openxmlformats.org/officeDocument/2006/relationships/hyperlink" Target="https://www.siemens-home.bsh-group.com/tr/tr/product/ankastre/ankastre-buzdolaplari-ve-sogutucular/CI24WP03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49" Type="http://schemas.openxmlformats.org/officeDocument/2006/relationships/hyperlink" Target="https://www.siemens-home.bsh-group.com/tr/tr/product/LC97FVP60" TargetMode="External"/><Relationship Id="rId514" Type="http://schemas.openxmlformats.org/officeDocument/2006/relationships/hyperlink" Target="https://www.siemens-home.bsh-group.com/tr/tr/product/yikama-ve-utuleme-grubu/camasir-makineleri/solo-camasir-makineleri/WG52K2ZXTR" TargetMode="External"/><Relationship Id="rId55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88" Type="http://schemas.openxmlformats.org/officeDocument/2006/relationships/hyperlink" Target="https://www.siemens-home.bsh-group.com/tr/tr/product/ankastre/ankastre-ocaklar/EN6C6HO12O" TargetMode="External"/><Relationship Id="rId111" Type="http://schemas.openxmlformats.org/officeDocument/2006/relationships/hyperlink" Target="https://www.siemens-home.bsh-group.com/tr/tr/product/EO7C2PO10O" TargetMode="External"/><Relationship Id="rId153" Type="http://schemas.openxmlformats.org/officeDocument/2006/relationships/hyperlink" Target="https://www.siemens-home.bsh-group.com/tr/tr/product/ankastre/ankastre-ocaklar/EX675FXC1E" TargetMode="External"/><Relationship Id="rId195" Type="http://schemas.openxmlformats.org/officeDocument/2006/relationships/hyperlink" Target="https://www.siemens-home.bsh-group.com/tr/tr/product/ankastre/ankastre-firinlar/HB234FEW3T" TargetMode="External"/><Relationship Id="rId209" Type="http://schemas.openxmlformats.org/officeDocument/2006/relationships/hyperlink" Target="https://www.siemens-home.bsh-group.com/tr/tr/product/ankastre/ankastre-firinlar/HB557JYH2T" TargetMode="External"/><Relationship Id="rId360" Type="http://schemas.openxmlformats.org/officeDocument/2006/relationships/hyperlink" Target="https://www.siemens-home.bsh-group.com/tr/tr/product/ankastre/ankastre-davlumbazlar/LI63TCA11T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220" Type="http://schemas.openxmlformats.org/officeDocument/2006/relationships/hyperlink" Target="https://www.siemens-home.bsh-group.com/tr/tr/product/pisirme-grubu/firinlar/ankastre-firinlar/HB776G1B1" TargetMode="External"/><Relationship Id="rId458" Type="http://schemas.openxmlformats.org/officeDocument/2006/relationships/hyperlink" Target="https://www.siemens-home.bsh-group.com/tr/tr/product/kucuk-ev-aletleri/TQ703R07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CT636LES6" TargetMode="External"/><Relationship Id="rId262" Type="http://schemas.openxmlformats.org/officeDocument/2006/relationships/hyperlink" Target="https://www.siemens-home.bsh-group.com/tr/tr/product/prsiemensfridge/KD86NAIE0N" TargetMode="External"/><Relationship Id="rId318" Type="http://schemas.openxmlformats.org/officeDocument/2006/relationships/hyperlink" Target="https://www.siemens-home.bsh-group.com/tr/tr/product/ankastre/ankastre-davlumbazlar/LC65FCJ60T" TargetMode="External"/><Relationship Id="rId525" Type="http://schemas.openxmlformats.org/officeDocument/2006/relationships/hyperlink" Target="https://www.siemens-home.bsh-group.com/tr/tr/product/yikama-ve-utuleme-grubu/camasir-makineleri/solo-camasir-makineleri/WG64K2ZRTR" TargetMode="External"/><Relationship Id="rId99" Type="http://schemas.openxmlformats.org/officeDocument/2006/relationships/hyperlink" Target="https://www.siemens-home.bsh-group.com/tr/tr/product/ankastre/ankastre-ocaklar/EO6C2PB11O" TargetMode="External"/><Relationship Id="rId122" Type="http://schemas.openxmlformats.org/officeDocument/2006/relationships/hyperlink" Target="https://www.siemens-home.bsh-group.com/tr/tr/product/ankastre/ankastre-ocaklar/EO7C9HO12O" TargetMode="External"/><Relationship Id="rId164" Type="http://schemas.openxmlformats.org/officeDocument/2006/relationships/hyperlink" Target="https://www.siemens-home.bsh-group.com/tr/tr/product/FF020LMW0" TargetMode="External"/><Relationship Id="rId371" Type="http://schemas.openxmlformats.org/officeDocument/2006/relationships/hyperlink" Target="https://www.epey.com/televizyon/philips-65pus8548.html" TargetMode="External"/><Relationship Id="rId427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469" Type="http://schemas.openxmlformats.org/officeDocument/2006/relationships/hyperlink" Target="https://www.siemens-home.bsh-group.com/tr/tr/product/elektrikli-supurgeler/toz-torbali-torbasiz-elektrikli-supurgeler/VSC3A33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3d-airfry-ankastre-firinlar/HN678G4S6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29" Type="http://schemas.openxmlformats.org/officeDocument/2006/relationships/hyperlink" Target="https://www.siemens-home.bsh-group.com/tr/tr/product/ankastre/ankastre-davlumbazlar/LC67FCK20T" TargetMode="External"/><Relationship Id="rId480" Type="http://schemas.openxmlformats.org/officeDocument/2006/relationships/hyperlink" Target="https://www.siemens-home.bsh-group.com/tr/tr/product/supurgeler/VSX41A322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ankastre/ankastre-ocaklar/EP7A6QB10" TargetMode="External"/><Relationship Id="rId175" Type="http://schemas.openxmlformats.org/officeDocument/2006/relationships/hyperlink" Target="https://www.siemens-home.bsh-group.com/tr/tr/product/ldaset2ref/GS33VVWE0N" TargetMode="External"/><Relationship Id="rId340" Type="http://schemas.openxmlformats.org/officeDocument/2006/relationships/hyperlink" Target="https://www.siemens-home.bsh-group.com/tr/tr/product/ankastre/ankastre-davlumbazlar/LC95BBC50T" TargetMode="External"/><Relationship Id="rId200" Type="http://schemas.openxmlformats.org/officeDocument/2006/relationships/hyperlink" Target="https://www.siemens-home.bsh-group.com/tr/tr/product/pisirme-grubu/firinlar/ankastre-firinlar/HB237JES5T" TargetMode="External"/><Relationship Id="rId382" Type="http://schemas.openxmlformats.org/officeDocument/2006/relationships/hyperlink" Target="https://www.siemens-home.bsh-group.com/tr/tr/product/prsiemensdw/SN234I01DT" TargetMode="External"/><Relationship Id="rId438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42" Type="http://schemas.openxmlformats.org/officeDocument/2006/relationships/hyperlink" Target="https://www.siemens-home.bsh-group.com/tr/tr/product/pisirme-grubu/buharli-firinlar/buharli-firinlar/HU736AEG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91" Type="http://schemas.openxmlformats.org/officeDocument/2006/relationships/hyperlink" Target="https://www.siemens-home.bsh-group.com/tr/tr/product/yikama-ve-utuleme-grubu/camasir-makineleri/solo-camasir-makineleri/WG42A1X2TR" TargetMode="External"/><Relationship Id="rId505" Type="http://schemas.openxmlformats.org/officeDocument/2006/relationships/hyperlink" Target="https://www.siemens-home.bsh-group.com/tr/tr/product/yikama-ve-utuleme-grubu/camasir-makineleri/solo-camasir-makineleri/WG52A202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EG6B5HB60O" TargetMode="External"/><Relationship Id="rId102" Type="http://schemas.openxmlformats.org/officeDocument/2006/relationships/hyperlink" Target="https://www.siemens-home.bsh-group.com/tr/tr/product/ankastre/ankastre-ocaklar/EO6C6PB11O" TargetMode="External"/><Relationship Id="rId144" Type="http://schemas.openxmlformats.org/officeDocument/2006/relationships/hyperlink" Target="https://www.siemens-home.bsh-group.com/tr/tr/product/pisirme-grubu/ocaklar/seramik-ocaklar/ET611HE17E" TargetMode="External"/><Relationship Id="rId547" Type="http://schemas.openxmlformats.org/officeDocument/2006/relationships/hyperlink" Target="https://www.siemens-home.bsh-group.com/tr/tr/product/yikama-ve-utuleme-grubu/kurutma-makineleri/isi-pompali-kurutma-makineleri/WQ51G200TR" TargetMode="External"/><Relationship Id="rId90" Type="http://schemas.openxmlformats.org/officeDocument/2006/relationships/hyperlink" Target="https://www.siemens-home.bsh-group.com/tr/tr/product/ankastre/ankastre-ocaklar/EN6C9HO12O" TargetMode="External"/><Relationship Id="rId186" Type="http://schemas.openxmlformats.org/officeDocument/2006/relationships/hyperlink" Target="https://www.siemens-home.bsh-group.com/tr/tr/product/ankastre/ankastre-firinlar/HB134FES1T" TargetMode="External"/><Relationship Id="rId351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3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5R01" TargetMode="External"/><Relationship Id="rId211" Type="http://schemas.openxmlformats.org/officeDocument/2006/relationships/hyperlink" Target="https://www.siemens-home.bsh-group.com/tr/tr/product/pisirme-grubu/firinlar/ankastre-firinlar/HB557JYS5T" TargetMode="External"/><Relationship Id="rId253" Type="http://schemas.openxmlformats.org/officeDocument/2006/relationships/hyperlink" Target="https://www.siemens-home.bsh-group.com/tr/tr/product/prsiemensfridge/KD56NXWF1N" TargetMode="External"/><Relationship Id="rId295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60" Type="http://schemas.openxmlformats.org/officeDocument/2006/relationships/hyperlink" Target="https://www.siemens-home.bsh-group.com/tr/tr/product/kahve-makineleri/tam-otomatik-kahve-makineleri/eq900/TQ905R03" TargetMode="External"/><Relationship Id="rId516" Type="http://schemas.openxmlformats.org/officeDocument/2006/relationships/hyperlink" Target="https://www.siemens-home.bsh-group.com/tr/tr/product/yikama-ve-utuleme-grubu/camasir-makineleri/solo-camasir-makineleri/WG54A2Z0TR" TargetMode="External"/><Relationship Id="rId48" Type="http://schemas.openxmlformats.org/officeDocument/2006/relationships/hyperlink" Target="https://www.siemens-home.bsh-group.com/tr/tr/product/ankastre/ankastre-buzdolaplari-ve-sogutucular/CI30RP02" TargetMode="External"/><Relationship Id="rId113" Type="http://schemas.openxmlformats.org/officeDocument/2006/relationships/hyperlink" Target="https://www.siemens-home.bsh-group.com/tr/tr/product/pisirme-grubu/ocaklar/gazli-ocaklar/EO7C2PP30L" TargetMode="External"/><Relationship Id="rId320" Type="http://schemas.openxmlformats.org/officeDocument/2006/relationships/hyperlink" Target="https://www.siemens-home.bsh-group.com/tr/tr/product/ankastre/ankastre-davlumbazlar/LC65KAJ30T" TargetMode="External"/><Relationship Id="rId558" Type="http://schemas.openxmlformats.org/officeDocument/2006/relationships/hyperlink" Target="https://www.siemens-home.bsh-group.com/tr/tr/product/yikama-ve-utuleme-grubu/camasir-makineleri/solo-camasir-makineleri/WG52K2ZSTR" TargetMode="External"/><Relationship Id="rId155" Type="http://schemas.openxmlformats.org/officeDocument/2006/relationships/hyperlink" Target="https://www.siemens-home.bsh-group.com/tr/tr/product/ankastre/ankastre-ocaklar/EX777NEV6E" TargetMode="External"/><Relationship Id="rId197" Type="http://schemas.openxmlformats.org/officeDocument/2006/relationships/hyperlink" Target="http://siemens-home.bsh-group.com/tr/tr/product/ankastre/ankastre-firinlar/HB237FEG0T" TargetMode="External"/><Relationship Id="rId362" Type="http://schemas.openxmlformats.org/officeDocument/2006/relationships/hyperlink" Target="https://www.siemens-home.bsh-group.com/tr/tr/product/ankastre/ankastre-davlumbazlar/LR18HLT65" TargetMode="External"/><Relationship Id="rId418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2" Type="http://schemas.openxmlformats.org/officeDocument/2006/relationships/hyperlink" Target="https://www.siemens-home.bsh-group.com/tr/tr/product/ankastre/ankastre-firinlar/HB876G8B6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1" Type="http://schemas.openxmlformats.org/officeDocument/2006/relationships/hyperlink" Target="https://www.siemens-home.bsh-group.com/tr/tr/product/elektrikli-supurgeler/toz-torbali-torbasiz-elektrikli-supurgeler/VSC7SIL1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918L1B0" TargetMode="External"/><Relationship Id="rId124" Type="http://schemas.openxmlformats.org/officeDocument/2006/relationships/hyperlink" Target="https://www.siemens-home.bsh-group.com/tr/tr/product/ankastre/ankastre-ocaklar/EP6A2PB20O" TargetMode="External"/><Relationship Id="rId527" Type="http://schemas.openxmlformats.org/officeDocument/2006/relationships/hyperlink" Target="https://www.siemens-home.bsh-group.com/tr/tr/product/yikama-ve-utuleme-grubu/camasir-makineleri/solo-camasir-makineleri/WM12N200TR" TargetMode="External"/><Relationship Id="rId70" Type="http://schemas.openxmlformats.org/officeDocument/2006/relationships/hyperlink" Target="https://www.siemens-home.bsh-group.com/tr/tr/product/ankastre/ankastre-ocaklar/EB6C2PB82O" TargetMode="External"/><Relationship Id="rId166" Type="http://schemas.openxmlformats.org/officeDocument/2006/relationships/hyperlink" Target="https://www.siemens-home.bsh-group.com/tr/tr/product/studioline/FI24NP32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3" Type="http://schemas.openxmlformats.org/officeDocument/2006/relationships/hyperlink" Target="https://shaza.com.tr/shaza-akim-korumali-akilli-priz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buharli-firinlar/buharli-firinlar/HR232GEB3" TargetMode="External"/><Relationship Id="rId440" Type="http://schemas.openxmlformats.org/officeDocument/2006/relationships/hyperlink" Target="https://www.siemens-home.bsh-group.com/tr/tr/product/TE653311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prsiemensfridge/KG56NQWF0N" TargetMode="External"/><Relationship Id="rId300" Type="http://schemas.openxmlformats.org/officeDocument/2006/relationships/hyperlink" Target="https://www.siemens-home.bsh-group.com/tr/tr/product/ankastre/ankastre-davlumbazlar/LB53NAA30" TargetMode="External"/><Relationship Id="rId482" Type="http://schemas.openxmlformats.org/officeDocument/2006/relationships/hyperlink" Target="https://www.siemens-home.bsh-group.com/tr/tr/product/VSX4A212" TargetMode="External"/><Relationship Id="rId538" Type="http://schemas.openxmlformats.org/officeDocument/2006/relationships/hyperlink" Target="https://www.siemens-home.bsh-group.com/tr/tr/product/yikama-ve-utuleme-grubu/kurutma-makineleri/isi-pompali-kurutma-makineleri/WQ42A201TR" TargetMode="External"/><Relationship Id="rId81" Type="http://schemas.openxmlformats.org/officeDocument/2006/relationships/hyperlink" Target="https://www.siemens-home.bsh-group.com/tr/tr/product/ankastre/ankastre-ocaklar/EH811BE15E" TargetMode="External"/><Relationship Id="rId135" Type="http://schemas.openxmlformats.org/officeDocument/2006/relationships/hyperlink" Target="https://www.siemens-home.bsh-group.com/tr/tr/product/pisirme-grubu/ocaklar/gazli-ocaklar/EP7A6QI40O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42" Type="http://schemas.openxmlformats.org/officeDocument/2006/relationships/hyperlink" Target="https://www.siemens-home.bsh-group.com/tr/tr/product/ankastre/ankastre-davlumbazlar/LC95FCJ2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02" Type="http://schemas.openxmlformats.org/officeDocument/2006/relationships/hyperlink" Target="https://www.siemens-home.bsh-group.com/tr/tr/product/3d-airfry-ankastre-firinlar/HB514FBH0T" TargetMode="External"/><Relationship Id="rId244" Type="http://schemas.openxmlformats.org/officeDocument/2006/relationships/hyperlink" Target="https://www.siemens-home.bsh-group.com/tr/tr/product/pisirme-grubu/buharli-firinlar/buharli-firinlar/HU736AEV0T" TargetMode="External"/><Relationship Id="rId39" Type="http://schemas.openxmlformats.org/officeDocument/2006/relationships/hyperlink" Target="https://www.siemens-home.bsh-group.com/tr/tr/product/ankastre/ankastre-firinlar/CD634GAS0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51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3" Type="http://schemas.openxmlformats.org/officeDocument/2006/relationships/hyperlink" Target="https://www.siemens-home.bsh-group.com/tr/tr/product/yikama-ve-utuleme-grubu/camasir-makineleri/solo-camasir-makineleri/WG42A2X3TR" TargetMode="External"/><Relationship Id="rId507" Type="http://schemas.openxmlformats.org/officeDocument/2006/relationships/hyperlink" Target="https://www.siemens-home.bsh-group.com/tr/tr/product/prsiemenswm/WG52A2A0TR" TargetMode="External"/><Relationship Id="rId549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" Type="http://schemas.openxmlformats.org/officeDocument/2006/relationships/hyperlink" Target="https://www.siemens-home.bsh-group.com/tr/tr/product/ankastre/ankastre-buzdolaplari-ve-sogutucular/CI36TP02" TargetMode="External"/><Relationship Id="rId104" Type="http://schemas.openxmlformats.org/officeDocument/2006/relationships/hyperlink" Target="https://www.siemens-home.bsh-group.com/tr/tr/product/EO6C6PO92O" TargetMode="External"/><Relationship Id="rId146" Type="http://schemas.openxmlformats.org/officeDocument/2006/relationships/hyperlink" Target="https://www.siemens-home.bsh-group.com/tr/tr/product/pisirme-grubu/ocaklar/seramik-ocaklar/ET651FFP2E" TargetMode="External"/><Relationship Id="rId188" Type="http://schemas.openxmlformats.org/officeDocument/2006/relationships/hyperlink" Target="https://www.siemens-home.bsh-group.com/tr/tr/product/3d-airfry-ankastre-firinlar/HB214FBS1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SX95EX22CE" TargetMode="External"/><Relationship Id="rId92" Type="http://schemas.openxmlformats.org/officeDocument/2006/relationships/hyperlink" Target="https://www.siemens-home.bsh-group.com/tr/tr/product/EN7B2PO10O" TargetMode="External"/><Relationship Id="rId213" Type="http://schemas.openxmlformats.org/officeDocument/2006/relationships/hyperlink" Target="https://www.siemens-home.bsh-group.com/tr/tr/product/3d-airfry-ankastre-firinlar/HB634GBS1" TargetMode="External"/><Relationship Id="rId420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255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7" Type="http://schemas.openxmlformats.org/officeDocument/2006/relationships/hyperlink" Target="https://www.siemens-home.bsh-group.com/tr/tr/product/ankastre/ankastre-buzdolaplari-ve-sogutucular/KI87SAFE0N" TargetMode="External"/><Relationship Id="rId462" Type="http://schemas.openxmlformats.org/officeDocument/2006/relationships/hyperlink" Target="https://www.siemens-home.bsh-group.com/tr/tr/product/TT86103" TargetMode="External"/><Relationship Id="rId518" Type="http://schemas.openxmlformats.org/officeDocument/2006/relationships/hyperlink" Target="https://www.siemens-home.bsh-group.com/tr/tr/product/yikama-ve-utuleme-grubu/camasir-makineleri/solo-camasir-makineleri/WG54B2A1TR" TargetMode="External"/><Relationship Id="rId115" Type="http://schemas.openxmlformats.org/officeDocument/2006/relationships/hyperlink" Target="https://www.siemens-home.bsh-group.com/tr/tr/product/ankastre/ankastre-ocaklar/EO7C6HO12O" TargetMode="External"/><Relationship Id="rId157" Type="http://schemas.openxmlformats.org/officeDocument/2006/relationships/hyperlink" Target="https://www.siemens-home.bsh-group.com/tr/tr/product/pisirme-grubu/ocaklar/induksiyonlu-ocaklar/EX808LYV5E" TargetMode="External"/><Relationship Id="rId322" Type="http://schemas.openxmlformats.org/officeDocument/2006/relationships/hyperlink" Target="https://www.siemens-home.bsh-group.com/tr/tr/product/LC66BBM50" TargetMode="External"/><Relationship Id="rId364" Type="http://schemas.openxmlformats.org/officeDocument/2006/relationships/hyperlink" Target="https://www.siemens-home.bsh-group.com/tr/tr/product/MQ66155" TargetMode="External"/><Relationship Id="rId61" Type="http://schemas.openxmlformats.org/officeDocument/2006/relationships/hyperlink" Target="https://www.siemens-home.bsh-group.com/tr/tr/product/DE21307M" TargetMode="External"/><Relationship Id="rId199" Type="http://schemas.openxmlformats.org/officeDocument/2006/relationships/hyperlink" Target="https://www.siemens-home.bsh-group.com/tr/tr/product/ankastre/ankastre-firinlar/HB237JES0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3d-airfry-ankastre-firinlar/HI133FES0T" TargetMode="External"/><Relationship Id="rId266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1" Type="http://schemas.openxmlformats.org/officeDocument/2006/relationships/hyperlink" Target="https://www.siemens-home.bsh-group.com/tr/tr/product/ankastre/ankastre-bulasik-makineleri/SN87Y800BE" TargetMode="External"/><Relationship Id="rId473" Type="http://schemas.openxmlformats.org/officeDocument/2006/relationships/hyperlink" Target="https://www.siemens-home.bsh-group.com/tr/tr/product/elektrikli-supurgeler/sarjli-supurgeler/VSM120B" TargetMode="External"/><Relationship Id="rId529" Type="http://schemas.openxmlformats.org/officeDocument/2006/relationships/hyperlink" Target="https://www.siemens-home.bsh-group.com/tr/tr/product/evlilik-kampanyasi-camasir-makineleri/WM14VKH0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I40O" TargetMode="External"/><Relationship Id="rId168" Type="http://schemas.openxmlformats.org/officeDocument/2006/relationships/hyperlink" Target="https://www.siemens-home.bsh-group.com/tr/tr/product/buzdolaplari-ve-derin-dondurucular/aksesuarlar/FI24Z090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0" Type="http://schemas.openxmlformats.org/officeDocument/2006/relationships/hyperlink" Target="https://www.siemens-home.bsh-group.com/tr/tr/product/yikama-ve-utuleme-grubu/kurutma-makineleri/isi-pompali-kurutma-makineleri/WQ42J200TR" TargetMode="External"/><Relationship Id="rId72" Type="http://schemas.openxmlformats.org/officeDocument/2006/relationships/hyperlink" Target="https://www.siemens-home.bsh-group.com/tr/tr/product/ankastre/ankastre-ocaklar/EB6C6PB82O" TargetMode="External"/><Relationship Id="rId375" Type="http://schemas.openxmlformats.org/officeDocument/2006/relationships/hyperlink" Target="https://www.siemens-home.bsh-group.com/tr/tr/product/SE23IW60MT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pisirme-grubu/buharli-firinlar/buharli-firinlar/HR776G3B1" TargetMode="External"/><Relationship Id="rId277" Type="http://schemas.openxmlformats.org/officeDocument/2006/relationships/hyperlink" Target="https://www.siemens-home.bsh-group.com/tr/tr/product/prsiemensfridge/KG56NTW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2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484" Type="http://schemas.openxmlformats.org/officeDocument/2006/relationships/hyperlink" Target="https://www.siemens-home.bsh-group.com/tr/tr/product/elektrikli-supurgeler/toz-torbali-torbasiz-elektrikli-supurgeler/VSX7XTRM" TargetMode="External"/><Relationship Id="rId137" Type="http://schemas.openxmlformats.org/officeDocument/2006/relationships/hyperlink" Target="https://www.siemens-home.bsh-group.com/tr/tr/product/pisirme-grubu/ocaklar/gazli-ocaklar/EP9A6QI40" TargetMode="External"/><Relationship Id="rId302" Type="http://schemas.openxmlformats.org/officeDocument/2006/relationships/hyperlink" Target="https://www.siemens-home.bsh-group.com/tr/tr/product/ankastre/ankastre-davlumbazlar/LB75565" TargetMode="External"/><Relationship Id="rId344" Type="http://schemas.openxmlformats.org/officeDocument/2006/relationships/hyperlink" Target="https://www.siemens-home.bsh-group.com/tr/tr/product/ankastre/ankastre-davlumbazlar/LC95FCJ70T" TargetMode="External"/><Relationship Id="rId41" Type="http://schemas.openxmlformats.org/officeDocument/2006/relationships/hyperlink" Target="https://www.siemens-home.bsh-group.com/tr/tr/product/CI10Z090" TargetMode="External"/><Relationship Id="rId83" Type="http://schemas.openxmlformats.org/officeDocument/2006/relationships/hyperlink" Target="https://www.siemens-home.bsh-group.com/tr/tr/product/pisirme-grubu/ocaklar/gazli-ocaklar/EN6B2NP40O" TargetMode="External"/><Relationship Id="rId179" Type="http://schemas.openxmlformats.org/officeDocument/2006/relationships/hyperlink" Target="https://www.siemens-home.bsh-group.com/tr/tr/product/ldaset2ref/GS54NVWE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51" Type="http://schemas.openxmlformats.org/officeDocument/2006/relationships/hyperlink" Target="https://www.siemens-home.bsh-group.com/tr/tr/product/ldaset2wm/WT00H200TR" TargetMode="External"/><Relationship Id="rId190" Type="http://schemas.openxmlformats.org/officeDocument/2006/relationships/hyperlink" Target="https://www.siemens-home.bsh-group.com/tr/tr/product/ankastre/ankastre-firinlar/HB214FBW1T" TargetMode="External"/><Relationship Id="rId204" Type="http://schemas.openxmlformats.org/officeDocument/2006/relationships/hyperlink" Target="https://www.siemens-home.bsh-group.com/tr/tr/product/ankastre/ankastre-firinlar/HB514FBR1T" TargetMode="External"/><Relationship Id="rId246" Type="http://schemas.openxmlformats.org/officeDocument/2006/relationships/hyperlink" Target="https://www.siemens-home.bsh-group.com/tr/tr/product/HZ9VRUD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11" Type="http://schemas.openxmlformats.org/officeDocument/2006/relationships/hyperlink" Target="https://www.siemens-home.bsh-group.com/tr/tr/product/ankastre/ankastre-bulasik-makineleri/SN515S01DT" TargetMode="External"/><Relationship Id="rId453" Type="http://schemas.openxmlformats.org/officeDocument/2006/relationships/hyperlink" Target="https://www.siemens-home.bsh-group.com/tr/tr/product/kucuk-ev-aletleri/TP703R09" TargetMode="External"/><Relationship Id="rId509" Type="http://schemas.openxmlformats.org/officeDocument/2006/relationships/hyperlink" Target="https://www.siemens-home.bsh-group.com/tr/tr/product/evlilik-kampanyasi-camasir-makineleri/WG52A2XVTR" TargetMode="External"/><Relationship Id="rId106" Type="http://schemas.openxmlformats.org/officeDocument/2006/relationships/hyperlink" Target="https://www.siemens-home.bsh-group.com/tr/tr/product/ankastre/ankastre-ocaklar/EO6C8PO00O" TargetMode="External"/><Relationship Id="rId313" Type="http://schemas.openxmlformats.org/officeDocument/2006/relationships/hyperlink" Target="https://www.siemens-home.bsh-group.com/tr/tr/product/ankastre/ankastre-davlumbazlar/LC64PCC50T" TargetMode="External"/><Relationship Id="rId495" Type="http://schemas.openxmlformats.org/officeDocument/2006/relationships/hyperlink" Target="https://www.siemens-home.bsh-group.com/tr/tr/product/yikama-ve-utuleme-grubu/camasir-makineleri/solo-camasir-makineleri/WG42A2ZX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arsiv/CI60Z000" TargetMode="External"/><Relationship Id="rId94" Type="http://schemas.openxmlformats.org/officeDocument/2006/relationships/hyperlink" Target="https://www.siemens-home.bsh-group.com/tr/tr/product/pisirme-grubu/ocaklar/gazli-ocaklar/EN7B2QP30O" TargetMode="External"/><Relationship Id="rId148" Type="http://schemas.openxmlformats.org/officeDocument/2006/relationships/hyperlink" Target="https://www.siemens-home.bsh-group.com/tr/tr/product/pisirme-grubu/ocaklar/seramik-ocaklar/ET875LMP1D" TargetMode="External"/><Relationship Id="rId355" Type="http://schemas.openxmlformats.org/officeDocument/2006/relationships/hyperlink" Target="https://www.siemens-home.bsh-group.com/tr/tr/product/LC98KC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0" Type="http://schemas.openxmlformats.org/officeDocument/2006/relationships/hyperlink" Target="https://www.siemens-home.bsh-group.com/tr/tr/product/yikama-ve-utuleme-grubu/camasir-makineleri/iq700-camasir-makineleri/WG54B2AXTR" TargetMode="External"/><Relationship Id="rId562" Type="http://schemas.openxmlformats.org/officeDocument/2006/relationships/hyperlink" Target="https://www.siemens-home.bsh-group.com/tr/tr/product/KD76NAWE1N" TargetMode="External"/><Relationship Id="rId215" Type="http://schemas.openxmlformats.org/officeDocument/2006/relationships/hyperlink" Target="https://www.siemens-home.bsh-group.com/tr/tr/product/arsiv/HB655GNW1" TargetMode="External"/><Relationship Id="rId257" Type="http://schemas.openxmlformats.org/officeDocument/2006/relationships/hyperlink" Target="https://www.siemens-home.bsh-group.com/tr/tr/product/prsiemensfridge/KD76NHID1N" TargetMode="External"/><Relationship Id="rId422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464" Type="http://schemas.openxmlformats.org/officeDocument/2006/relationships/hyperlink" Target="https://www.siemens-home.bsh-group.com/tr/tr/product/kahve-makineleri/aksesuarlar/TZ80001A" TargetMode="External"/><Relationship Id="rId299" Type="http://schemas.openxmlformats.org/officeDocument/2006/relationships/hyperlink" Target="https://www.siemens-home.bsh-group.com/tr/tr/product/ankastre/ankastre-buzdolaplari-ve-sogutucular/KU21WAHG0" TargetMode="External"/><Relationship Id="rId63" Type="http://schemas.openxmlformats.org/officeDocument/2006/relationships/hyperlink" Target="https://www.siemens-home.bsh-group.com/tr/tr/product/su-sebilleri/DW15702" TargetMode="External"/><Relationship Id="rId159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66" Type="http://schemas.openxmlformats.org/officeDocument/2006/relationships/hyperlink" Target="https://www.siemens-home.bsh-group.com/tr/tr/product/MQ67185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74" Type="http://schemas.openxmlformats.org/officeDocument/2006/relationships/hyperlink" Target="https://www.siemens-home.bsh-group.com/tr/tr/product/pisirme-grubu/ocaklar/gazli-ocaklar/EC7A5RB90" TargetMode="External"/><Relationship Id="rId377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00" Type="http://schemas.openxmlformats.org/officeDocument/2006/relationships/hyperlink" Target="https://www.siemens-home.bsh-group.com/tr/tr/product/yikama-ve-utuleme-grubu/camasir-makineleri/solo-camasir-makineleri/WG44A2ZR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ankastre/ankastre-firinlar/HS858KXB6" TargetMode="External"/><Relationship Id="rId444" Type="http://schemas.openxmlformats.org/officeDocument/2006/relationships/hyperlink" Target="https://www.siemens-home.bsh-group.com/tr/tr/product/TI353204RW" TargetMode="External"/><Relationship Id="rId290" Type="http://schemas.openxmlformats.org/officeDocument/2006/relationships/hyperlink" Target="https://www.siemens-home.bsh-group.com/tr/tr/product/kampanyalar/supurge-hediye-firsati/KG86PAIC0N" TargetMode="External"/><Relationship Id="rId304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88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11" Type="http://schemas.openxmlformats.org/officeDocument/2006/relationships/hyperlink" Target="https://www.siemens-home.bsh-group.com/tr/tr/product/yikama-ve-utuleme-grubu/camasir-makineleri/solo-camasir-makineleri/WG52A2ZXTR" TargetMode="External"/><Relationship Id="rId85" Type="http://schemas.openxmlformats.org/officeDocument/2006/relationships/hyperlink" Target="https://www.siemens-home.bsh-group.com/tr/tr/product/pisirme-grubu/ocaklar/gazli-ocaklar/EN6B8NP40O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55" Type="http://schemas.openxmlformats.org/officeDocument/2006/relationships/hyperlink" Target="https://www.siemens-home.bsh-group.com/tr/tr/product/kahve-makineleri/tam-otomatik-kahve-makineleri/eq700/TP71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pisirme-grubu/ocaklar/gazli-ocaklar/EO6C8PP30O" TargetMode="External"/><Relationship Id="rId315" Type="http://schemas.openxmlformats.org/officeDocument/2006/relationships/hyperlink" Target="https://www.siemens-home.bsh-group.com/tr/tr/product/ankastre/ankastre-davlumbazlar/LC65BBC50T" TargetMode="External"/><Relationship Id="rId522" Type="http://schemas.openxmlformats.org/officeDocument/2006/relationships/hyperlink" Target="https://www.siemens-home.bsh-group.com/tr/tr/product/yikama-ve-utuleme-grubu/camasir-makineleri/solo-camasir-makineleri/WG64K2F0TR" TargetMode="External"/><Relationship Id="rId96" Type="http://schemas.openxmlformats.org/officeDocument/2006/relationships/hyperlink" Target="https://www.siemens-home.bsh-group.com/tr/tr/product/pisirme-grubu/ocaklar/gazli-ocaklar/EN7B6QP30O" TargetMode="External"/><Relationship Id="rId161" Type="http://schemas.openxmlformats.org/officeDocument/2006/relationships/hyperlink" Target="https://www.siemens-home.bsh-group.com/tr/tr/product/pisirme-grubu/ocaklar/induksiyonlu-ocaklar/EX975LXC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66" Type="http://schemas.openxmlformats.org/officeDocument/2006/relationships/hyperlink" Target="https://www.siemens-home.bsh-group.com/tr/tr/product/VCH6XT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3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5.75"/>
  <cols>
    <col min="1" max="1" width="16.42578125" style="61" customWidth="1"/>
    <col min="2" max="2" width="35.42578125" style="131" customWidth="1"/>
    <col min="3" max="3" width="7.7109375" style="35" bestFit="1" customWidth="1"/>
    <col min="4" max="4" width="6.28515625" style="40" bestFit="1" customWidth="1"/>
    <col min="5" max="5" width="6.28515625" style="41" customWidth="1"/>
    <col min="6" max="6" width="5.7109375" style="41" customWidth="1"/>
    <col min="7" max="7" width="7.42578125" style="42" bestFit="1" customWidth="1"/>
    <col min="8" max="8" width="7.5703125" style="42" customWidth="1"/>
    <col min="9" max="9" width="9" customWidth="1"/>
    <col min="10" max="10" width="4.5703125" customWidth="1"/>
    <col min="11" max="11" width="6.42578125" style="140" bestFit="1" customWidth="1"/>
    <col min="12" max="12" width="8.28515625" style="140" bestFit="1" customWidth="1"/>
    <col min="13" max="13" width="7.140625" customWidth="1"/>
    <col min="14" max="14" width="7" style="43" bestFit="1" customWidth="1"/>
    <col min="15" max="15" width="8.140625" style="41" customWidth="1"/>
    <col min="16" max="16" width="8" style="177" customWidth="1"/>
    <col min="17" max="17" width="10.140625" style="56" bestFit="1" customWidth="1"/>
    <col min="18" max="18" width="10.140625" style="44" bestFit="1" customWidth="1"/>
    <col min="19" max="19" width="9.5703125" style="45" bestFit="1" customWidth="1"/>
    <col min="20" max="20" width="10.7109375" style="46" customWidth="1"/>
    <col min="21" max="21" width="12" style="46" customWidth="1"/>
    <col min="22" max="22" width="13.140625" style="47" bestFit="1" customWidth="1"/>
    <col min="23" max="23" width="17.85546875" style="111"/>
  </cols>
  <sheetData>
    <row r="1" spans="1:27" s="7" customFormat="1" ht="67.5">
      <c r="A1" s="157" t="s">
        <v>0</v>
      </c>
      <c r="B1" s="131" t="s">
        <v>1</v>
      </c>
      <c r="C1" s="2" t="s">
        <v>1589</v>
      </c>
      <c r="D1" s="50" t="s">
        <v>1529</v>
      </c>
      <c r="E1" s="3" t="s">
        <v>1530</v>
      </c>
      <c r="F1" s="141" t="s">
        <v>1346</v>
      </c>
      <c r="G1" s="4" t="s">
        <v>2</v>
      </c>
      <c r="H1" s="4" t="s">
        <v>3</v>
      </c>
      <c r="I1" s="5" t="s">
        <v>1312</v>
      </c>
      <c r="J1" s="5" t="s">
        <v>4</v>
      </c>
      <c r="K1" s="138" t="s">
        <v>5</v>
      </c>
      <c r="L1" s="138" t="s">
        <v>1583</v>
      </c>
      <c r="M1" s="5" t="s">
        <v>6</v>
      </c>
      <c r="N1" s="6" t="s">
        <v>7</v>
      </c>
      <c r="O1" s="170" t="s">
        <v>1590</v>
      </c>
      <c r="P1" s="171" t="s">
        <v>1584</v>
      </c>
      <c r="Q1" s="106" t="s">
        <v>1527</v>
      </c>
      <c r="R1" s="108" t="s">
        <v>8</v>
      </c>
      <c r="S1" s="48" t="s">
        <v>9</v>
      </c>
      <c r="T1" s="172" t="s">
        <v>1523</v>
      </c>
      <c r="U1" s="148" t="s">
        <v>1528</v>
      </c>
      <c r="V1" s="149" t="s">
        <v>467</v>
      </c>
      <c r="W1" s="110" t="s">
        <v>1337</v>
      </c>
      <c r="X1" s="109" t="s">
        <v>1591</v>
      </c>
      <c r="Y1" s="173" t="s">
        <v>1585</v>
      </c>
    </row>
    <row r="2" spans="1:27">
      <c r="A2" s="58" t="s">
        <v>10</v>
      </c>
      <c r="B2" s="5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2">
        <f t="shared" ref="N2:N44" si="0">M2+L2+K2+J2+I2+H2+G2+F2+E2+D2+C2</f>
        <v>2</v>
      </c>
      <c r="O2" s="9"/>
      <c r="P2" s="174"/>
      <c r="Q2" s="107" t="s">
        <v>1335</v>
      </c>
      <c r="R2" s="20">
        <v>80000</v>
      </c>
      <c r="S2" s="13">
        <v>83200</v>
      </c>
      <c r="T2" s="14"/>
      <c r="U2" s="14"/>
      <c r="V2" s="145">
        <v>1000</v>
      </c>
    </row>
    <row r="3" spans="1:27">
      <c r="A3" s="68" t="s">
        <v>11</v>
      </c>
      <c r="B3" s="55" t="str">
        <f>IFERROR(HYPERLINK(VLOOKUP(A3,ÜRÜNLER!A:C,3,FALSE),VLOOKUP(A3,ÜRÜNLER!A:B,2,FALSE)),"")</f>
        <v>iQ700 Gardırop Tipi Buzdolabı, Cam Kapı, Alkol Çekmeceli, 90.5cm, Siyah</v>
      </c>
      <c r="C3" s="8">
        <v>3</v>
      </c>
      <c r="D3" s="8"/>
      <c r="E3" s="9"/>
      <c r="F3" s="9"/>
      <c r="G3" s="10"/>
      <c r="H3" s="10"/>
      <c r="I3" s="11"/>
      <c r="J3" s="11">
        <v>1</v>
      </c>
      <c r="K3" s="10"/>
      <c r="L3" s="10"/>
      <c r="M3" s="11">
        <v>1</v>
      </c>
      <c r="N3" s="12">
        <f t="shared" si="0"/>
        <v>5</v>
      </c>
      <c r="O3" s="9">
        <v>2</v>
      </c>
      <c r="P3" s="174"/>
      <c r="Q3" s="56">
        <v>210521.1387075088</v>
      </c>
      <c r="R3" s="57">
        <v>204205.50454628354</v>
      </c>
      <c r="S3" s="13">
        <v>212373.72472813487</v>
      </c>
      <c r="T3" s="14"/>
      <c r="U3" s="14"/>
      <c r="V3" s="15"/>
      <c r="W3" s="112" t="s">
        <v>1531</v>
      </c>
    </row>
    <row r="4" spans="1:27">
      <c r="A4" s="68" t="s">
        <v>12</v>
      </c>
      <c r="B4" s="55" t="str">
        <f>IFERROR(HYPERLINK(VLOOKUP(A4,ÜRÜNLER!A:C,3,FALSE),VLOOKUP(A4,ÜRÜNLER!A:B,2,FALSE)),"")</f>
        <v>iQ300 Gardırop Tipi Buzdolabı, 90.5cm, BlackSteel</v>
      </c>
      <c r="C4" s="8">
        <v>2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2">
        <f t="shared" si="0"/>
        <v>7</v>
      </c>
      <c r="O4" s="9">
        <v>27</v>
      </c>
      <c r="P4" s="174"/>
      <c r="Q4" s="56">
        <v>128387.14926793992</v>
      </c>
      <c r="R4" s="57">
        <v>124535.53478990172</v>
      </c>
      <c r="S4" s="13">
        <v>129516.95618149779</v>
      </c>
      <c r="T4" s="14">
        <v>34502.890008680683</v>
      </c>
      <c r="U4" s="14"/>
      <c r="V4" s="15"/>
      <c r="W4" s="112" t="s">
        <v>1531</v>
      </c>
    </row>
    <row r="5" spans="1:27">
      <c r="A5" s="58" t="s">
        <v>13</v>
      </c>
      <c r="B5" s="55" t="str">
        <f>IFERROR(HYPERLINK(VLOOKUP(A5,ÜRÜNLER!A:C,3,FALSE),VLOOKUP(A5,ÜRÜNLER!A:B,2,FALSE)),"")</f>
        <v>iQ300 Gardırop Tipi Buzdolabı, 90.5cm, Inox</v>
      </c>
      <c r="C5" s="8">
        <v>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2">
        <f t="shared" si="0"/>
        <v>10</v>
      </c>
      <c r="O5" s="9">
        <v>15</v>
      </c>
      <c r="P5" s="174"/>
      <c r="Q5" s="56">
        <v>113545.45097557975</v>
      </c>
      <c r="R5" s="57">
        <v>110139.08744631236</v>
      </c>
      <c r="S5" s="13">
        <v>114544.65094416485</v>
      </c>
      <c r="T5" s="14">
        <v>20657.0788825565</v>
      </c>
      <c r="U5" s="14"/>
      <c r="V5" s="15"/>
      <c r="W5" s="112" t="s">
        <v>1531</v>
      </c>
    </row>
    <row r="6" spans="1:27">
      <c r="A6" s="58" t="s">
        <v>14</v>
      </c>
      <c r="B6" s="55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2">
        <f t="shared" si="0"/>
        <v>2</v>
      </c>
      <c r="O6" s="9"/>
      <c r="P6" s="174" t="s">
        <v>1586</v>
      </c>
      <c r="Q6" s="56">
        <v>30401.260450046222</v>
      </c>
      <c r="R6" s="27">
        <v>30401.260450046222</v>
      </c>
      <c r="S6" s="13">
        <v>31617.310868048073</v>
      </c>
      <c r="T6" s="14"/>
      <c r="U6" s="14"/>
      <c r="V6" s="15"/>
    </row>
    <row r="7" spans="1:27">
      <c r="A7" s="58" t="s">
        <v>15</v>
      </c>
      <c r="B7" s="55" t="str">
        <f>IFERROR(HYPERLINK(VLOOKUP(A7,ÜRÜNLER!A:C,3,FALSE),VLOOKUP(A7,ÜRÜNLER!A:B,2,FALSE)),"")</f>
        <v>iQ300 Üstten Donduruculu Kulpsuz Buzdolabı, 70cm, Beyaz</v>
      </c>
      <c r="C7" s="8">
        <v>3</v>
      </c>
      <c r="D7" s="8"/>
      <c r="E7" s="9"/>
      <c r="F7" s="9"/>
      <c r="G7" s="10"/>
      <c r="H7" s="10"/>
      <c r="I7" s="11"/>
      <c r="J7" s="11"/>
      <c r="K7" s="10">
        <v>1</v>
      </c>
      <c r="L7" s="10"/>
      <c r="M7" s="11"/>
      <c r="N7" s="12">
        <f t="shared" si="0"/>
        <v>4</v>
      </c>
      <c r="O7" s="9"/>
      <c r="P7" s="174" t="s">
        <v>1586</v>
      </c>
      <c r="Q7" s="56">
        <v>34025.498087228028</v>
      </c>
      <c r="R7" s="27">
        <v>34025.498087227999</v>
      </c>
      <c r="S7" s="13">
        <v>35386.518010717118</v>
      </c>
      <c r="T7" s="14">
        <v>1491.7771569954677</v>
      </c>
      <c r="U7" s="14"/>
      <c r="V7" s="15"/>
    </row>
    <row r="8" spans="1:27">
      <c r="A8" s="58" t="s">
        <v>1338</v>
      </c>
      <c r="B8" s="55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2">
        <f t="shared" si="0"/>
        <v>0</v>
      </c>
      <c r="O8" s="9">
        <v>5</v>
      </c>
      <c r="P8" s="174" t="s">
        <v>1586</v>
      </c>
      <c r="Q8" s="56">
        <v>39960.567034634776</v>
      </c>
      <c r="R8" s="27">
        <v>39960.567034634776</v>
      </c>
      <c r="S8" s="13">
        <v>41558.989716020165</v>
      </c>
      <c r="T8" s="14">
        <v>4171.0321509138448</v>
      </c>
      <c r="U8" s="14"/>
      <c r="V8" s="15"/>
    </row>
    <row r="9" spans="1:27">
      <c r="A9" s="58" t="s">
        <v>16</v>
      </c>
      <c r="B9" s="5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2">
        <f t="shared" si="0"/>
        <v>1</v>
      </c>
      <c r="O9" s="9"/>
      <c r="P9" s="174"/>
      <c r="Q9" s="107" t="s">
        <v>1335</v>
      </c>
      <c r="R9" s="16">
        <v>40000</v>
      </c>
      <c r="S9" s="13">
        <v>41600</v>
      </c>
      <c r="T9" s="14"/>
      <c r="U9" s="14"/>
      <c r="V9" s="15">
        <v>250</v>
      </c>
      <c r="Y9" s="17"/>
      <c r="Z9" s="17"/>
      <c r="AA9" s="17"/>
    </row>
    <row r="10" spans="1:27">
      <c r="A10" s="58" t="s">
        <v>17</v>
      </c>
      <c r="B10" s="55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>
        <v>1</v>
      </c>
      <c r="J10" s="11"/>
      <c r="K10" s="10">
        <v>1</v>
      </c>
      <c r="L10" s="10"/>
      <c r="M10" s="11"/>
      <c r="N10" s="12">
        <f t="shared" si="0"/>
        <v>2</v>
      </c>
      <c r="O10" s="9"/>
      <c r="P10" s="174"/>
      <c r="Q10" s="107" t="s">
        <v>1335</v>
      </c>
      <c r="R10" s="16">
        <v>64999</v>
      </c>
      <c r="S10" s="13">
        <v>67598.960000000006</v>
      </c>
      <c r="T10" s="14"/>
      <c r="U10" s="109">
        <v>18233.939999999999</v>
      </c>
      <c r="V10" s="15">
        <v>250</v>
      </c>
    </row>
    <row r="11" spans="1:27">
      <c r="A11" s="58" t="s">
        <v>18</v>
      </c>
      <c r="B11" s="55" t="str">
        <f>IFERROR(HYPERLINK(VLOOKUP(A11,ÜRÜNLER!A:C,3,FALSE),VLOOKUP(A11,ÜRÜNLER!A:B,2,FALSE)),"")</f>
        <v>iQ500 Üstten Donduruculu Kulplu Buzdolabı, 75cm, Inox</v>
      </c>
      <c r="C11" s="8">
        <v>3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2">
        <f t="shared" si="0"/>
        <v>3</v>
      </c>
      <c r="O11" s="9">
        <v>7</v>
      </c>
      <c r="P11" s="174"/>
      <c r="Q11" s="56">
        <v>82878.063449484252</v>
      </c>
      <c r="R11" s="57">
        <v>80391.721545999724</v>
      </c>
      <c r="S11" s="13">
        <v>83607.390407839717</v>
      </c>
      <c r="T11" s="14">
        <v>20757.133216926133</v>
      </c>
      <c r="U11" s="14"/>
      <c r="V11" s="15"/>
    </row>
    <row r="12" spans="1:27">
      <c r="A12" s="58" t="s">
        <v>1592</v>
      </c>
      <c r="B12" s="55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2">
        <f t="shared" si="0"/>
        <v>0</v>
      </c>
      <c r="O12" s="9">
        <v>10</v>
      </c>
      <c r="P12" s="174"/>
      <c r="Q12" s="56">
        <v>55430</v>
      </c>
      <c r="R12" s="57">
        <v>53767.1</v>
      </c>
      <c r="S12" s="13">
        <v>55917.784</v>
      </c>
      <c r="T12" s="14"/>
      <c r="U12" s="14"/>
      <c r="V12" s="15"/>
    </row>
    <row r="13" spans="1:27">
      <c r="A13" s="58" t="s">
        <v>19</v>
      </c>
      <c r="B13" s="55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2">
        <f t="shared" si="0"/>
        <v>2</v>
      </c>
      <c r="O13" s="9"/>
      <c r="P13" s="174"/>
      <c r="Q13" s="107" t="s">
        <v>1335</v>
      </c>
      <c r="R13" s="16">
        <v>60000</v>
      </c>
      <c r="S13" s="13">
        <v>62400</v>
      </c>
      <c r="T13" s="14"/>
      <c r="U13" s="14"/>
      <c r="V13" s="15"/>
    </row>
    <row r="14" spans="1:27">
      <c r="A14" s="60" t="s">
        <v>20</v>
      </c>
      <c r="B14" s="55" t="str">
        <f>IFERROR(HYPERLINK(VLOOKUP(A14,ÜRÜNLER!A:C,3,FALSE),VLOOKUP(A14,ÜRÜNLER!A:B,2,FALSE)),"")</f>
        <v>iQ500 Üstten Donduruculu Kulpsuz Buzdolabı, 75cm, Inox</v>
      </c>
      <c r="C14" s="8">
        <v>5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2">
        <f t="shared" si="0"/>
        <v>5</v>
      </c>
      <c r="O14" s="9">
        <v>5</v>
      </c>
      <c r="P14" s="174"/>
      <c r="Q14" s="56">
        <v>66166.491473588918</v>
      </c>
      <c r="R14" s="57">
        <v>64181.496729381251</v>
      </c>
      <c r="S14" s="13">
        <v>66748.756598556502</v>
      </c>
      <c r="T14" s="14">
        <v>13096.724031728461</v>
      </c>
      <c r="U14" s="14"/>
      <c r="V14" s="18"/>
    </row>
    <row r="15" spans="1:27">
      <c r="A15" s="60" t="s">
        <v>21</v>
      </c>
      <c r="B15" s="55" t="str">
        <f>IFERROR(HYPERLINK(VLOOKUP(A15,ÜRÜNLER!A:C,3,FALSE),VLOOKUP(A15,ÜRÜNLER!A:B,2,FALSE)),"")</f>
        <v>iQ300 Üstten Donduruculu, Kulpsuz Buzdolabı, 75cm, Beyaz</v>
      </c>
      <c r="C15" s="8">
        <v>7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2">
        <f t="shared" si="0"/>
        <v>10</v>
      </c>
      <c r="O15" s="9">
        <v>9</v>
      </c>
      <c r="P15" s="174"/>
      <c r="Q15" s="56">
        <v>61265.269882952707</v>
      </c>
      <c r="R15" s="57">
        <v>59427.311786464124</v>
      </c>
      <c r="S15" s="13">
        <v>61804.404257922688</v>
      </c>
      <c r="T15" s="14">
        <v>9839.6884876038821</v>
      </c>
      <c r="U15" s="14"/>
      <c r="V15" s="18"/>
    </row>
    <row r="16" spans="1:27">
      <c r="A16" s="60" t="s">
        <v>1326</v>
      </c>
      <c r="B16" s="55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2">
        <f t="shared" si="0"/>
        <v>1</v>
      </c>
      <c r="O16" s="9"/>
      <c r="P16" s="174"/>
      <c r="Q16" s="107" t="s">
        <v>1335</v>
      </c>
      <c r="R16" s="27">
        <v>50000</v>
      </c>
      <c r="S16" s="13">
        <v>52000</v>
      </c>
      <c r="T16" s="14">
        <v>1783.7897032726178</v>
      </c>
      <c r="U16" s="14"/>
      <c r="V16" s="15">
        <v>250</v>
      </c>
    </row>
    <row r="17" spans="1:27">
      <c r="A17" s="58" t="s">
        <v>22</v>
      </c>
      <c r="B17" s="55" t="str">
        <f>IFERROR(HYPERLINK(VLOOKUP(A17,ÜRÜNLER!A:C,3,FALSE),VLOOKUP(A17,ÜRÜNLER!A:B,2,FALSE)),"")</f>
        <v>iQ500 Üstten Donduruculu Kulplu Buzdolabı, 86cm, Inox</v>
      </c>
      <c r="C17" s="8">
        <v>8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2">
        <f t="shared" si="0"/>
        <v>11</v>
      </c>
      <c r="O17" s="9">
        <v>3</v>
      </c>
      <c r="P17" s="174"/>
      <c r="Q17" s="56">
        <v>95662.202301541009</v>
      </c>
      <c r="R17" s="57">
        <v>92792.336232494781</v>
      </c>
      <c r="S17" s="13">
        <v>96504.029681794578</v>
      </c>
      <c r="T17" s="14">
        <v>23277.318580610794</v>
      </c>
      <c r="U17" s="14"/>
      <c r="V17" s="15"/>
      <c r="W17" s="112" t="s">
        <v>1531</v>
      </c>
    </row>
    <row r="18" spans="1:27">
      <c r="A18" s="58" t="s">
        <v>25</v>
      </c>
      <c r="B18" s="55" t="str">
        <f>IFERROR(HYPERLINK(VLOOKUP(A18,ÜRÜNLER!A:C,3,FALSE),VLOOKUP(A18,ÜRÜNLER!A:B,2,FALSE)),"")</f>
        <v>iQ500 Üstten Donduruculu Kulplu Buzdolabı, 86cm, Beyaz</v>
      </c>
      <c r="C18" s="8">
        <v>5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2">
        <f t="shared" si="0"/>
        <v>5</v>
      </c>
      <c r="O18" s="9">
        <v>5</v>
      </c>
      <c r="P18" s="174"/>
      <c r="Q18" s="56">
        <v>83239.541994694649</v>
      </c>
      <c r="R18" s="57">
        <v>80742.355734853816</v>
      </c>
      <c r="S18" s="13">
        <v>83972.04996424797</v>
      </c>
      <c r="T18" s="14">
        <v>17244.193157485366</v>
      </c>
      <c r="U18" s="14"/>
      <c r="V18" s="15"/>
      <c r="W18" s="112" t="s">
        <v>1531</v>
      </c>
    </row>
    <row r="19" spans="1:27" s="17" customFormat="1">
      <c r="A19" s="58" t="s">
        <v>26</v>
      </c>
      <c r="B19" s="55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2">
        <f t="shared" si="0"/>
        <v>1</v>
      </c>
      <c r="O19" s="9"/>
      <c r="P19" s="174"/>
      <c r="Q19" s="107" t="s">
        <v>1335</v>
      </c>
      <c r="R19" s="16">
        <v>55000</v>
      </c>
      <c r="S19" s="13">
        <v>57200</v>
      </c>
      <c r="T19" s="14"/>
      <c r="U19" s="14"/>
      <c r="V19" s="15">
        <v>250</v>
      </c>
      <c r="W19" s="111"/>
      <c r="X19"/>
      <c r="Y19"/>
      <c r="Z19"/>
      <c r="AA19"/>
    </row>
    <row r="20" spans="1:27">
      <c r="A20" s="60" t="s">
        <v>27</v>
      </c>
      <c r="B20" s="55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2">
        <f t="shared" si="0"/>
        <v>2</v>
      </c>
      <c r="O20" s="9"/>
      <c r="P20" s="174"/>
      <c r="Q20" s="107" t="s">
        <v>1335</v>
      </c>
      <c r="R20" s="16">
        <v>36999</v>
      </c>
      <c r="S20" s="13">
        <v>38478.959999999999</v>
      </c>
      <c r="T20" s="14"/>
      <c r="U20" s="14"/>
      <c r="V20" s="15">
        <v>250</v>
      </c>
      <c r="X20" s="17"/>
    </row>
    <row r="21" spans="1:27">
      <c r="A21" s="58" t="s">
        <v>28</v>
      </c>
      <c r="B21" s="55" t="str">
        <f>IFERROR(HYPERLINK(VLOOKUP(A21,ÜRÜNLER!A:C,3,FALSE),VLOOKUP(A21,ÜRÜNLER!A:B,2,FALSE)),"")</f>
        <v>iQ300 Alttan Donduruculu Kulpsuz Buzdolabı, 70cm, Inox</v>
      </c>
      <c r="C21" s="8">
        <v>84</v>
      </c>
      <c r="D21" s="8"/>
      <c r="E21" s="9">
        <v>4</v>
      </c>
      <c r="F21" s="9"/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2">
        <f t="shared" si="0"/>
        <v>92</v>
      </c>
      <c r="O21" s="9">
        <v>21</v>
      </c>
      <c r="P21" s="174"/>
      <c r="Q21" s="56">
        <v>63469.622177112884</v>
      </c>
      <c r="R21" s="51">
        <v>60930.837290028372</v>
      </c>
      <c r="S21" s="13">
        <v>63368.070781629503</v>
      </c>
      <c r="T21" s="14">
        <v>14388.226828275694</v>
      </c>
      <c r="U21" s="14"/>
      <c r="V21" s="15"/>
    </row>
    <row r="22" spans="1:27">
      <c r="A22" s="58" t="s">
        <v>29</v>
      </c>
      <c r="B22" s="55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2">
        <f t="shared" si="0"/>
        <v>92</v>
      </c>
      <c r="O22" s="9"/>
      <c r="P22" s="174"/>
      <c r="Q22" s="56">
        <v>57039.061267121113</v>
      </c>
      <c r="R22" s="51">
        <v>54757.498816436266</v>
      </c>
      <c r="S22" s="13">
        <v>56947.798769093715</v>
      </c>
      <c r="T22" s="14">
        <v>10228.596150842051</v>
      </c>
      <c r="U22" s="14"/>
      <c r="V22" s="15"/>
    </row>
    <row r="23" spans="1:27">
      <c r="A23" s="58" t="s">
        <v>30</v>
      </c>
      <c r="B23" s="55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2">
        <f t="shared" si="0"/>
        <v>9</v>
      </c>
      <c r="O23" s="9"/>
      <c r="P23" s="174"/>
      <c r="Q23" s="56">
        <v>51274.362665302433</v>
      </c>
      <c r="R23" s="57">
        <v>49736.131785343357</v>
      </c>
      <c r="S23" s="13">
        <v>51725.577056757094</v>
      </c>
      <c r="T23" s="14">
        <v>6515.0603397210361</v>
      </c>
      <c r="U23" s="14"/>
      <c r="V23" s="15"/>
    </row>
    <row r="24" spans="1:27">
      <c r="A24" s="58" t="s">
        <v>31</v>
      </c>
      <c r="B24" s="55" t="str">
        <f>IFERROR(HYPERLINK(VLOOKUP(A24,ÜRÜNLER!A:C,3,FALSE),VLOOKUP(A24,ÜRÜNLER!A:B,2,FALSE)),"")</f>
        <v>iQ300 Alttan Donduruculu Kulpsuz Buzdolabı, 70cm, Beyaz</v>
      </c>
      <c r="C24" s="8">
        <v>6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2">
        <f t="shared" si="0"/>
        <v>9</v>
      </c>
      <c r="O24" s="9"/>
      <c r="P24" s="174"/>
      <c r="Q24" s="56">
        <v>46796.712690055007</v>
      </c>
      <c r="R24" s="57">
        <v>45392.811309353354</v>
      </c>
      <c r="S24" s="13">
        <v>47208.523761727491</v>
      </c>
      <c r="T24" s="14">
        <v>6164.154550520122</v>
      </c>
      <c r="U24" s="14"/>
      <c r="V24" s="15"/>
    </row>
    <row r="25" spans="1:27">
      <c r="A25" s="68" t="s">
        <v>32</v>
      </c>
      <c r="B25" s="55" t="str">
        <f>IFERROR(HYPERLINK(VLOOKUP(A25,ÜRÜNLER!A:C,3,FALSE),VLOOKUP(A25,ÜRÜNLER!A:B,2,FALSE)),"")</f>
        <v>iQ500 Alttan Donduruculu Kulpsuz Buzdolabı, 70cm, Parlak Siyah</v>
      </c>
      <c r="C25" s="8">
        <v>16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2">
        <f t="shared" si="0"/>
        <v>21</v>
      </c>
      <c r="O25" s="9">
        <v>1</v>
      </c>
      <c r="P25" s="174"/>
      <c r="Q25" s="56">
        <v>58065.821991796955</v>
      </c>
      <c r="R25" s="51">
        <v>55743.189112125074</v>
      </c>
      <c r="S25" s="13">
        <v>57972.916676610075</v>
      </c>
      <c r="T25" s="14"/>
      <c r="U25" s="14"/>
      <c r="V25" s="15"/>
    </row>
    <row r="26" spans="1:27">
      <c r="A26" s="64" t="s">
        <v>33</v>
      </c>
      <c r="B26" s="55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2">
        <f t="shared" si="0"/>
        <v>1</v>
      </c>
      <c r="O26" s="9"/>
      <c r="P26" s="174"/>
      <c r="Q26" s="107" t="s">
        <v>1335</v>
      </c>
      <c r="R26" s="20">
        <v>48000</v>
      </c>
      <c r="S26" s="13">
        <v>49920</v>
      </c>
      <c r="T26" s="14"/>
      <c r="U26" s="14"/>
      <c r="V26" s="152">
        <v>500</v>
      </c>
    </row>
    <row r="27" spans="1:27">
      <c r="A27" s="64" t="s">
        <v>34</v>
      </c>
      <c r="B27" s="55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2">
        <f t="shared" si="0"/>
        <v>1</v>
      </c>
      <c r="O27" s="9"/>
      <c r="P27" s="174"/>
      <c r="Q27" s="107" t="s">
        <v>1335</v>
      </c>
      <c r="R27" s="20">
        <v>48000</v>
      </c>
      <c r="S27" s="13">
        <v>49920</v>
      </c>
      <c r="T27" s="14"/>
      <c r="U27" s="14"/>
      <c r="V27" s="152">
        <v>500</v>
      </c>
    </row>
    <row r="28" spans="1:27">
      <c r="A28" s="64" t="s">
        <v>35</v>
      </c>
      <c r="B28" s="55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2">
        <f t="shared" si="0"/>
        <v>2</v>
      </c>
      <c r="O28" s="9"/>
      <c r="P28" s="174"/>
      <c r="Q28" s="107" t="s">
        <v>1335</v>
      </c>
      <c r="R28" s="20">
        <v>48000</v>
      </c>
      <c r="S28" s="13">
        <v>49920</v>
      </c>
      <c r="T28" s="14"/>
      <c r="U28" s="14"/>
      <c r="V28" s="152">
        <v>500</v>
      </c>
    </row>
    <row r="29" spans="1:27">
      <c r="A29" s="58" t="s">
        <v>36</v>
      </c>
      <c r="B29" s="55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2">
        <f t="shared" si="0"/>
        <v>1</v>
      </c>
      <c r="O29" s="9"/>
      <c r="P29" s="174"/>
      <c r="Q29" s="107" t="s">
        <v>1335</v>
      </c>
      <c r="R29" s="20">
        <v>48000</v>
      </c>
      <c r="S29" s="13">
        <v>49920</v>
      </c>
      <c r="T29" s="14"/>
      <c r="U29" s="14"/>
      <c r="V29" s="15"/>
    </row>
    <row r="30" spans="1:27">
      <c r="A30" s="58" t="s">
        <v>37</v>
      </c>
      <c r="B30" s="55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2">
        <f t="shared" si="0"/>
        <v>16</v>
      </c>
      <c r="O30" s="9"/>
      <c r="P30" s="174"/>
      <c r="Q30" s="56">
        <v>72088.360336482729</v>
      </c>
      <c r="R30" s="26">
        <v>67042.175112928933</v>
      </c>
      <c r="S30" s="13">
        <v>69723.862117446086</v>
      </c>
      <c r="T30" s="14">
        <v>273.24405741295777</v>
      </c>
      <c r="U30" s="14"/>
      <c r="V30" s="146">
        <v>250</v>
      </c>
    </row>
    <row r="31" spans="1:27">
      <c r="A31" s="58" t="s">
        <v>38</v>
      </c>
      <c r="B31" s="55" t="str">
        <f>IFERROR(HYPERLINK(VLOOKUP(A31,ÜRÜNLER!A:C,3,FALSE),VLOOKUP(A31,ÜRÜNLER!A:B,2,FALSE)),"")</f>
        <v>iQ500 Alttan Donduruculu Kulplu Buzdolabı, 75cm, Inox</v>
      </c>
      <c r="C31" s="8">
        <v>38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2">
        <f t="shared" si="0"/>
        <v>44</v>
      </c>
      <c r="O31" s="9">
        <v>35</v>
      </c>
      <c r="P31" s="174"/>
      <c r="Q31" s="56">
        <v>84280.725891198905</v>
      </c>
      <c r="R31" s="51">
        <v>80909.496855550955</v>
      </c>
      <c r="S31" s="13">
        <v>84145.876729772994</v>
      </c>
      <c r="T31" s="14">
        <v>21679.563100501255</v>
      </c>
      <c r="U31" s="14"/>
      <c r="V31" s="15"/>
      <c r="X31" s="21"/>
    </row>
    <row r="32" spans="1:27" s="21" customFormat="1">
      <c r="A32" s="58" t="s">
        <v>39</v>
      </c>
      <c r="B32" s="55" t="str">
        <f>IFERROR(HYPERLINK(VLOOKUP(A32,ÜRÜNLER!A:C,3,FALSE),VLOOKUP(A32,ÜRÜNLER!A:B,2,FALSE)),"")</f>
        <v>iQ500 Alttan Donduruculu Kulplu Buzdolabı, 75cm, Beyaz</v>
      </c>
      <c r="C32" s="8">
        <v>26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2">
        <f t="shared" si="0"/>
        <v>28</v>
      </c>
      <c r="O32" s="9">
        <v>31</v>
      </c>
      <c r="P32" s="174"/>
      <c r="Q32" s="56">
        <v>77045.04375450201</v>
      </c>
      <c r="R32" s="51">
        <v>73963.242004321932</v>
      </c>
      <c r="S32" s="13">
        <v>76921.771684494815</v>
      </c>
      <c r="T32" s="14">
        <v>17219.462359153185</v>
      </c>
      <c r="U32" s="14"/>
      <c r="V32" s="15"/>
      <c r="W32" s="111"/>
      <c r="X32"/>
    </row>
    <row r="33" spans="1:24">
      <c r="A33" s="68" t="s">
        <v>40</v>
      </c>
      <c r="B33" s="55" t="str">
        <f>IFERROR(HYPERLINK(VLOOKUP(A33,ÜRÜNLER!A:C,3,FALSE),VLOOKUP(A33,ÜRÜNLER!A:B,2,FALSE)),"")</f>
        <v>iQ500 Alttan Donduruculu Kulpsuz Buzdolabı, 75cm, darkSteel</v>
      </c>
      <c r="C33" s="8"/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2">
        <f t="shared" si="0"/>
        <v>3</v>
      </c>
      <c r="O33" s="9">
        <v>81</v>
      </c>
      <c r="P33" s="174"/>
      <c r="Q33" s="56">
        <v>95152.057390036483</v>
      </c>
      <c r="R33" s="153">
        <v>115000</v>
      </c>
      <c r="S33" s="154">
        <v>119600</v>
      </c>
      <c r="T33" s="14">
        <v>29995.080645850452</v>
      </c>
      <c r="U33" s="14"/>
      <c r="V33" s="15"/>
      <c r="W33" s="112" t="s">
        <v>1531</v>
      </c>
    </row>
    <row r="34" spans="1:24">
      <c r="A34" s="58" t="s">
        <v>41</v>
      </c>
      <c r="B34" s="55" t="str">
        <f>IFERROR(HYPERLINK(VLOOKUP(A34,ÜRÜNLER!A:C,3,FALSE),VLOOKUP(A34,ÜRÜNLER!A:B,2,FALSE)),"")</f>
        <v>iQ300 Alttan Donduruculu Kulpsuz Buzdolabı, 75cm, Inox</v>
      </c>
      <c r="C34" s="8">
        <v>31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2">
        <f t="shared" si="0"/>
        <v>35</v>
      </c>
      <c r="O34" s="9">
        <v>21</v>
      </c>
      <c r="P34" s="174"/>
      <c r="Q34" s="56">
        <v>76173.043294544681</v>
      </c>
      <c r="R34" s="51">
        <v>73126.121562762899</v>
      </c>
      <c r="S34" s="13">
        <v>76051.166425273419</v>
      </c>
      <c r="T34" s="14">
        <v>19676.531666637711</v>
      </c>
      <c r="U34" s="14"/>
      <c r="V34" s="15"/>
    </row>
    <row r="35" spans="1:24">
      <c r="A35" s="58" t="s">
        <v>42</v>
      </c>
      <c r="B35" s="55" t="str">
        <f>IFERROR(HYPERLINK(VLOOKUP(A35,ÜRÜNLER!A:C,3,FALSE),VLOOKUP(A35,ÜRÜNLER!A:B,2,FALSE)),"")</f>
        <v>iQ300 Alttan Donduruculu Kulpsuz Buzdolabı, 75cm, Beyaz</v>
      </c>
      <c r="C35" s="8">
        <v>32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2">
        <f t="shared" si="0"/>
        <v>35</v>
      </c>
      <c r="O35" s="9">
        <v>21</v>
      </c>
      <c r="P35" s="174"/>
      <c r="Q35" s="56">
        <v>68727.331170743899</v>
      </c>
      <c r="R35" s="51">
        <v>65978.237923914145</v>
      </c>
      <c r="S35" s="13">
        <v>68617.367440870716</v>
      </c>
      <c r="T35" s="14">
        <v>13712.21489167413</v>
      </c>
      <c r="U35" s="14"/>
      <c r="V35" s="15"/>
    </row>
    <row r="36" spans="1:24">
      <c r="A36" s="58" t="s">
        <v>43</v>
      </c>
      <c r="B36" s="55" t="str">
        <f>IFERROR(HYPERLINK(VLOOKUP(A36,ÜRÜNLER!A:C,3,FALSE),VLOOKUP(A36,ÜRÜNLER!A:B,2,FALSE)),"")</f>
        <v>iQ700 Alttan Donduruculu Kulplu Buzdolabı, 75cm, Inox</v>
      </c>
      <c r="C36" s="8">
        <v>45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2">
        <f t="shared" si="0"/>
        <v>51</v>
      </c>
      <c r="O36" s="9">
        <v>11</v>
      </c>
      <c r="P36" s="174"/>
      <c r="Q36" s="56">
        <v>89108.337432470944</v>
      </c>
      <c r="R36" s="51">
        <v>85544.003935172106</v>
      </c>
      <c r="S36" s="13">
        <v>88965.764092578989</v>
      </c>
      <c r="T36" s="14">
        <v>17382.756037122119</v>
      </c>
      <c r="U36" s="14"/>
      <c r="V36" s="15"/>
    </row>
    <row r="37" spans="1:24">
      <c r="A37" s="58" t="s">
        <v>44</v>
      </c>
      <c r="B37" s="55" t="str">
        <f>IFERROR(HYPERLINK(VLOOKUP(A37,ÜRÜNLER!A:C,3,FALSE),VLOOKUP(A37,ÜRÜNLER!A:B,2,FALSE)),"")</f>
        <v>iQ700 Alttan Donduruculu Kulplu Buzdolabı, 75cm, Beyaz</v>
      </c>
      <c r="C37" s="8">
        <v>24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2">
        <f t="shared" si="0"/>
        <v>29</v>
      </c>
      <c r="O37" s="9">
        <v>5</v>
      </c>
      <c r="P37" s="175"/>
      <c r="Q37" s="56">
        <v>82556.234666907607</v>
      </c>
      <c r="R37" s="51">
        <v>79253.985280231296</v>
      </c>
      <c r="S37" s="13">
        <v>82424.144691440553</v>
      </c>
      <c r="T37" s="14">
        <v>17041.118387837858</v>
      </c>
      <c r="U37" s="14"/>
      <c r="V37" s="15"/>
    </row>
    <row r="38" spans="1:24" s="21" customFormat="1">
      <c r="A38" s="23" t="s">
        <v>45</v>
      </c>
      <c r="B38" s="55" t="str">
        <f>IFERROR(HYPERLINK(VLOOKUP(A38,ÜRÜNLER!A:C,3,FALSE),VLOOKUP(A38,ÜRÜNLER!A:B,2,FALSE)),"")</f>
        <v>iQ500 Alttan Donduruculu Kulplu Buzdolabı, 86cm, Inox</v>
      </c>
      <c r="C38" s="8">
        <v>107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2">
        <f t="shared" si="0"/>
        <v>114</v>
      </c>
      <c r="O38" s="9">
        <v>78</v>
      </c>
      <c r="P38" s="174"/>
      <c r="Q38" s="56">
        <v>97945.23362132156</v>
      </c>
      <c r="R38" s="51">
        <v>94027.424276468693</v>
      </c>
      <c r="S38" s="13">
        <v>97788.521247527446</v>
      </c>
      <c r="T38" s="14">
        <v>27326.628970158796</v>
      </c>
      <c r="U38" s="14"/>
      <c r="V38" s="15"/>
      <c r="W38" s="111"/>
    </row>
    <row r="39" spans="1:24" s="21" customFormat="1">
      <c r="A39" s="58" t="s">
        <v>46</v>
      </c>
      <c r="B39" s="55" t="str">
        <f>IFERROR(HYPERLINK(VLOOKUP(A39,ÜRÜNLER!A:C,3,FALSE),VLOOKUP(A39,ÜRÜNLER!A:B,2,FALSE)),"")</f>
        <v>iQ500 Alttan Donduruculu Kulplu Buzdolabı, 86cm, Beyaz</v>
      </c>
      <c r="C39" s="8">
        <v>24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2">
        <f t="shared" si="0"/>
        <v>26</v>
      </c>
      <c r="O39" s="9">
        <v>7</v>
      </c>
      <c r="P39" s="175"/>
      <c r="Q39" s="56">
        <v>84927.532970575048</v>
      </c>
      <c r="R39" s="51">
        <v>81530.431651752049</v>
      </c>
      <c r="S39" s="13">
        <v>84791.648917822138</v>
      </c>
      <c r="T39" s="14">
        <v>19908.928319412273</v>
      </c>
      <c r="U39" s="14"/>
      <c r="V39" s="15"/>
      <c r="W39" s="111"/>
    </row>
    <row r="40" spans="1:24" s="21" customFormat="1">
      <c r="A40" s="58" t="s">
        <v>47</v>
      </c>
      <c r="B40" s="55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2">
        <f t="shared" si="0"/>
        <v>16</v>
      </c>
      <c r="O40" s="9">
        <v>9</v>
      </c>
      <c r="P40" s="174"/>
      <c r="Q40" s="56">
        <v>75297.092684184434</v>
      </c>
      <c r="R40" s="51">
        <v>72285.208976817055</v>
      </c>
      <c r="S40" s="13">
        <v>75176.617335889736</v>
      </c>
      <c r="T40" s="14">
        <v>13599.418265579792</v>
      </c>
      <c r="U40" s="14"/>
      <c r="V40" s="15"/>
      <c r="W40" s="111"/>
    </row>
    <row r="41" spans="1:24" s="21" customFormat="1">
      <c r="A41" s="68" t="s">
        <v>48</v>
      </c>
      <c r="B41" s="55" t="str">
        <f>IFERROR(HYPERLINK(VLOOKUP(A41,ÜRÜNLER!A:C,3,FALSE),VLOOKUP(A41,ÜRÜNLER!A:B,2,FALSE)),"")</f>
        <v>iQ700 Alttan Donduruculu Kulpsuz Buzdolabı, 86cm, darkSteel</v>
      </c>
      <c r="C41" s="8">
        <v>69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2">
        <f t="shared" si="0"/>
        <v>71</v>
      </c>
      <c r="O41" s="9">
        <v>41</v>
      </c>
      <c r="P41" s="174"/>
      <c r="Q41" s="56">
        <v>113177.54019884831</v>
      </c>
      <c r="R41" s="51">
        <v>108650.43859089438</v>
      </c>
      <c r="S41" s="13">
        <v>112996.45613453016</v>
      </c>
      <c r="T41" s="14">
        <v>27777.540198848321</v>
      </c>
      <c r="U41" s="14"/>
      <c r="V41" s="15"/>
      <c r="W41" s="112" t="s">
        <v>1531</v>
      </c>
    </row>
    <row r="42" spans="1:24" s="21" customFormat="1">
      <c r="A42" s="24" t="s">
        <v>49</v>
      </c>
      <c r="B42" s="55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2">
        <f t="shared" si="0"/>
        <v>2</v>
      </c>
      <c r="O42" s="9"/>
      <c r="P42" s="174"/>
      <c r="Q42" s="107" t="s">
        <v>1335</v>
      </c>
      <c r="R42" s="20">
        <v>80000</v>
      </c>
      <c r="S42" s="13">
        <v>83200</v>
      </c>
      <c r="T42" s="14"/>
      <c r="U42" s="14"/>
      <c r="V42" s="15"/>
      <c r="W42" s="111"/>
    </row>
    <row r="43" spans="1:24" s="21" customFormat="1">
      <c r="A43" s="24" t="s">
        <v>50</v>
      </c>
      <c r="B43" s="55" t="str">
        <f>IFERROR(HYPERLINK(VLOOKUP(A43,ÜRÜNLER!A:C,3,FALSE),VLOOKUP(A43,ÜRÜNLER!A:B,2,FALSE)),"")</f>
        <v>iQ700 Alttan Donduruculu Kulplu Buzdolabı, 86cm, Inox</v>
      </c>
      <c r="C43" s="8">
        <v>127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2">
        <f t="shared" si="0"/>
        <v>131</v>
      </c>
      <c r="O43" s="9">
        <v>81</v>
      </c>
      <c r="P43" s="175"/>
      <c r="Q43" s="56">
        <v>106366.38100913838</v>
      </c>
      <c r="R43" s="51">
        <v>102111.72576877284</v>
      </c>
      <c r="S43" s="13">
        <v>106196.19479952376</v>
      </c>
      <c r="T43" s="14">
        <v>28991.962404487247</v>
      </c>
      <c r="U43" s="14"/>
      <c r="V43" s="15"/>
      <c r="W43" s="112" t="s">
        <v>1531</v>
      </c>
    </row>
    <row r="44" spans="1:24">
      <c r="A44" s="24" t="s">
        <v>51</v>
      </c>
      <c r="B44" s="55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2">
        <f t="shared" si="0"/>
        <v>54</v>
      </c>
      <c r="O44" s="9">
        <v>12</v>
      </c>
      <c r="P44" s="174"/>
      <c r="Q44" s="56">
        <v>98399.958748058751</v>
      </c>
      <c r="R44" s="51">
        <v>94463.960398136405</v>
      </c>
      <c r="S44" s="13">
        <v>98242.518814061856</v>
      </c>
      <c r="T44" s="14">
        <v>24029.028515500617</v>
      </c>
      <c r="U44" s="14"/>
      <c r="V44" s="15"/>
      <c r="W44" s="112" t="s">
        <v>1531</v>
      </c>
    </row>
    <row r="45" spans="1:24" ht="29.25" customHeight="1">
      <c r="A45" s="66" t="s">
        <v>1533</v>
      </c>
      <c r="B45" s="55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2">
        <f>SUM(N2:N44)</f>
        <v>956</v>
      </c>
      <c r="O45" s="9"/>
      <c r="P45" s="9"/>
      <c r="Q45" s="107"/>
      <c r="R45" s="15"/>
      <c r="S45" s="13"/>
      <c r="T45" s="14"/>
      <c r="V45" s="15"/>
    </row>
    <row r="46" spans="1:24">
      <c r="A46" s="58" t="s">
        <v>52</v>
      </c>
      <c r="B46" s="55" t="str">
        <f>IFERROR(HYPERLINK(VLOOKUP(A46,ÜRÜNLER!A:C,3,FALSE),VLOOKUP(A46,ÜRÜNLER!A:B,2,FALSE)),"")</f>
        <v>iQ300 Derin Dondurucu, 146x60cm, Statik, Beyaz</v>
      </c>
      <c r="C46" s="8">
        <v>100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2">
        <f t="shared" ref="N46:N55" si="1">M46+L46+K46+J46+I46+H46+G46+F46+E46+D46+C46</f>
        <v>101</v>
      </c>
      <c r="O46" s="9"/>
      <c r="P46" s="174" t="s">
        <v>1586</v>
      </c>
      <c r="Q46" s="56">
        <v>24592.564804472826</v>
      </c>
      <c r="R46" s="51">
        <v>23400</v>
      </c>
      <c r="S46" s="13">
        <v>24336</v>
      </c>
      <c r="T46" s="14">
        <v>3390.0854656298511</v>
      </c>
      <c r="U46" s="14"/>
      <c r="V46" s="15"/>
    </row>
    <row r="47" spans="1:24">
      <c r="A47" s="58" t="s">
        <v>53</v>
      </c>
      <c r="B47" s="55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2">
        <f t="shared" si="1"/>
        <v>2</v>
      </c>
      <c r="O47" s="9"/>
      <c r="P47" s="174" t="s">
        <v>1586</v>
      </c>
      <c r="Q47" s="107" t="s">
        <v>1335</v>
      </c>
      <c r="R47" s="51">
        <v>18000</v>
      </c>
      <c r="S47" s="13">
        <v>18720</v>
      </c>
      <c r="T47" s="14"/>
      <c r="U47" s="14"/>
      <c r="V47" s="15">
        <v>250</v>
      </c>
    </row>
    <row r="48" spans="1:24">
      <c r="A48" s="60" t="s">
        <v>54</v>
      </c>
      <c r="B48" s="55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2">
        <f t="shared" si="1"/>
        <v>10</v>
      </c>
      <c r="O48" s="9"/>
      <c r="P48" s="174" t="s">
        <v>1586</v>
      </c>
      <c r="Q48" s="56">
        <v>37824.325084093936</v>
      </c>
      <c r="R48" s="25">
        <v>38959.054836616757</v>
      </c>
      <c r="S48" s="13">
        <v>40517.417030081429</v>
      </c>
      <c r="T48" s="14">
        <v>5853.7368487998174</v>
      </c>
      <c r="V48" s="15"/>
      <c r="X48" s="109">
        <v>35660</v>
      </c>
    </row>
    <row r="49" spans="1:24">
      <c r="A49" s="60" t="s">
        <v>55</v>
      </c>
      <c r="B49" s="55" t="str">
        <f>IFERROR(HYPERLINK(VLOOKUP(A49,ÜRÜNLER!A:C,3,FALSE),VLOOKUP(A49,ÜRÜNLER!A:B,2,FALSE)),"")</f>
        <v>iQ300 Derin Dondurucu, 161x60cm, Statik, Beyaz</v>
      </c>
      <c r="C49" s="8">
        <v>101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2">
        <f t="shared" si="1"/>
        <v>104</v>
      </c>
      <c r="O49" s="9"/>
      <c r="P49" s="174" t="s">
        <v>1586</v>
      </c>
      <c r="Q49" s="56">
        <v>25437.803391758665</v>
      </c>
      <c r="R49" s="51">
        <v>25500</v>
      </c>
      <c r="S49" s="13">
        <v>26520</v>
      </c>
      <c r="T49" s="14">
        <v>3504.9521520892454</v>
      </c>
      <c r="V49" s="15"/>
      <c r="X49" s="14"/>
    </row>
    <row r="50" spans="1:24">
      <c r="A50" s="60" t="s">
        <v>56</v>
      </c>
      <c r="B50" s="55" t="str">
        <f>IFERROR(HYPERLINK(VLOOKUP(A50,ÜRÜNLER!A:C,3,FALSE),VLOOKUP(A50,ÜRÜNLER!A:B,2,FALSE)),"")</f>
        <v>iQ300 Derin Dondurucu, 176x60cm, Statik, Inox</v>
      </c>
      <c r="C50" s="8">
        <v>99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2">
        <f t="shared" si="1"/>
        <v>107</v>
      </c>
      <c r="O50" s="9">
        <v>2</v>
      </c>
      <c r="P50" s="174" t="s">
        <v>1586</v>
      </c>
      <c r="Q50" s="56">
        <v>31580.842639611688</v>
      </c>
      <c r="R50" s="25">
        <v>32528.26791880004</v>
      </c>
      <c r="S50" s="13">
        <v>33829.398635552039</v>
      </c>
      <c r="T50" s="14">
        <v>4354.6029701902044</v>
      </c>
      <c r="V50" s="15"/>
      <c r="X50" s="109">
        <v>30880</v>
      </c>
    </row>
    <row r="51" spans="1:24">
      <c r="A51" s="60" t="s">
        <v>57</v>
      </c>
      <c r="B51" s="55" t="str">
        <f>IFERROR(HYPERLINK(VLOOKUP(A51,ÜRÜNLER!A:C,3,FALSE),VLOOKUP(A51,ÜRÜNLER!A:B,2,FALSE)),"")</f>
        <v>iQ300 Derin Dondurucu, 176x60cm, Statik, Beyaz</v>
      </c>
      <c r="C51" s="8">
        <v>114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2">
        <f t="shared" si="1"/>
        <v>121</v>
      </c>
      <c r="O51" s="9"/>
      <c r="P51" s="174" t="s">
        <v>1586</v>
      </c>
      <c r="Q51" s="56">
        <v>28432.702244249125</v>
      </c>
      <c r="R51" s="25">
        <v>29285.683311576598</v>
      </c>
      <c r="S51" s="13">
        <v>30457.110644039662</v>
      </c>
      <c r="T51" s="14">
        <v>3918.2394343317719</v>
      </c>
      <c r="V51" s="15"/>
      <c r="X51" s="109">
        <v>27800</v>
      </c>
    </row>
    <row r="52" spans="1:24">
      <c r="A52" s="60" t="s">
        <v>1339</v>
      </c>
      <c r="B52" s="55" t="str">
        <f>IFERROR(HYPERLINK(VLOOKUP(A52,ÜRÜNLER!A:C,3,FALSE),VLOOKUP(A52,ÜRÜNLER!A:B,2,FALSE)),"")</f>
        <v>iQ300 Derin Dondurucu, 186x60cm, No-Frost, Inox</v>
      </c>
      <c r="C52" s="8">
        <v>37</v>
      </c>
      <c r="D52" s="8"/>
      <c r="E52" s="9"/>
      <c r="F52" s="9"/>
      <c r="G52" s="10"/>
      <c r="H52" s="10"/>
      <c r="I52" s="11"/>
      <c r="J52" s="11"/>
      <c r="K52" s="10"/>
      <c r="L52" s="10"/>
      <c r="M52" s="11">
        <v>1</v>
      </c>
      <c r="N52" s="12">
        <f t="shared" si="1"/>
        <v>38</v>
      </c>
      <c r="O52" s="9">
        <v>29</v>
      </c>
      <c r="P52" s="174" t="s">
        <v>1586</v>
      </c>
      <c r="Q52" s="56">
        <v>32621.398982558141</v>
      </c>
      <c r="R52" s="25">
        <v>35883.538880813954</v>
      </c>
      <c r="S52" s="13">
        <v>37318.880436046515</v>
      </c>
      <c r="T52" s="14"/>
      <c r="V52" s="15"/>
      <c r="X52" s="14"/>
    </row>
    <row r="53" spans="1:24">
      <c r="A53" s="125" t="s">
        <v>58</v>
      </c>
      <c r="B53" s="55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2">
        <f t="shared" si="1"/>
        <v>1</v>
      </c>
      <c r="O53" s="9"/>
      <c r="P53" s="174" t="s">
        <v>1586</v>
      </c>
      <c r="Q53" s="107" t="s">
        <v>1335</v>
      </c>
      <c r="R53" s="25">
        <v>37000</v>
      </c>
      <c r="S53" s="13">
        <v>38480</v>
      </c>
      <c r="T53" s="14"/>
      <c r="V53" s="15"/>
      <c r="X53" s="14"/>
    </row>
    <row r="54" spans="1:24">
      <c r="A54" s="60" t="s">
        <v>59</v>
      </c>
      <c r="B54" s="55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2">
        <f t="shared" si="1"/>
        <v>1</v>
      </c>
      <c r="O54" s="9"/>
      <c r="P54" s="174" t="s">
        <v>1586</v>
      </c>
      <c r="Q54" s="107" t="s">
        <v>1335</v>
      </c>
      <c r="R54" s="20">
        <v>30000</v>
      </c>
      <c r="S54" s="13">
        <v>31200</v>
      </c>
      <c r="T54" s="14"/>
      <c r="V54" s="15">
        <v>500</v>
      </c>
      <c r="X54" s="14"/>
    </row>
    <row r="55" spans="1:24">
      <c r="A55" s="125" t="s">
        <v>60</v>
      </c>
      <c r="B55" s="55" t="str">
        <f>IFERROR(HYPERLINK(VLOOKUP(A55,ÜRÜNLER!A:C,3,FALSE),VLOOKUP(A55,ÜRÜNLER!A:B,2,FALSE)),"")</f>
        <v>iQ300 Derin Dondurucu, 176x70cm, No-Frost, Beyaz</v>
      </c>
      <c r="C55" s="8">
        <v>96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2">
        <f t="shared" si="1"/>
        <v>99</v>
      </c>
      <c r="O55" s="9"/>
      <c r="P55" s="174" t="s">
        <v>1586</v>
      </c>
      <c r="Q55" s="56">
        <v>41328.219470344258</v>
      </c>
      <c r="R55" s="25">
        <v>45461.041417378685</v>
      </c>
      <c r="S55" s="13">
        <v>47279.483074073833</v>
      </c>
      <c r="T55" s="14">
        <v>6401.7488821089655</v>
      </c>
      <c r="V55" s="15"/>
      <c r="X55" s="109">
        <v>38950</v>
      </c>
    </row>
    <row r="56" spans="1:24" ht="30" customHeight="1">
      <c r="A56" s="66" t="s">
        <v>1534</v>
      </c>
      <c r="B56" s="55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2">
        <f>SUM(N46:N55)</f>
        <v>584</v>
      </c>
      <c r="O56" s="9"/>
      <c r="P56" s="9"/>
      <c r="Q56" s="107"/>
      <c r="R56" s="15"/>
      <c r="S56" s="13"/>
      <c r="T56" s="14"/>
      <c r="U56" s="14"/>
      <c r="V56" s="15"/>
    </row>
    <row r="57" spans="1:24">
      <c r="A57" s="158" t="s">
        <v>61</v>
      </c>
      <c r="B57" s="55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2">
        <f t="shared" ref="N57:N69" si="2">M57+L57+K57+J57+I57+H57+G57+F57+E57+D57+C57</f>
        <v>5</v>
      </c>
      <c r="O57" s="9"/>
      <c r="P57" s="174"/>
      <c r="Q57" s="56">
        <v>320728.45808950713</v>
      </c>
      <c r="R57" s="26">
        <v>298277.46602324164</v>
      </c>
      <c r="S57" s="13">
        <v>310208.56466417131</v>
      </c>
      <c r="T57" s="14"/>
      <c r="U57" s="14"/>
      <c r="V57" s="15">
        <v>500</v>
      </c>
    </row>
    <row r="58" spans="1:24">
      <c r="A58" s="58" t="s">
        <v>62</v>
      </c>
      <c r="B58" s="55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2">
        <f t="shared" si="2"/>
        <v>4</v>
      </c>
      <c r="O58" s="9"/>
      <c r="P58" s="174"/>
      <c r="Q58" s="107" t="s">
        <v>1335</v>
      </c>
      <c r="R58" s="26">
        <v>300000</v>
      </c>
      <c r="S58" s="13">
        <v>312000</v>
      </c>
      <c r="T58" s="14"/>
      <c r="U58" s="14"/>
      <c r="V58" s="15">
        <v>500</v>
      </c>
    </row>
    <row r="59" spans="1:24">
      <c r="A59" s="61" t="s">
        <v>63</v>
      </c>
      <c r="B59" s="55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2">
        <f t="shared" si="2"/>
        <v>9</v>
      </c>
      <c r="O59" s="9"/>
      <c r="P59" s="174"/>
      <c r="Q59" s="107" t="s">
        <v>1335</v>
      </c>
      <c r="R59" s="26">
        <v>375000</v>
      </c>
      <c r="S59" s="13">
        <v>390000</v>
      </c>
      <c r="T59" s="14"/>
      <c r="U59" s="14"/>
      <c r="V59" s="15">
        <v>500</v>
      </c>
    </row>
    <row r="60" spans="1:24">
      <c r="A60" s="58" t="s">
        <v>64</v>
      </c>
      <c r="B60" s="55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2">
        <f t="shared" si="2"/>
        <v>3</v>
      </c>
      <c r="O60" s="9"/>
      <c r="P60" s="174"/>
      <c r="Q60" s="107" t="s">
        <v>1335</v>
      </c>
      <c r="R60" s="20">
        <v>300000</v>
      </c>
      <c r="S60" s="13">
        <v>312000</v>
      </c>
      <c r="T60" s="14"/>
      <c r="U60" s="14"/>
      <c r="V60" s="15">
        <v>500</v>
      </c>
    </row>
    <row r="61" spans="1:24">
      <c r="A61" s="61" t="s">
        <v>65</v>
      </c>
      <c r="B61" s="55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2">
        <f t="shared" si="2"/>
        <v>3</v>
      </c>
      <c r="O61" s="9"/>
      <c r="P61" s="174"/>
      <c r="Q61" s="107" t="s">
        <v>1335</v>
      </c>
      <c r="R61" s="20">
        <v>224999</v>
      </c>
      <c r="S61" s="13">
        <v>233998.96</v>
      </c>
      <c r="T61" s="14"/>
      <c r="U61" s="14"/>
      <c r="V61" s="15">
        <v>500</v>
      </c>
    </row>
    <row r="62" spans="1:24">
      <c r="A62" s="61" t="s">
        <v>66</v>
      </c>
      <c r="B62" s="55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2">
        <f t="shared" si="2"/>
        <v>1</v>
      </c>
      <c r="O62" s="9"/>
      <c r="P62" s="174"/>
      <c r="Q62" s="56">
        <v>323156.50178004295</v>
      </c>
      <c r="R62" s="27">
        <v>323156.50178004295</v>
      </c>
      <c r="S62" s="13">
        <v>336082.76185124466</v>
      </c>
      <c r="T62" s="14"/>
      <c r="U62" s="14"/>
      <c r="V62" s="15"/>
    </row>
    <row r="63" spans="1:24">
      <c r="A63" s="61" t="s">
        <v>67</v>
      </c>
      <c r="B63" s="55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2">
        <f t="shared" si="2"/>
        <v>1</v>
      </c>
      <c r="O63" s="9"/>
      <c r="P63" s="174"/>
      <c r="Q63" s="56">
        <v>56110.789288027554</v>
      </c>
      <c r="R63" s="27">
        <v>56110.789288027554</v>
      </c>
      <c r="S63" s="13">
        <v>58355.220859548659</v>
      </c>
      <c r="T63" s="14"/>
      <c r="U63" s="14"/>
      <c r="V63" s="15"/>
    </row>
    <row r="64" spans="1:24">
      <c r="A64" s="61" t="s">
        <v>68</v>
      </c>
      <c r="B64" s="55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2">
        <f t="shared" si="2"/>
        <v>6</v>
      </c>
      <c r="O64" s="9"/>
      <c r="P64" s="174"/>
      <c r="Q64" s="56">
        <v>81512.571512320006</v>
      </c>
      <c r="R64" s="57">
        <v>79067.194366950411</v>
      </c>
      <c r="S64" s="13">
        <v>82229.882141628434</v>
      </c>
      <c r="T64" s="14"/>
      <c r="U64" s="14"/>
      <c r="V64" s="15"/>
    </row>
    <row r="65" spans="1:24">
      <c r="A65" s="65" t="s">
        <v>69</v>
      </c>
      <c r="B65" s="55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2">
        <f t="shared" si="2"/>
        <v>12</v>
      </c>
      <c r="O65" s="9">
        <v>1</v>
      </c>
      <c r="P65" s="174"/>
      <c r="Q65" s="56">
        <v>90559.003627366925</v>
      </c>
      <c r="R65" s="57">
        <v>87842.233518545923</v>
      </c>
      <c r="S65" s="13">
        <v>91355.922859287763</v>
      </c>
      <c r="T65" s="14"/>
      <c r="U65" s="14"/>
      <c r="V65" s="15"/>
    </row>
    <row r="66" spans="1:24">
      <c r="A66" s="61" t="s">
        <v>70</v>
      </c>
      <c r="B66" s="55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>
        <v>1</v>
      </c>
      <c r="I66" s="11"/>
      <c r="J66" s="11"/>
      <c r="K66" s="10"/>
      <c r="L66" s="10"/>
      <c r="M66" s="11"/>
      <c r="N66" s="12">
        <f t="shared" si="2"/>
        <v>2</v>
      </c>
      <c r="O66" s="9"/>
      <c r="P66" s="174"/>
      <c r="Q66" s="107" t="s">
        <v>1335</v>
      </c>
      <c r="R66" s="20">
        <v>72499</v>
      </c>
      <c r="S66" s="13">
        <v>75398.960000000006</v>
      </c>
      <c r="T66" s="14"/>
      <c r="U66" s="14"/>
      <c r="V66" s="15">
        <v>500</v>
      </c>
    </row>
    <row r="67" spans="1:24">
      <c r="A67" s="58" t="s">
        <v>71</v>
      </c>
      <c r="B67" s="55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2">
        <f t="shared" si="2"/>
        <v>16</v>
      </c>
      <c r="O67" s="9">
        <v>1</v>
      </c>
      <c r="P67" s="174"/>
      <c r="Q67" s="56">
        <v>86644.862421618411</v>
      </c>
      <c r="R67" s="57">
        <v>84045.516548969856</v>
      </c>
      <c r="S67" s="13">
        <v>87407.337210928643</v>
      </c>
      <c r="T67" s="14"/>
      <c r="U67" s="14"/>
      <c r="V67" s="15"/>
    </row>
    <row r="68" spans="1:24">
      <c r="A68" s="61" t="s">
        <v>72</v>
      </c>
      <c r="B68" s="55" t="str">
        <f>IFERROR(HYPERLINK(VLOOKUP(A68,ÜRÜNLER!A:C,3,FALSE),VLOOKUP(A68,ÜRÜNLER!A:B,2,FALSE)),"")</f>
        <v>iQ500 Alttan Donduruculu Ankastre Buzdolabı, 193.5x70.8cm, softClosing Düz Menteşe</v>
      </c>
      <c r="C68" s="8">
        <v>6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2">
        <f t="shared" si="2"/>
        <v>6</v>
      </c>
      <c r="O68" s="9">
        <v>3</v>
      </c>
      <c r="P68" s="174"/>
      <c r="Q68" s="56">
        <v>103417.85300576025</v>
      </c>
      <c r="R68" s="57">
        <v>100315.31741558744</v>
      </c>
      <c r="S68" s="13">
        <v>104327.93011221095</v>
      </c>
      <c r="T68" s="14"/>
      <c r="U68" s="14"/>
      <c r="V68" s="15"/>
    </row>
    <row r="69" spans="1:24">
      <c r="A69" s="61" t="s">
        <v>1494</v>
      </c>
      <c r="B69" s="55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2">
        <f t="shared" si="2"/>
        <v>2</v>
      </c>
      <c r="O69" s="9"/>
      <c r="P69" s="174"/>
      <c r="Q69" s="56">
        <v>124921.81626593873</v>
      </c>
      <c r="R69" s="26">
        <v>116177.28912732302</v>
      </c>
      <c r="S69" s="13">
        <v>120824.38069241594</v>
      </c>
      <c r="T69" s="14"/>
      <c r="U69" s="14"/>
      <c r="V69" s="15"/>
    </row>
    <row r="70" spans="1:24" s="28" customFormat="1" ht="30">
      <c r="A70" s="66" t="s">
        <v>73</v>
      </c>
      <c r="B70" s="55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2">
        <f>SUM(N57:N69)</f>
        <v>70</v>
      </c>
      <c r="O70" s="9"/>
      <c r="P70" s="9"/>
      <c r="Q70" s="107"/>
      <c r="R70" s="107"/>
      <c r="S70" s="107"/>
      <c r="T70" s="14"/>
      <c r="U70" s="14"/>
      <c r="V70" s="27"/>
      <c r="W70" s="111"/>
    </row>
    <row r="71" spans="1:24">
      <c r="A71" s="58" t="s">
        <v>74</v>
      </c>
      <c r="B71" s="55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>
        <v>1</v>
      </c>
      <c r="K71" s="10"/>
      <c r="L71" s="10"/>
      <c r="M71" s="11"/>
      <c r="N71" s="12">
        <f t="shared" ref="N71:N100" si="3">M71+L71+K71+J71+I71+H71+G71+F71+E71+D71+C71</f>
        <v>2</v>
      </c>
      <c r="O71" s="9"/>
      <c r="P71" s="174"/>
      <c r="Q71" s="107" t="s">
        <v>1335</v>
      </c>
      <c r="R71" s="20">
        <v>30000</v>
      </c>
      <c r="S71" s="13">
        <v>31200</v>
      </c>
      <c r="T71" s="14"/>
      <c r="U71" s="14"/>
      <c r="V71" s="15">
        <v>250</v>
      </c>
    </row>
    <row r="72" spans="1:24">
      <c r="A72" s="58" t="s">
        <v>76</v>
      </c>
      <c r="B72" s="55" t="str">
        <f>IFERROR(HYPERLINK(VLOOKUP(A72,ÜRÜNLER!A:C,3,FALSE),VLOOKUP(A72,ÜRÜNLER!A:B,2,FALSE)),"")</f>
        <v>iQ300 Çamaşır Makinesi, 9kg/1200devir, Beyaz</v>
      </c>
      <c r="C72" s="8">
        <v>84</v>
      </c>
      <c r="D72" s="8"/>
      <c r="E72" s="9"/>
      <c r="F72" s="9">
        <v>5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2">
        <f t="shared" si="3"/>
        <v>92</v>
      </c>
      <c r="O72" s="9"/>
      <c r="P72" s="175"/>
      <c r="Q72" s="56">
        <v>28913.846209663963</v>
      </c>
      <c r="R72" s="57">
        <v>28046.430823374045</v>
      </c>
      <c r="S72" s="13">
        <v>29168.288056309008</v>
      </c>
      <c r="T72" s="14">
        <v>1312.6834189662877</v>
      </c>
      <c r="U72" s="14"/>
      <c r="V72" s="29"/>
    </row>
    <row r="73" spans="1:24">
      <c r="A73" s="58" t="s">
        <v>77</v>
      </c>
      <c r="B73" s="55" t="str">
        <f>IFERROR(HYPERLINK(VLOOKUP(A73,ÜRÜNLER!A:C,3,FALSE),VLOOKUP(A73,ÜRÜNLER!A:B,2,FALSE)),"")</f>
        <v>iQ500 Çamaşır Makinesi, 9kg/1200devir, Beyaz</v>
      </c>
      <c r="C73" s="8">
        <v>22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2">
        <f t="shared" si="3"/>
        <v>24</v>
      </c>
      <c r="O73" s="9"/>
      <c r="P73" s="174"/>
      <c r="Q73" s="56">
        <v>35486.100546239439</v>
      </c>
      <c r="R73" s="57">
        <v>34421.517529852259</v>
      </c>
      <c r="S73" s="13">
        <v>35798.37823104635</v>
      </c>
      <c r="T73" s="14">
        <v>1544.2400811231637</v>
      </c>
      <c r="U73" s="14"/>
      <c r="V73" s="15"/>
      <c r="W73" s="112" t="s">
        <v>1531</v>
      </c>
    </row>
    <row r="74" spans="1:24">
      <c r="A74" s="126" t="s">
        <v>78</v>
      </c>
      <c r="B74" s="55" t="str">
        <f>IFERROR(HYPERLINK(VLOOKUP(A74,ÜRÜNLER!A:C,3,FALSE),VLOOKUP(A74,ÜRÜNLER!A:B,2,FALSE)),"")</f>
        <v>iQ500 Çamaşır Makinesi, 9kg/1200devir, Gümüş</v>
      </c>
      <c r="C74" s="8">
        <v>10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2">
        <f t="shared" si="3"/>
        <v>13</v>
      </c>
      <c r="O74" s="9">
        <v>10</v>
      </c>
      <c r="P74" s="175"/>
      <c r="Q74" s="56">
        <v>38149.667280125039</v>
      </c>
      <c r="R74" s="57">
        <v>37005.177261721285</v>
      </c>
      <c r="S74" s="20">
        <v>38485.384352190136</v>
      </c>
      <c r="T74" s="14">
        <v>2327.5742568692222</v>
      </c>
      <c r="U74" s="14"/>
      <c r="V74" s="15"/>
      <c r="W74" s="112" t="s">
        <v>1531</v>
      </c>
    </row>
    <row r="75" spans="1:24">
      <c r="A75" s="58" t="s">
        <v>79</v>
      </c>
      <c r="B75" s="55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2">
        <f t="shared" si="3"/>
        <v>1</v>
      </c>
      <c r="O75" s="9"/>
      <c r="P75" s="174"/>
      <c r="Q75" s="107" t="s">
        <v>1335</v>
      </c>
      <c r="R75" s="16">
        <v>31000</v>
      </c>
      <c r="S75" s="13">
        <v>32240</v>
      </c>
      <c r="T75" s="14"/>
      <c r="U75" s="14"/>
      <c r="V75" s="152">
        <v>500</v>
      </c>
    </row>
    <row r="76" spans="1:24">
      <c r="A76" s="68" t="s">
        <v>80</v>
      </c>
      <c r="B76" s="55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2">
        <f t="shared" si="3"/>
        <v>3</v>
      </c>
      <c r="O76" s="9"/>
      <c r="P76" s="174"/>
      <c r="Q76" s="107" t="s">
        <v>1335</v>
      </c>
      <c r="R76" s="16">
        <v>31000</v>
      </c>
      <c r="S76" s="13">
        <v>32240</v>
      </c>
      <c r="T76" s="14"/>
      <c r="U76" s="14"/>
      <c r="V76" s="152">
        <v>500</v>
      </c>
      <c r="W76" s="112" t="s">
        <v>1531</v>
      </c>
    </row>
    <row r="77" spans="1:24">
      <c r="A77" s="58" t="s">
        <v>81</v>
      </c>
      <c r="B77" s="55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2">
        <f t="shared" si="3"/>
        <v>3</v>
      </c>
      <c r="O77" s="9">
        <v>2</v>
      </c>
      <c r="P77" s="174"/>
      <c r="Q77" s="56">
        <v>48454.851287338432</v>
      </c>
      <c r="R77" s="57">
        <v>47001.205748718276</v>
      </c>
      <c r="S77" s="13">
        <v>48881.25397866701</v>
      </c>
      <c r="T77" s="14"/>
      <c r="U77" s="14"/>
      <c r="V77" s="15"/>
      <c r="W77" s="112" t="s">
        <v>1531</v>
      </c>
    </row>
    <row r="78" spans="1:24">
      <c r="A78" s="58" t="s">
        <v>1479</v>
      </c>
      <c r="B78" s="55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/>
      <c r="J78" s="11"/>
      <c r="K78" s="10"/>
      <c r="L78" s="10"/>
      <c r="M78" s="11"/>
      <c r="N78" s="12">
        <f t="shared" si="3"/>
        <v>0</v>
      </c>
      <c r="O78" s="9"/>
      <c r="P78" s="174"/>
      <c r="Q78" s="107" t="s">
        <v>1335</v>
      </c>
      <c r="R78" s="57">
        <v>46000</v>
      </c>
      <c r="S78" s="13">
        <v>47840</v>
      </c>
      <c r="T78" s="14"/>
      <c r="U78" s="14"/>
      <c r="V78" s="15"/>
      <c r="W78" s="112"/>
    </row>
    <row r="79" spans="1:24">
      <c r="A79" s="58" t="s">
        <v>82</v>
      </c>
      <c r="B79" s="55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2">
        <f t="shared" si="3"/>
        <v>16</v>
      </c>
      <c r="O79" s="9"/>
      <c r="P79" s="174"/>
      <c r="Q79" s="56">
        <v>38909.404453110292</v>
      </c>
      <c r="R79" s="57">
        <v>37742.12231951698</v>
      </c>
      <c r="S79" s="13">
        <v>39251.807212297659</v>
      </c>
      <c r="T79" s="14">
        <v>3103.5904996219183</v>
      </c>
      <c r="U79" s="14"/>
      <c r="V79" s="15"/>
    </row>
    <row r="80" spans="1:24" s="30" customFormat="1">
      <c r="A80" s="58" t="s">
        <v>83</v>
      </c>
      <c r="B80" s="55" t="str">
        <f>IFERROR(HYPERLINK(VLOOKUP(A80,ÜRÜNLER!A:C,3,FALSE),VLOOKUP(A80,ÜRÜNLER!A:B,2,FALSE)),"")</f>
        <v>iQ300 Çamaşır Makinesi, 10kg/1200devir, Beyaz</v>
      </c>
      <c r="C80" s="8">
        <v>79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2">
        <f t="shared" si="3"/>
        <v>82</v>
      </c>
      <c r="O80" s="9"/>
      <c r="P80" s="174"/>
      <c r="Q80" s="159" t="s">
        <v>1335</v>
      </c>
      <c r="R80" s="51">
        <v>33607</v>
      </c>
      <c r="S80" s="160">
        <v>34951.279999999999</v>
      </c>
      <c r="T80" s="109">
        <v>5607.1276984202459</v>
      </c>
      <c r="U80" s="14"/>
      <c r="V80" s="29"/>
      <c r="W80" s="111"/>
      <c r="X80"/>
    </row>
    <row r="81" spans="1:24" s="30" customFormat="1">
      <c r="A81" s="58" t="s">
        <v>1444</v>
      </c>
      <c r="B81" s="55" t="str">
        <f>IFERROR(HYPERLINK(VLOOKUP(A81,ÜRÜNLER!A:C,3,FALSE),VLOOKUP(A81,ÜRÜNLER!A:B,2,FALSE)),"")</f>
        <v>iQ300 Çamaşır Makinesi, 10kg/1200devir, Beyaz</v>
      </c>
      <c r="C81" s="8">
        <v>20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2">
        <f t="shared" si="3"/>
        <v>20</v>
      </c>
      <c r="O81" s="9">
        <v>20</v>
      </c>
      <c r="P81" s="174"/>
      <c r="Q81" s="56">
        <v>32467</v>
      </c>
      <c r="R81" s="27">
        <v>32467</v>
      </c>
      <c r="S81" s="13">
        <v>33765.68</v>
      </c>
      <c r="T81" s="14">
        <v>3409.4343357071343</v>
      </c>
      <c r="U81" s="14"/>
      <c r="V81" s="29"/>
      <c r="W81" s="111"/>
      <c r="X81"/>
    </row>
    <row r="82" spans="1:24" s="30" customFormat="1">
      <c r="A82" s="126" t="s">
        <v>1581</v>
      </c>
      <c r="B82" s="55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2">
        <f t="shared" si="3"/>
        <v>0</v>
      </c>
      <c r="O82" s="9">
        <v>8</v>
      </c>
      <c r="P82" s="174"/>
      <c r="Q82" s="56">
        <v>38597</v>
      </c>
      <c r="R82" s="27">
        <v>38597</v>
      </c>
      <c r="S82" s="13">
        <v>40140.879999999997</v>
      </c>
      <c r="T82" s="14">
        <v>1009</v>
      </c>
      <c r="U82" s="14"/>
      <c r="V82" s="29"/>
      <c r="W82" s="111"/>
      <c r="X82"/>
    </row>
    <row r="83" spans="1:24">
      <c r="A83" s="60" t="s">
        <v>84</v>
      </c>
      <c r="B83" s="55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2">
        <f t="shared" si="3"/>
        <v>1</v>
      </c>
      <c r="O83" s="9"/>
      <c r="P83" s="174"/>
      <c r="Q83" s="107" t="s">
        <v>1335</v>
      </c>
      <c r="R83" s="20">
        <v>27000</v>
      </c>
      <c r="S83" s="13">
        <v>28080</v>
      </c>
      <c r="T83" s="14"/>
      <c r="U83" s="14"/>
      <c r="V83" s="152">
        <v>500</v>
      </c>
    </row>
    <row r="84" spans="1:24">
      <c r="A84" s="60" t="s">
        <v>85</v>
      </c>
      <c r="B84" s="55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2">
        <f t="shared" si="3"/>
        <v>6</v>
      </c>
      <c r="O84" s="9"/>
      <c r="P84" s="174"/>
      <c r="Q84" s="107" t="s">
        <v>1335</v>
      </c>
      <c r="R84" s="16">
        <v>35000</v>
      </c>
      <c r="S84" s="13">
        <v>36400</v>
      </c>
      <c r="T84" s="14"/>
      <c r="U84" s="14"/>
      <c r="V84" s="152">
        <v>500</v>
      </c>
    </row>
    <row r="85" spans="1:24">
      <c r="A85" s="126" t="s">
        <v>86</v>
      </c>
      <c r="B85" s="55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2">
        <f t="shared" si="3"/>
        <v>2</v>
      </c>
      <c r="O85" s="9"/>
      <c r="P85" s="174"/>
      <c r="Q85" s="107" t="s">
        <v>1335</v>
      </c>
      <c r="R85" s="16">
        <v>35000</v>
      </c>
      <c r="S85" s="13">
        <v>36400</v>
      </c>
      <c r="T85" s="14"/>
      <c r="U85" s="14"/>
      <c r="V85" s="152">
        <v>500</v>
      </c>
    </row>
    <row r="86" spans="1:24">
      <c r="A86" s="127" t="s">
        <v>87</v>
      </c>
      <c r="B86" s="55" t="str">
        <f>IFERROR(HYPERLINK(VLOOKUP(A86,ÜRÜNLER!A:C,3,FALSE),VLOOKUP(A86,ÜRÜNLER!A:B,2,FALSE)),"")</f>
        <v>iQ500 Çamaşır Makinesi, 10kg/1200devir, Beyaz</v>
      </c>
      <c r="C86" s="8">
        <v>18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2">
        <f t="shared" si="3"/>
        <v>19</v>
      </c>
      <c r="O86" s="9"/>
      <c r="P86" s="174"/>
      <c r="Q86" s="117" t="s">
        <v>1335</v>
      </c>
      <c r="R86" s="19">
        <v>37000</v>
      </c>
      <c r="S86" s="22">
        <v>38480</v>
      </c>
      <c r="T86" s="14">
        <v>582.32652467225125</v>
      </c>
      <c r="U86" s="14"/>
      <c r="V86" s="15"/>
      <c r="W86" s="112" t="s">
        <v>1531</v>
      </c>
    </row>
    <row r="87" spans="1:24">
      <c r="A87" s="126" t="s">
        <v>88</v>
      </c>
      <c r="B87" s="55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2">
        <f t="shared" si="3"/>
        <v>1</v>
      </c>
      <c r="O87" s="9"/>
      <c r="P87" s="174"/>
      <c r="Q87" s="117" t="s">
        <v>1335</v>
      </c>
      <c r="R87" s="19">
        <v>39000</v>
      </c>
      <c r="S87" s="22">
        <v>40560</v>
      </c>
      <c r="T87" s="14">
        <v>1298.2904649037155</v>
      </c>
      <c r="U87" s="14"/>
      <c r="V87" s="15"/>
      <c r="W87" s="112" t="s">
        <v>1531</v>
      </c>
    </row>
    <row r="88" spans="1:24">
      <c r="A88" s="58" t="s">
        <v>89</v>
      </c>
      <c r="B88" s="55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2">
        <f t="shared" si="3"/>
        <v>2</v>
      </c>
      <c r="O88" s="9"/>
      <c r="P88" s="174"/>
      <c r="Q88" s="107" t="s">
        <v>1335</v>
      </c>
      <c r="R88" s="16">
        <v>35000</v>
      </c>
      <c r="S88" s="13">
        <v>36400</v>
      </c>
      <c r="T88" s="14"/>
      <c r="U88" s="14"/>
      <c r="V88" s="15">
        <v>250</v>
      </c>
      <c r="W88" s="112" t="s">
        <v>1531</v>
      </c>
    </row>
    <row r="89" spans="1:24">
      <c r="A89" s="58" t="s">
        <v>90</v>
      </c>
      <c r="B89" s="55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2">
        <f t="shared" si="3"/>
        <v>6</v>
      </c>
      <c r="O89" s="9">
        <v>1</v>
      </c>
      <c r="P89" s="174"/>
      <c r="Q89" s="117" t="s">
        <v>1335</v>
      </c>
      <c r="R89" s="19">
        <v>50000</v>
      </c>
      <c r="S89" s="22">
        <v>52000</v>
      </c>
      <c r="T89" s="14"/>
      <c r="U89" s="14"/>
      <c r="V89" s="15" t="s">
        <v>1504</v>
      </c>
      <c r="W89" s="112" t="s">
        <v>1531</v>
      </c>
    </row>
    <row r="90" spans="1:24">
      <c r="A90" s="126" t="s">
        <v>91</v>
      </c>
      <c r="B90" s="55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/>
      <c r="K90" s="10"/>
      <c r="L90" s="10"/>
      <c r="M90" s="11">
        <v>1</v>
      </c>
      <c r="N90" s="12">
        <f t="shared" si="3"/>
        <v>2</v>
      </c>
      <c r="O90" s="9">
        <v>11</v>
      </c>
      <c r="P90" s="174"/>
      <c r="Q90" s="117" t="s">
        <v>1335</v>
      </c>
      <c r="R90" s="153">
        <v>70000</v>
      </c>
      <c r="S90" s="154">
        <v>72800</v>
      </c>
      <c r="T90" s="14"/>
      <c r="U90" s="14"/>
      <c r="V90" s="15"/>
      <c r="W90" s="112" t="s">
        <v>1531</v>
      </c>
    </row>
    <row r="91" spans="1:24">
      <c r="A91" t="s">
        <v>1449</v>
      </c>
      <c r="B91" s="55" t="str">
        <f>IFERROR(HYPERLINK(VLOOKUP(A91,ÜRÜNLER!A:C,3,FALSE),VLOOKUP(A91,ÜRÜNLER!A:B,2,FALSE)),"")</f>
        <v>iQ500 Çamaşır Makinesi, 10kg/1200devir, Beyaz</v>
      </c>
      <c r="C91" s="8">
        <v>19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2">
        <f t="shared" si="3"/>
        <v>20</v>
      </c>
      <c r="O91" s="9">
        <v>6</v>
      </c>
      <c r="P91" s="174"/>
      <c r="Q91" s="56">
        <v>37082.787220429513</v>
      </c>
      <c r="R91" s="57">
        <v>35970.303603816625</v>
      </c>
      <c r="S91" s="13">
        <v>37409.115747969292</v>
      </c>
      <c r="T91" s="14"/>
      <c r="U91" s="14"/>
      <c r="V91" s="15"/>
      <c r="W91" s="112"/>
    </row>
    <row r="92" spans="1:24">
      <c r="A92" t="s">
        <v>1456</v>
      </c>
      <c r="B92" s="55" t="str">
        <f>IFERROR(HYPERLINK(VLOOKUP(A92,ÜRÜNLER!A:C,3,FALSE),VLOOKUP(A92,ÜRÜNLER!A:B,2,FALSE)),"")</f>
        <v>iQ500 Çamaşır Makinesi, 10kg/1400devir, i-dos, Beyaz</v>
      </c>
      <c r="C92" s="8">
        <v>15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2">
        <f t="shared" si="3"/>
        <v>15</v>
      </c>
      <c r="O92" s="9">
        <v>6</v>
      </c>
      <c r="P92" s="174"/>
      <c r="Q92" s="56">
        <v>37551.977856904421</v>
      </c>
      <c r="R92" s="57">
        <v>36425.418521197287</v>
      </c>
      <c r="S92" s="13">
        <v>37882.435262045175</v>
      </c>
      <c r="T92" s="14"/>
      <c r="U92" s="14"/>
      <c r="V92" s="15"/>
      <c r="W92" s="112"/>
    </row>
    <row r="93" spans="1:24">
      <c r="A93" t="s">
        <v>1458</v>
      </c>
      <c r="B93" s="55" t="str">
        <f>IFERROR(HYPERLINK(VLOOKUP(A93,ÜRÜNLER!A:C,3,FALSE),VLOOKUP(A93,ÜRÜNLER!A:B,2,FALSE)),"")</f>
        <v>iQ500 Çamaşır Makinesi, 11kg/1400devir, i-dos, Beyaz</v>
      </c>
      <c r="C93" s="8">
        <v>7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2">
        <f t="shared" si="3"/>
        <v>7</v>
      </c>
      <c r="O93" s="9">
        <v>1</v>
      </c>
      <c r="P93" s="174"/>
      <c r="Q93" s="56">
        <v>38388.324802492498</v>
      </c>
      <c r="R93" s="27">
        <v>38388.324802492498</v>
      </c>
      <c r="S93" s="13">
        <v>39923.857794592201</v>
      </c>
      <c r="T93" s="14"/>
      <c r="U93" s="14"/>
      <c r="V93" s="15"/>
      <c r="W93" s="112"/>
    </row>
    <row r="94" spans="1:24">
      <c r="A94" s="60" t="s">
        <v>92</v>
      </c>
      <c r="B94" s="55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2">
        <f t="shared" si="3"/>
        <v>2</v>
      </c>
      <c r="O94" s="9"/>
      <c r="P94" s="174"/>
      <c r="Q94" s="117" t="s">
        <v>1335</v>
      </c>
      <c r="R94" s="19">
        <v>37000</v>
      </c>
      <c r="S94" s="22">
        <v>38480</v>
      </c>
      <c r="T94" s="14"/>
      <c r="U94" s="14"/>
      <c r="V94" s="15"/>
      <c r="W94" s="112" t="s">
        <v>1531</v>
      </c>
    </row>
    <row r="95" spans="1:24">
      <c r="A95" s="60" t="s">
        <v>93</v>
      </c>
      <c r="B95" s="55" t="str">
        <f>IFERROR(HYPERLINK(VLOOKUP(A95,ÜRÜNLER!A:C,3,FALSE),VLOOKUP(A95,ÜRÜNLER!A:B,2,FALSE)),"")</f>
        <v>iQ500 Çamaşır Makinesi, 11kg/1400devir, Beyaz</v>
      </c>
      <c r="C95" s="8">
        <v>5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2">
        <f t="shared" si="3"/>
        <v>10</v>
      </c>
      <c r="O95" s="9">
        <v>36</v>
      </c>
      <c r="P95" s="174"/>
      <c r="Q95" s="56">
        <v>37340.466059555976</v>
      </c>
      <c r="R95" s="57">
        <v>36220.252077769299</v>
      </c>
      <c r="S95" s="13">
        <v>37669.062160880072</v>
      </c>
      <c r="T95" s="14"/>
      <c r="U95" s="14"/>
      <c r="V95" s="15"/>
      <c r="W95" s="112" t="s">
        <v>1531</v>
      </c>
    </row>
    <row r="96" spans="1:24">
      <c r="A96" s="68" t="s">
        <v>94</v>
      </c>
      <c r="B96" s="55" t="str">
        <f>IFERROR(HYPERLINK(VLOOKUP(A96,ÜRÜNLER!A:C,3,FALSE),VLOOKUP(A96,ÜRÜNLER!A:B,2,FALSE)),"")</f>
        <v>iQ500 Çamaşır Makinesi, 11kg/1400devir, Antrasit/Dark</v>
      </c>
      <c r="C96" s="8">
        <v>42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2">
        <f t="shared" si="3"/>
        <v>45</v>
      </c>
      <c r="O96" s="9">
        <v>17</v>
      </c>
      <c r="P96" s="174"/>
      <c r="Q96" s="56">
        <v>41126.37871373455</v>
      </c>
      <c r="R96" s="57">
        <v>39892.587352322516</v>
      </c>
      <c r="S96" s="13">
        <v>41488.290846415417</v>
      </c>
      <c r="T96" s="14"/>
      <c r="U96" s="14"/>
      <c r="V96" s="15"/>
      <c r="W96" s="112" t="s">
        <v>1531</v>
      </c>
    </row>
    <row r="97" spans="1:23">
      <c r="A97" s="58" t="s">
        <v>95</v>
      </c>
      <c r="B97" s="55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2">
        <f t="shared" si="3"/>
        <v>2</v>
      </c>
      <c r="O97" s="9"/>
      <c r="P97" s="176" t="s">
        <v>1586</v>
      </c>
      <c r="Q97" s="107" t="s">
        <v>1335</v>
      </c>
      <c r="R97" s="20">
        <v>27000</v>
      </c>
      <c r="S97" s="13">
        <v>28080</v>
      </c>
      <c r="T97" s="14"/>
      <c r="U97" s="14"/>
      <c r="V97" s="152">
        <v>500</v>
      </c>
    </row>
    <row r="98" spans="1:23">
      <c r="A98" s="60" t="s">
        <v>96</v>
      </c>
      <c r="B98" s="55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2">
        <f t="shared" si="3"/>
        <v>3</v>
      </c>
      <c r="O98" s="9"/>
      <c r="P98" s="174"/>
      <c r="Q98" s="107" t="s">
        <v>1335</v>
      </c>
      <c r="R98" s="20">
        <v>33000</v>
      </c>
      <c r="S98" s="13">
        <v>34320</v>
      </c>
      <c r="T98" s="14"/>
      <c r="U98" s="14"/>
      <c r="V98" s="152">
        <v>500</v>
      </c>
    </row>
    <row r="99" spans="1:23">
      <c r="A99" s="60" t="s">
        <v>97</v>
      </c>
      <c r="B99" s="55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2">
        <f t="shared" si="3"/>
        <v>1</v>
      </c>
      <c r="O99" s="9"/>
      <c r="P99" s="174"/>
      <c r="Q99" s="107" t="s">
        <v>1335</v>
      </c>
      <c r="R99" s="20">
        <v>37000</v>
      </c>
      <c r="S99" s="13">
        <v>38480</v>
      </c>
      <c r="T99" s="14"/>
      <c r="U99" s="14"/>
      <c r="V99" s="152">
        <v>500</v>
      </c>
    </row>
    <row r="100" spans="1:23">
      <c r="A100" s="60" t="s">
        <v>98</v>
      </c>
      <c r="B100" s="55" t="str">
        <f>IFERROR(HYPERLINK(VLOOKUP(A100,ÜRÜNLER!A:C,3,FALSE),VLOOKUP(A100,ÜRÜNLER!A:B,2,FALSE)),"")</f>
        <v>iQ700 Kurutmalı Çamaşır Makinesi, 10.5kg/6kg/1400devir, i-dos, Beyaz</v>
      </c>
      <c r="C100" s="8">
        <v>2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2">
        <f t="shared" si="3"/>
        <v>3</v>
      </c>
      <c r="O100" s="9">
        <v>1</v>
      </c>
      <c r="P100" s="174"/>
      <c r="Q100" s="56">
        <v>74984.819352067672</v>
      </c>
      <c r="R100" s="57">
        <v>72735.274771505647</v>
      </c>
      <c r="S100" s="13">
        <v>75644.685762365873</v>
      </c>
      <c r="T100" s="14"/>
      <c r="U100" s="14"/>
      <c r="V100" s="15"/>
    </row>
    <row r="101" spans="1:23" ht="30">
      <c r="A101" s="147" t="s">
        <v>99</v>
      </c>
      <c r="B101" s="55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2">
        <f>SUM(N71:N100)</f>
        <v>403</v>
      </c>
      <c r="O101" s="9"/>
      <c r="Q101" s="107"/>
      <c r="R101" s="15"/>
      <c r="S101" s="13"/>
      <c r="T101" s="14"/>
      <c r="U101" s="14"/>
      <c r="V101" s="15"/>
    </row>
    <row r="102" spans="1:23">
      <c r="A102" s="58" t="s">
        <v>103</v>
      </c>
      <c r="B102" s="55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1</v>
      </c>
      <c r="J102" s="11"/>
      <c r="K102" s="10"/>
      <c r="L102" s="10"/>
      <c r="M102" s="11"/>
      <c r="N102" s="12">
        <f t="shared" ref="N102:N115" si="4">M102+L102+K102+J102+I102+H102+G102+F102+E102+D102+C102</f>
        <v>1</v>
      </c>
      <c r="O102" s="9"/>
      <c r="P102" s="174"/>
      <c r="Q102" s="107" t="s">
        <v>1335</v>
      </c>
      <c r="R102" s="128">
        <v>35000</v>
      </c>
      <c r="S102" s="22">
        <v>36400</v>
      </c>
      <c r="T102" s="14">
        <v>2790.4525394713346</v>
      </c>
      <c r="U102" s="14"/>
      <c r="V102" s="152">
        <v>500</v>
      </c>
    </row>
    <row r="103" spans="1:23">
      <c r="A103" s="114" t="s">
        <v>1316</v>
      </c>
      <c r="B103" s="55" t="str">
        <f>IFERROR(HYPERLINK(VLOOKUP(A103,ÜRÜNLER!A:C,3,FALSE),VLOOKUP(A103,ÜRÜNLER!A:B,2,FALSE)),"")</f>
        <v>iQ300 Isı Pompalı Kurutma Makinesi, 9kg, Gümüş</v>
      </c>
      <c r="C103" s="8">
        <v>1</v>
      </c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12">
        <f t="shared" si="4"/>
        <v>3</v>
      </c>
      <c r="O103" s="9"/>
      <c r="P103" s="174"/>
      <c r="Q103" s="107" t="s">
        <v>1335</v>
      </c>
      <c r="R103" s="128">
        <v>36000</v>
      </c>
      <c r="S103" s="22">
        <v>37440</v>
      </c>
      <c r="T103" s="14"/>
      <c r="U103" s="14"/>
      <c r="V103" s="152">
        <v>500</v>
      </c>
    </row>
    <row r="104" spans="1:23">
      <c r="A104" s="58" t="s">
        <v>104</v>
      </c>
      <c r="B104" s="55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2">
        <f t="shared" si="4"/>
        <v>5</v>
      </c>
      <c r="O104" s="9">
        <v>500</v>
      </c>
      <c r="P104" s="174"/>
      <c r="Q104" s="56">
        <v>39552.883298190849</v>
      </c>
      <c r="R104" s="57">
        <v>38366.296799245123</v>
      </c>
      <c r="S104" s="13">
        <v>39900.94867121493</v>
      </c>
      <c r="T104" s="14">
        <v>5049.394926097827</v>
      </c>
      <c r="U104" s="14"/>
      <c r="V104" s="15"/>
    </row>
    <row r="105" spans="1:23">
      <c r="A105" s="129" t="s">
        <v>100</v>
      </c>
      <c r="B105" s="55" t="str">
        <f>IFERROR(HYPERLINK(VLOOKUP(A105,ÜRÜNLER!A:C,3,FALSE),VLOOKUP(A105,ÜRÜNLER!A:B,2,FALSE)),"")</f>
        <v>iQ500 Isı Pompalı Kurutma Makinesi, 9kg, Beyaz</v>
      </c>
      <c r="C105" s="8">
        <v>27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2">
        <f t="shared" si="4"/>
        <v>28</v>
      </c>
      <c r="O105" s="9">
        <v>51</v>
      </c>
      <c r="P105" s="174"/>
      <c r="Q105" s="56">
        <v>43183.847091032105</v>
      </c>
      <c r="R105" s="57">
        <v>41888.33167830114</v>
      </c>
      <c r="S105" s="13">
        <v>43563.864945433183</v>
      </c>
      <c r="T105" s="14">
        <v>5229.19592824141</v>
      </c>
      <c r="U105" s="14"/>
      <c r="V105" s="31"/>
      <c r="W105" s="112" t="s">
        <v>1531</v>
      </c>
    </row>
    <row r="106" spans="1:23">
      <c r="A106" s="114" t="s">
        <v>1347</v>
      </c>
      <c r="B106" s="55" t="str">
        <f>IFERROR(HYPERLINK(VLOOKUP(A106,ÜRÜNLER!A:C,3,FALSE),VLOOKUP(A106,ÜRÜNLER!A:B,2,FALSE)),"")</f>
        <v>iQ500 Isı Pompalı Kurutma Makinesi, 9kg, Gümüş</v>
      </c>
      <c r="C106" s="8">
        <v>15</v>
      </c>
      <c r="D106" s="8"/>
      <c r="E106" s="9"/>
      <c r="F106" s="9"/>
      <c r="G106" s="10"/>
      <c r="H106" s="10"/>
      <c r="I106" s="11"/>
      <c r="J106" s="11"/>
      <c r="K106" s="10"/>
      <c r="L106" s="10"/>
      <c r="M106" s="11"/>
      <c r="N106" s="12">
        <f t="shared" si="4"/>
        <v>15</v>
      </c>
      <c r="O106" s="9">
        <v>223</v>
      </c>
      <c r="P106" s="174"/>
      <c r="Q106" s="56">
        <v>43404</v>
      </c>
      <c r="R106" s="57">
        <v>42101.88</v>
      </c>
      <c r="S106" s="13">
        <v>43785.955199999997</v>
      </c>
      <c r="T106" s="14">
        <v>2755.8965728274197</v>
      </c>
      <c r="U106" s="14"/>
      <c r="V106" s="31"/>
      <c r="W106" s="112"/>
    </row>
    <row r="107" spans="1:23">
      <c r="A107" s="130" t="s">
        <v>101</v>
      </c>
      <c r="B107" s="55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2">
        <f t="shared" si="4"/>
        <v>38</v>
      </c>
      <c r="O107" s="9">
        <v>111</v>
      </c>
      <c r="P107" s="174"/>
      <c r="Q107" s="56">
        <v>46206.703389937567</v>
      </c>
      <c r="R107" s="57">
        <v>44820.502288239441</v>
      </c>
      <c r="S107" s="13">
        <v>46613.322379769015</v>
      </c>
      <c r="T107" s="14">
        <v>5793.9126922631476</v>
      </c>
      <c r="U107" s="14"/>
      <c r="V107" s="31"/>
      <c r="W107" s="112" t="s">
        <v>1531</v>
      </c>
    </row>
    <row r="108" spans="1:23">
      <c r="A108" s="58" t="s">
        <v>105</v>
      </c>
      <c r="B108" s="55" t="str">
        <f>IFERROR(HYPERLINK(VLOOKUP(A108,ÜRÜNLER!A:C,3,FALSE),VLOOKUP(A108,ÜRÜNLER!A:B,2,FALSE)),"")</f>
        <v>iQ500 Isı Pompalı Kurutma Makinesi, 9kg, SelfClean, Beyaz</v>
      </c>
      <c r="C108" s="8">
        <v>92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2">
        <f t="shared" si="4"/>
        <v>96</v>
      </c>
      <c r="O108" s="9"/>
      <c r="P108" s="174"/>
      <c r="Q108" s="107" t="s">
        <v>1335</v>
      </c>
      <c r="R108" s="19">
        <v>36000</v>
      </c>
      <c r="S108" s="22">
        <v>37440</v>
      </c>
      <c r="T108" s="14">
        <v>578.09360449774977</v>
      </c>
      <c r="U108" s="14"/>
      <c r="V108" s="118">
        <v>250</v>
      </c>
      <c r="W108" s="112" t="s">
        <v>1531</v>
      </c>
    </row>
    <row r="109" spans="1:23">
      <c r="A109" s="58" t="s">
        <v>106</v>
      </c>
      <c r="B109" s="55" t="str">
        <f>IFERROR(HYPERLINK(VLOOKUP(A109,ÜRÜNLER!A:C,3,FALSE),VLOOKUP(A109,ÜRÜNLER!A:B,2,FALSE)),"")</f>
        <v>iQ700 Isı Pompalı Kurutma Makinesi, 9kg, Beyaz</v>
      </c>
      <c r="C109" s="8">
        <v>126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2">
        <f t="shared" si="4"/>
        <v>129</v>
      </c>
      <c r="O109" s="9">
        <v>26</v>
      </c>
      <c r="P109" s="174"/>
      <c r="Q109" s="56">
        <v>61286.692413916055</v>
      </c>
      <c r="R109" s="51">
        <v>58222.357793220253</v>
      </c>
      <c r="S109" s="13">
        <v>60551.252104949061</v>
      </c>
      <c r="T109" s="14">
        <v>3886.6924139160546</v>
      </c>
      <c r="U109" s="14"/>
      <c r="V109" s="15"/>
      <c r="W109" s="112" t="s">
        <v>1531</v>
      </c>
    </row>
    <row r="110" spans="1:23">
      <c r="A110" s="114" t="s">
        <v>107</v>
      </c>
      <c r="B110" s="55" t="str">
        <f>IFERROR(HYPERLINK(VLOOKUP(A110,ÜRÜNLER!A:C,3,FALSE),VLOOKUP(A110,ÜRÜNLER!A:B,2,FALSE)),"")</f>
        <v>iQ700 Isı Pompalı Kurutma Makinesi, 9kg, Gümüş</v>
      </c>
      <c r="C110" s="8">
        <v>93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2">
        <f t="shared" si="4"/>
        <v>96</v>
      </c>
      <c r="O110" s="9">
        <v>26</v>
      </c>
      <c r="P110" s="174"/>
      <c r="Q110" s="56">
        <v>62304.674762486175</v>
      </c>
      <c r="R110" s="51">
        <v>59189.441024361862</v>
      </c>
      <c r="S110" s="13">
        <v>61557.018665336334</v>
      </c>
      <c r="T110" s="14">
        <v>3960.4887159745413</v>
      </c>
      <c r="U110" s="14"/>
      <c r="V110" s="15"/>
      <c r="W110" s="112" t="s">
        <v>1531</v>
      </c>
    </row>
    <row r="111" spans="1:23">
      <c r="A111" s="58" t="s">
        <v>108</v>
      </c>
      <c r="B111" s="55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>
        <v>2</v>
      </c>
      <c r="L111" s="10"/>
      <c r="M111" s="11">
        <v>1</v>
      </c>
      <c r="N111" s="12">
        <f t="shared" si="4"/>
        <v>4</v>
      </c>
      <c r="O111" s="9"/>
      <c r="P111" s="174"/>
      <c r="Q111" s="107" t="s">
        <v>1335</v>
      </c>
      <c r="R111" s="19">
        <v>36000</v>
      </c>
      <c r="S111" s="22">
        <v>37440</v>
      </c>
      <c r="T111" s="14">
        <v>3443.0504798509646</v>
      </c>
      <c r="U111" s="14"/>
      <c r="V111" s="15">
        <v>250</v>
      </c>
    </row>
    <row r="112" spans="1:23">
      <c r="A112" s="58" t="s">
        <v>473</v>
      </c>
      <c r="B112" s="55" t="str">
        <f>IFERROR(HYPERLINK(VLOOKUP(A112,ÜRÜNLER!A:C,3,FALSE),VLOOKUP(A112,ÜRÜNLER!A:B,2,FALSE)),"")</f>
        <v>iQ300 Isı Pompalı Kurutma Makinesi, 10kg, Beyaz</v>
      </c>
      <c r="C112" s="8">
        <v>139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/>
      <c r="N112" s="12">
        <f t="shared" si="4"/>
        <v>139</v>
      </c>
      <c r="O112" s="9">
        <v>194</v>
      </c>
      <c r="P112" s="174"/>
      <c r="Q112" s="56">
        <v>42717.122969696531</v>
      </c>
      <c r="R112" s="51">
        <v>40581.266821211706</v>
      </c>
      <c r="S112" s="160">
        <v>42204.517494060172</v>
      </c>
      <c r="T112" s="14">
        <v>4795.0299464407144</v>
      </c>
      <c r="U112" s="14"/>
      <c r="V112" s="13"/>
    </row>
    <row r="113" spans="1:23">
      <c r="A113" s="68" t="s">
        <v>1313</v>
      </c>
      <c r="B113" s="55" t="str">
        <f>IFERROR(HYPERLINK(VLOOKUP(A113,ÜRÜNLER!A:C,3,FALSE),VLOOKUP(A113,ÜRÜNLER!A:B,2,FALSE)),"")</f>
        <v>iQ500 Isı Pompalı Kurutma Makinesi, 10kg, Antrasit/Dark</v>
      </c>
      <c r="C113" s="8">
        <v>13</v>
      </c>
      <c r="D113" s="8"/>
      <c r="E113" s="9"/>
      <c r="F113" s="9"/>
      <c r="G113" s="10"/>
      <c r="H113" s="10"/>
      <c r="I113" s="11"/>
      <c r="J113" s="11">
        <v>1</v>
      </c>
      <c r="K113" s="10"/>
      <c r="L113" s="10"/>
      <c r="M113" s="11">
        <v>1</v>
      </c>
      <c r="N113" s="12">
        <f t="shared" si="4"/>
        <v>15</v>
      </c>
      <c r="O113" s="9">
        <v>201</v>
      </c>
      <c r="P113" s="174"/>
      <c r="Q113" s="56">
        <v>45281.496328029381</v>
      </c>
      <c r="R113" s="57">
        <v>43923.0514381885</v>
      </c>
      <c r="S113" s="13">
        <v>45679.97349571604</v>
      </c>
      <c r="T113" s="14">
        <v>2874.519583843336</v>
      </c>
      <c r="U113" s="14"/>
      <c r="V113" s="13"/>
      <c r="W113" s="112" t="s">
        <v>1531</v>
      </c>
    </row>
    <row r="114" spans="1:23">
      <c r="A114" s="58" t="s">
        <v>109</v>
      </c>
      <c r="B114" s="55" t="str">
        <f>IFERROR(HYPERLINK(VLOOKUP(A114,ÜRÜNLER!A:C,3,FALSE),VLOOKUP(A114,ÜRÜNLER!A:B,2,FALSE)),"")</f>
        <v>iQ500 Isı Pompalı Kurutma Makinesi, 10kg, Beyaz</v>
      </c>
      <c r="C114" s="8">
        <v>4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12">
        <f t="shared" si="4"/>
        <v>5</v>
      </c>
      <c r="O114" s="9">
        <v>51</v>
      </c>
      <c r="P114" s="174"/>
      <c r="Q114" s="56">
        <v>45280.150347878327</v>
      </c>
      <c r="R114" s="57">
        <v>43921.74583744198</v>
      </c>
      <c r="S114" s="13">
        <v>45678.61567093966</v>
      </c>
      <c r="T114" s="14">
        <v>3898.7549990411208</v>
      </c>
      <c r="U114" s="14"/>
      <c r="V114" s="15"/>
      <c r="W114" s="112" t="s">
        <v>1531</v>
      </c>
    </row>
    <row r="115" spans="1:23">
      <c r="A115" s="58" t="s">
        <v>102</v>
      </c>
      <c r="B115" s="55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/>
      <c r="J115" s="11"/>
      <c r="K115" s="10">
        <v>1</v>
      </c>
      <c r="L115" s="10"/>
      <c r="M115" s="11">
        <v>1</v>
      </c>
      <c r="N115" s="12">
        <f t="shared" si="4"/>
        <v>3</v>
      </c>
      <c r="O115" s="9"/>
      <c r="P115" s="174"/>
      <c r="Q115" s="107" t="s">
        <v>1335</v>
      </c>
      <c r="R115" s="128">
        <v>34000</v>
      </c>
      <c r="S115" s="22">
        <v>35360</v>
      </c>
      <c r="T115" s="14">
        <v>3218.5846517704667</v>
      </c>
      <c r="U115" s="14"/>
      <c r="V115" s="118">
        <v>500</v>
      </c>
    </row>
    <row r="116" spans="1:23" s="28" customFormat="1" ht="29.25" customHeight="1">
      <c r="A116" s="186" t="s">
        <v>110</v>
      </c>
      <c r="B116" s="55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2">
        <f>SUM(N102:N115)</f>
        <v>577</v>
      </c>
      <c r="O116" s="9"/>
      <c r="P116" s="174"/>
      <c r="Q116" s="107"/>
      <c r="R116" s="27"/>
      <c r="S116" s="13"/>
      <c r="T116" s="14"/>
      <c r="U116" s="14"/>
      <c r="V116" s="27"/>
      <c r="W116" s="111"/>
    </row>
    <row r="117" spans="1:23">
      <c r="A117" s="58" t="s">
        <v>113</v>
      </c>
      <c r="B117" s="55" t="str">
        <f>IFERROR(HYPERLINK(VLOOKUP(A117,ÜRÜNLER!A:C,3,FALSE),VLOOKUP(A117,ÜRÜNLER!A:B,2,FALSE)),"")</f>
        <v>iQ500 Solo Bulaşık Makinesi, autoOpen dry, glassZone, Inox</v>
      </c>
      <c r="C117" s="8">
        <v>10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2">
        <f t="shared" ref="N117:N141" si="5">M117+L117+K117+J117+I117+H117+G117+F117+E117+D117+C117</f>
        <v>10</v>
      </c>
      <c r="O117" s="9">
        <v>34</v>
      </c>
      <c r="P117" s="174"/>
      <c r="Q117" s="56">
        <v>33691.67868440631</v>
      </c>
      <c r="R117" s="57">
        <v>32680.928323874119</v>
      </c>
      <c r="S117" s="13">
        <v>33988.165456829083</v>
      </c>
      <c r="T117" s="14"/>
      <c r="U117" s="14"/>
      <c r="V117" s="15"/>
      <c r="W117" s="112" t="s">
        <v>1531</v>
      </c>
    </row>
    <row r="118" spans="1:23">
      <c r="A118" s="69" t="s">
        <v>114</v>
      </c>
      <c r="B118" s="55" t="str">
        <f>IFERROR(HYPERLINK(VLOOKUP(A118,ÜRÜNLER!A:C,3,FALSE),VLOOKUP(A118,ÜRÜNLER!A:B,2,FALSE)),"")</f>
        <v>iQ500 Solo Bulaşık Makinesi, autoOpen dry, glassZone, darkSteel</v>
      </c>
      <c r="C118" s="8"/>
      <c r="D118" s="8"/>
      <c r="E118" s="9"/>
      <c r="F118" s="9"/>
      <c r="G118" s="10"/>
      <c r="H118" s="10"/>
      <c r="I118" s="11"/>
      <c r="J118" s="11"/>
      <c r="K118" s="10"/>
      <c r="L118" s="10"/>
      <c r="M118" s="11">
        <v>1</v>
      </c>
      <c r="N118" s="12">
        <f t="shared" si="5"/>
        <v>1</v>
      </c>
      <c r="O118" s="9">
        <v>82</v>
      </c>
      <c r="P118" s="174"/>
      <c r="Q118" s="56">
        <v>35361.004262489529</v>
      </c>
      <c r="R118" s="153">
        <v>50000</v>
      </c>
      <c r="S118" s="154">
        <v>52000</v>
      </c>
      <c r="T118" s="14"/>
      <c r="U118" s="14"/>
      <c r="V118" s="15"/>
      <c r="W118" s="112" t="s">
        <v>1531</v>
      </c>
    </row>
    <row r="119" spans="1:23">
      <c r="A119" s="58" t="s">
        <v>112</v>
      </c>
      <c r="B119" s="55" t="str">
        <f>IFERROR(HYPERLINK(VLOOKUP(A119,ÜRÜNLER!A:C,3,FALSE),VLOOKUP(A119,ÜRÜNLER!A:B,2,FALSE)),"")</f>
        <v>iQ500 Solo Bulaşık Makinesi, autoOpen dry, glassZone, Beyaz</v>
      </c>
      <c r="C119" s="8">
        <v>17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12">
        <f t="shared" si="5"/>
        <v>17</v>
      </c>
      <c r="O119" s="9">
        <v>57</v>
      </c>
      <c r="P119" s="174"/>
      <c r="Q119" s="56">
        <v>32022.377076932549</v>
      </c>
      <c r="R119" s="57">
        <v>31061.705764624574</v>
      </c>
      <c r="S119" s="13">
        <v>32304.173995209556</v>
      </c>
      <c r="T119" s="14"/>
      <c r="U119" s="14"/>
      <c r="V119" s="15"/>
      <c r="W119" s="112" t="s">
        <v>1531</v>
      </c>
    </row>
    <row r="120" spans="1:23">
      <c r="A120" s="58" t="s">
        <v>115</v>
      </c>
      <c r="B120" s="55" t="str">
        <f>IFERROR(HYPERLINK(VLOOKUP(A120,ÜRÜNLER!A:C,3,FALSE),VLOOKUP(A120,ÜRÜNLER!A:B,2,FALSE)),"")</f>
        <v>iQ100 Solo Bulaşık Makinesi, Inox</v>
      </c>
      <c r="C120" s="8">
        <v>83</v>
      </c>
      <c r="D120" s="8"/>
      <c r="E120" s="9"/>
      <c r="F120" s="9">
        <v>1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12">
        <f t="shared" si="5"/>
        <v>88</v>
      </c>
      <c r="O120" s="9"/>
      <c r="P120" s="178" t="s">
        <v>1586</v>
      </c>
      <c r="Q120" s="56">
        <v>25630.878249354657</v>
      </c>
      <c r="R120" s="27">
        <v>25630.878249354657</v>
      </c>
      <c r="S120" s="13">
        <v>26656.113379328843</v>
      </c>
      <c r="T120" s="14">
        <v>1016.9247609825652</v>
      </c>
      <c r="U120" s="14"/>
      <c r="V120" s="15"/>
    </row>
    <row r="121" spans="1:23">
      <c r="A121" s="58" t="s">
        <v>116</v>
      </c>
      <c r="B121" s="55" t="str">
        <f>IFERROR(HYPERLINK(VLOOKUP(A121,ÜRÜNLER!A:C,3,FALSE),VLOOKUP(A121,ÜRÜNLER!A:B,2,FALSE)),"")</f>
        <v>iQ100 Solo Bulaşık Makinesi, Beyaz</v>
      </c>
      <c r="C121" s="8">
        <v>48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2">
        <f t="shared" si="5"/>
        <v>52</v>
      </c>
      <c r="O121" s="9"/>
      <c r="P121" s="178" t="s">
        <v>1586</v>
      </c>
      <c r="Q121" s="56">
        <v>24397.812130251856</v>
      </c>
      <c r="R121" s="27">
        <v>24397.812130251856</v>
      </c>
      <c r="S121" s="13">
        <v>25373.724615461932</v>
      </c>
      <c r="T121" s="14">
        <v>5107.1144558332526</v>
      </c>
      <c r="U121" s="14"/>
      <c r="V121" s="15"/>
    </row>
    <row r="122" spans="1:23">
      <c r="A122" s="32" t="s">
        <v>126</v>
      </c>
      <c r="B122" s="55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12">
        <f t="shared" si="5"/>
        <v>3</v>
      </c>
      <c r="O122" s="9"/>
      <c r="P122" s="174"/>
      <c r="Q122" s="107" t="s">
        <v>1335</v>
      </c>
      <c r="R122" s="187">
        <v>29000</v>
      </c>
      <c r="S122" s="160">
        <v>30160</v>
      </c>
      <c r="T122" s="14">
        <v>1584.0104187847176</v>
      </c>
      <c r="U122" s="14"/>
      <c r="V122" s="152">
        <v>500</v>
      </c>
    </row>
    <row r="123" spans="1:23">
      <c r="A123" s="58" t="s">
        <v>127</v>
      </c>
      <c r="B123" s="55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12">
        <f t="shared" si="5"/>
        <v>17</v>
      </c>
      <c r="O123" s="9"/>
      <c r="P123" s="174"/>
      <c r="Q123" s="107" t="s">
        <v>1335</v>
      </c>
      <c r="R123" s="52">
        <v>32000</v>
      </c>
      <c r="S123" s="160">
        <v>33280</v>
      </c>
      <c r="T123" s="14">
        <v>2284.6394909483279</v>
      </c>
      <c r="U123" s="14"/>
      <c r="V123" s="152">
        <v>500</v>
      </c>
    </row>
    <row r="124" spans="1:23">
      <c r="A124" s="58" t="s">
        <v>117</v>
      </c>
      <c r="B124" s="55" t="str">
        <f>IFERROR(HYPERLINK(VLOOKUP(A124,ÜRÜNLER!A:C,3,FALSE),VLOOKUP(A124,ÜRÜNLER!A:B,2,FALSE)),"")</f>
        <v>iQ300 Solo Bulaşık Makinesi, autoOpen dry, Beyaz</v>
      </c>
      <c r="C124" s="8">
        <v>44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12">
        <f t="shared" si="5"/>
        <v>44</v>
      </c>
      <c r="O124" s="9">
        <v>1</v>
      </c>
      <c r="P124" s="174"/>
      <c r="Q124" s="56">
        <v>30088.932625057525</v>
      </c>
      <c r="R124" s="57">
        <v>29186.264646305801</v>
      </c>
      <c r="S124" s="13">
        <v>30353.715232158032</v>
      </c>
      <c r="T124" s="14">
        <v>7672.6535552900823</v>
      </c>
      <c r="U124" s="14"/>
      <c r="V124" s="15"/>
    </row>
    <row r="125" spans="1:23">
      <c r="A125" s="69" t="s">
        <v>118</v>
      </c>
      <c r="B125" s="55" t="str">
        <f>IFERROR(HYPERLINK(VLOOKUP(A125,ÜRÜNLER!A:C,3,FALSE),VLOOKUP(A125,ÜRÜNLER!A:B,2,FALSE)),"")</f>
        <v>iQ500 Solo Bulaşık Makinesi, Üstten Sepetli, Siyah Cam</v>
      </c>
      <c r="C125" s="8"/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2">
        <f t="shared" si="5"/>
        <v>1</v>
      </c>
      <c r="O125" s="9"/>
      <c r="P125" s="174"/>
      <c r="Q125" s="107" t="s">
        <v>1335</v>
      </c>
      <c r="R125" s="49">
        <v>43000</v>
      </c>
      <c r="S125" s="13">
        <v>44720</v>
      </c>
      <c r="T125" s="14">
        <v>4374.4307088725618</v>
      </c>
      <c r="U125" s="14"/>
      <c r="V125" s="15">
        <v>250</v>
      </c>
    </row>
    <row r="126" spans="1:23">
      <c r="A126" s="32" t="s">
        <v>119</v>
      </c>
      <c r="B126" s="55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2">
        <f t="shared" si="5"/>
        <v>1</v>
      </c>
      <c r="O126" s="9"/>
      <c r="P126" s="174"/>
      <c r="Q126" s="107" t="s">
        <v>1335</v>
      </c>
      <c r="R126" s="49">
        <v>43000</v>
      </c>
      <c r="S126" s="13">
        <v>44720</v>
      </c>
      <c r="T126" s="14">
        <v>4374.4278360545577</v>
      </c>
      <c r="U126" s="14"/>
      <c r="V126" s="152">
        <v>500</v>
      </c>
    </row>
    <row r="127" spans="1:23">
      <c r="A127" s="115" t="s">
        <v>120</v>
      </c>
      <c r="B127" s="55" t="str">
        <f>IFERROR(HYPERLINK(VLOOKUP(A127,ÜRÜNLER!A:C,3,FALSE),VLOOKUP(A127,ÜRÜNLER!A:B,2,FALSE)),"")</f>
        <v>iQ500 Solo Bulaşık Makinesi, Üstten Sepetli, Antrasit Cam</v>
      </c>
      <c r="C127" s="8">
        <v>7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12">
        <f t="shared" si="5"/>
        <v>9</v>
      </c>
      <c r="O127" s="9">
        <v>1</v>
      </c>
      <c r="P127" s="174"/>
      <c r="Q127" s="56">
        <v>43883.730161635955</v>
      </c>
      <c r="R127" s="57">
        <v>42567.218256786873</v>
      </c>
      <c r="S127" s="13">
        <v>44269.906987058348</v>
      </c>
      <c r="T127" s="14">
        <v>4374.4278360545577</v>
      </c>
      <c r="U127" s="14"/>
      <c r="V127" s="15"/>
    </row>
    <row r="128" spans="1:23">
      <c r="A128" s="68" t="s">
        <v>121</v>
      </c>
      <c r="B128" s="55" t="str">
        <f>IFERROR(HYPERLINK(VLOOKUP(A128,ÜRÜNLER!A:C,3,FALSE),VLOOKUP(A128,ÜRÜNLER!A:B,2,FALSE)),"")</f>
        <v>iQ300 Solo Bulaşık Makinesi, Üstten Sepetli, darkSteel</v>
      </c>
      <c r="C128" s="8">
        <v>1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12">
        <f t="shared" si="5"/>
        <v>5</v>
      </c>
      <c r="O128" s="9"/>
      <c r="P128" s="174"/>
      <c r="Q128" s="107" t="s">
        <v>1335</v>
      </c>
      <c r="R128" s="49">
        <v>33250</v>
      </c>
      <c r="S128" s="13">
        <v>34580</v>
      </c>
      <c r="T128" s="14">
        <v>3253.5442103524074</v>
      </c>
      <c r="U128" s="14"/>
      <c r="V128" s="15"/>
      <c r="W128" s="112" t="s">
        <v>1531</v>
      </c>
    </row>
    <row r="129" spans="1:23">
      <c r="A129" s="32" t="s">
        <v>122</v>
      </c>
      <c r="B129" s="55" t="str">
        <f>IFERROR(HYPERLINK(VLOOKUP(A129,ÜRÜNLER!A:C,3,FALSE),VLOOKUP(A129,ÜRÜNLER!A:B,2,FALSE)),"")</f>
        <v>iQ300 Solo Bulaşık Makinesi, Inox</v>
      </c>
      <c r="C129" s="8">
        <v>73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12">
        <f t="shared" si="5"/>
        <v>77</v>
      </c>
      <c r="O129" s="9">
        <v>7</v>
      </c>
      <c r="P129" s="175"/>
      <c r="Q129" s="56">
        <v>32256.770230922746</v>
      </c>
      <c r="R129" s="51">
        <v>31289.067123995064</v>
      </c>
      <c r="S129" s="160">
        <v>32540.629808954865</v>
      </c>
      <c r="T129" s="14">
        <v>6250.9562774343722</v>
      </c>
      <c r="U129" s="14"/>
      <c r="V129" s="15"/>
    </row>
    <row r="130" spans="1:23">
      <c r="A130" s="32" t="s">
        <v>123</v>
      </c>
      <c r="B130" s="55" t="str">
        <f>IFERROR(HYPERLINK(VLOOKUP(A130,ÜRÜNLER!A:C,3,FALSE),VLOOKUP(A130,ÜRÜNLER!A:B,2,FALSE)),"")</f>
        <v>iQ300 Solo Bulaşık Makinesi, Üstten Sepetli, Inox</v>
      </c>
      <c r="C130" s="8">
        <v>6</v>
      </c>
      <c r="D130" s="8"/>
      <c r="E130" s="9"/>
      <c r="F130" s="9"/>
      <c r="G130" s="10"/>
      <c r="H130" s="10"/>
      <c r="I130" s="11">
        <v>1</v>
      </c>
      <c r="J130" s="11">
        <v>1</v>
      </c>
      <c r="K130" s="10">
        <v>1</v>
      </c>
      <c r="L130" s="10"/>
      <c r="M130" s="11"/>
      <c r="N130" s="12">
        <f t="shared" si="5"/>
        <v>9</v>
      </c>
      <c r="O130" s="9">
        <v>14</v>
      </c>
      <c r="P130" s="174"/>
      <c r="Q130" s="56">
        <v>32468.876610250907</v>
      </c>
      <c r="R130" s="57">
        <v>31494.81031194338</v>
      </c>
      <c r="S130" s="13">
        <v>32754.602724421115</v>
      </c>
      <c r="T130" s="14">
        <v>4403.7603311811399</v>
      </c>
      <c r="U130" s="14"/>
      <c r="V130" s="15"/>
    </row>
    <row r="131" spans="1:23">
      <c r="A131" s="58" t="s">
        <v>124</v>
      </c>
      <c r="B131" s="55" t="str">
        <f>IFERROR(HYPERLINK(VLOOKUP(A131,ÜRÜNLER!A:C,3,FALSE),VLOOKUP(A131,ÜRÜNLER!A:B,2,FALSE)),"")</f>
        <v>iQ300 Solo Bulaşık Makinesi, Beyaz</v>
      </c>
      <c r="C131" s="8">
        <v>135</v>
      </c>
      <c r="D131" s="8"/>
      <c r="E131" s="9"/>
      <c r="F131" s="9"/>
      <c r="G131" s="10"/>
      <c r="H131" s="10"/>
      <c r="I131" s="11"/>
      <c r="J131" s="11">
        <v>1</v>
      </c>
      <c r="K131" s="10">
        <v>1</v>
      </c>
      <c r="L131" s="10"/>
      <c r="M131" s="11">
        <v>1</v>
      </c>
      <c r="N131" s="12">
        <f t="shared" si="5"/>
        <v>138</v>
      </c>
      <c r="O131" s="9">
        <v>1</v>
      </c>
      <c r="P131" s="175"/>
      <c r="Q131" s="56">
        <v>30073.403810075666</v>
      </c>
      <c r="R131" s="51">
        <v>28569.733619571882</v>
      </c>
      <c r="S131" s="160">
        <v>29712.522964354757</v>
      </c>
      <c r="T131" s="14">
        <v>8072.2410193779906</v>
      </c>
      <c r="U131" s="14"/>
      <c r="V131" s="15"/>
    </row>
    <row r="132" spans="1:23">
      <c r="A132" s="58" t="s">
        <v>125</v>
      </c>
      <c r="B132" s="55" t="str">
        <f>IFERROR(HYPERLINK(VLOOKUP(A132,ÜRÜNLER!A:C,3,FALSE),VLOOKUP(A132,ÜRÜNLER!A:B,2,FALSE)),"")</f>
        <v>iQ300 Solo Bulaşık Makinesi, Üstten Sepetli, Beyaz</v>
      </c>
      <c r="C132" s="8">
        <v>12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12">
        <f t="shared" si="5"/>
        <v>16</v>
      </c>
      <c r="O132" s="9"/>
      <c r="P132" s="174"/>
      <c r="Q132" s="56">
        <v>30447.455535155408</v>
      </c>
      <c r="R132" s="57">
        <v>29534.031869100745</v>
      </c>
      <c r="S132" s="13">
        <v>30715.393143864774</v>
      </c>
      <c r="T132" s="14">
        <v>4498.6183258530837</v>
      </c>
      <c r="U132" s="14"/>
      <c r="V132" s="15"/>
    </row>
    <row r="133" spans="1:23">
      <c r="A133" s="58" t="s">
        <v>128</v>
      </c>
      <c r="B133" s="55" t="str">
        <f>IFERROR(HYPERLINK(VLOOKUP(A133,ÜRÜNLER!A:C,3,FALSE),VLOOKUP(A133,ÜRÜNLER!A:B,2,FALSE)),"")</f>
        <v>iQ500 Solo Bulaşık Makinesi, autoOpen dry, Inox</v>
      </c>
      <c r="C133" s="8">
        <v>3</v>
      </c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12">
        <f t="shared" si="5"/>
        <v>4</v>
      </c>
      <c r="O133" s="9">
        <v>19</v>
      </c>
      <c r="P133" s="174"/>
      <c r="Q133" s="56">
        <v>35887.283293444758</v>
      </c>
      <c r="R133" s="57">
        <v>34810.664794641416</v>
      </c>
      <c r="S133" s="13">
        <v>36203.09138642707</v>
      </c>
      <c r="T133" s="14">
        <v>2881.4693399563912</v>
      </c>
      <c r="U133" s="14"/>
      <c r="V133" s="15"/>
      <c r="W133" s="112" t="s">
        <v>1531</v>
      </c>
    </row>
    <row r="134" spans="1:23">
      <c r="A134" s="58" t="s">
        <v>111</v>
      </c>
      <c r="B134" s="55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2">
        <f t="shared" si="5"/>
        <v>17</v>
      </c>
      <c r="O134" s="9"/>
      <c r="P134" s="174"/>
      <c r="Q134" s="56">
        <v>36246.171906638767</v>
      </c>
      <c r="R134" s="57">
        <v>35158.786749439605</v>
      </c>
      <c r="S134" s="13">
        <v>36565.138219417189</v>
      </c>
      <c r="T134" s="14"/>
      <c r="U134" s="14"/>
      <c r="V134" s="15"/>
    </row>
    <row r="135" spans="1:23">
      <c r="A135" s="32" t="s">
        <v>130</v>
      </c>
      <c r="B135" s="55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12">
        <f t="shared" si="5"/>
        <v>3</v>
      </c>
      <c r="O135" s="9">
        <v>2</v>
      </c>
      <c r="P135" s="174"/>
      <c r="Q135" s="56">
        <v>42142.417188226296</v>
      </c>
      <c r="R135" s="27">
        <v>42142.417188226296</v>
      </c>
      <c r="S135" s="13">
        <v>43828.113875755349</v>
      </c>
      <c r="T135" s="14">
        <v>436.66497583690949</v>
      </c>
      <c r="U135" s="14"/>
      <c r="V135" s="15"/>
      <c r="W135" s="112" t="s">
        <v>1531</v>
      </c>
    </row>
    <row r="136" spans="1:23">
      <c r="A136" s="32" t="s">
        <v>131</v>
      </c>
      <c r="B136" s="55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2">
        <f t="shared" si="5"/>
        <v>2</v>
      </c>
      <c r="O136" s="9"/>
      <c r="P136" s="174"/>
      <c r="Q136" s="107" t="s">
        <v>1335</v>
      </c>
      <c r="R136" s="52">
        <v>41000</v>
      </c>
      <c r="S136" s="160">
        <v>42640</v>
      </c>
      <c r="T136" s="14"/>
      <c r="U136" s="14"/>
      <c r="V136" s="188">
        <v>500</v>
      </c>
      <c r="W136" s="112" t="s">
        <v>1531</v>
      </c>
    </row>
    <row r="137" spans="1:23">
      <c r="A137" s="58" t="s">
        <v>134</v>
      </c>
      <c r="B137" s="55" t="str">
        <f>IFERROR(HYPERLINK(VLOOKUP(A137,ÜRÜNLER!A:C,3,FALSE),VLOOKUP(A137,ÜRÜNLER!A:B,2,FALSE)),"")</f>
        <v>iQ500 Solo Bulaşık Makinesi, autoOpen dry, glassZone, Üstten Sepetli, Inox</v>
      </c>
      <c r="C137" s="8">
        <v>4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2">
        <f t="shared" si="5"/>
        <v>4</v>
      </c>
      <c r="O137" s="9">
        <v>5</v>
      </c>
      <c r="P137" s="174"/>
      <c r="Q137" s="56">
        <v>46466.944645847994</v>
      </c>
      <c r="R137" s="27">
        <v>46466.944645847994</v>
      </c>
      <c r="S137" s="13">
        <v>48325.622431681913</v>
      </c>
      <c r="T137" s="14"/>
      <c r="U137" s="14"/>
      <c r="V137" s="15"/>
      <c r="W137" s="112" t="s">
        <v>1531</v>
      </c>
    </row>
    <row r="138" spans="1:23">
      <c r="A138" s="58" t="s">
        <v>129</v>
      </c>
      <c r="B138" s="55" t="str">
        <f>IFERROR(HYPERLINK(VLOOKUP(A138,ÜRÜNLER!A:C,3,FALSE),VLOOKUP(A138,ÜRÜNLER!A:B,2,FALSE)),"")</f>
        <v>iQ500 Solo Bulaşık Makinesi, autoOpen dry, Beyaz</v>
      </c>
      <c r="C138" s="8">
        <v>9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2">
        <f t="shared" si="5"/>
        <v>10</v>
      </c>
      <c r="O138" s="9">
        <v>1</v>
      </c>
      <c r="P138" s="174"/>
      <c r="Q138" s="56">
        <v>34324.7262009431</v>
      </c>
      <c r="R138" s="57">
        <v>33294.984414914805</v>
      </c>
      <c r="S138" s="13">
        <v>34626.7837915114</v>
      </c>
      <c r="T138" s="14">
        <v>3199.1448055942601</v>
      </c>
      <c r="U138" s="14"/>
      <c r="V138" s="15"/>
    </row>
    <row r="139" spans="1:23">
      <c r="A139" s="58" t="s">
        <v>132</v>
      </c>
      <c r="B139" s="55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2">
        <f t="shared" si="5"/>
        <v>2</v>
      </c>
      <c r="O139" s="9"/>
      <c r="P139" s="174"/>
      <c r="Q139" s="107" t="s">
        <v>1335</v>
      </c>
      <c r="R139" s="52">
        <v>33000</v>
      </c>
      <c r="S139" s="13">
        <v>34320</v>
      </c>
      <c r="T139" s="14">
        <v>725.947710413202</v>
      </c>
      <c r="U139" s="14"/>
      <c r="V139" s="18"/>
    </row>
    <row r="140" spans="1:23">
      <c r="A140" s="58" t="s">
        <v>133</v>
      </c>
      <c r="B140" s="55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2">
        <f t="shared" si="5"/>
        <v>1</v>
      </c>
      <c r="O140" s="9"/>
      <c r="P140" s="174"/>
      <c r="Q140" s="107" t="s">
        <v>1335</v>
      </c>
      <c r="R140" s="51">
        <v>33000</v>
      </c>
      <c r="S140" s="160">
        <v>34320</v>
      </c>
      <c r="T140" s="14"/>
      <c r="U140" s="14"/>
      <c r="V140" s="188">
        <v>500</v>
      </c>
    </row>
    <row r="141" spans="1:23">
      <c r="A141" s="32" t="s">
        <v>135</v>
      </c>
      <c r="B141" s="55" t="str">
        <f>IFERROR(HYPERLINK(VLOOKUP(A141,ÜRÜNLER!A:C,3,FALSE),VLOOKUP(A141,ÜRÜNLER!A:B,2,FALSE)),"")</f>
        <v>iQ700 Solo Bulaşık Makinesi, Zeolith dry, glassZone, Inox</v>
      </c>
      <c r="C141" s="8">
        <v>2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12">
        <f t="shared" si="5"/>
        <v>7</v>
      </c>
      <c r="O141" s="9">
        <v>57</v>
      </c>
      <c r="P141" s="175"/>
      <c r="Q141" s="56">
        <v>50139.954326068313</v>
      </c>
      <c r="R141" s="27">
        <v>55000</v>
      </c>
      <c r="S141" s="13">
        <v>57200</v>
      </c>
      <c r="T141" s="14"/>
      <c r="U141" s="14"/>
      <c r="V141" s="18"/>
      <c r="W141" s="112" t="s">
        <v>1531</v>
      </c>
    </row>
    <row r="142" spans="1:23" s="34" customFormat="1" ht="34.5" customHeight="1">
      <c r="A142" s="33" t="s">
        <v>1593</v>
      </c>
      <c r="B142" s="55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2">
        <f>SUM(N117:N141)</f>
        <v>538</v>
      </c>
      <c r="O142" s="9"/>
      <c r="P142" s="174"/>
      <c r="Q142" s="107"/>
      <c r="R142" s="15"/>
      <c r="S142" s="13"/>
      <c r="T142" s="14"/>
      <c r="U142" s="14"/>
      <c r="V142" s="15"/>
      <c r="W142" s="111"/>
    </row>
    <row r="143" spans="1:23">
      <c r="A143" s="70" t="s">
        <v>474</v>
      </c>
      <c r="B143" s="55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4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2">
        <f t="shared" ref="N143:N160" si="6">M143+L143+K143+J143+I143+H143+G143+F143+E143+D143+C143</f>
        <v>5</v>
      </c>
      <c r="O143" s="9"/>
      <c r="P143" s="174"/>
      <c r="Q143" s="56">
        <v>37998.245000000003</v>
      </c>
      <c r="R143" s="20">
        <v>45000</v>
      </c>
      <c r="S143" s="13">
        <v>46800</v>
      </c>
      <c r="T143" s="14"/>
      <c r="U143" s="14"/>
      <c r="V143" s="15"/>
      <c r="W143" s="150" t="s">
        <v>1531</v>
      </c>
    </row>
    <row r="144" spans="1:23">
      <c r="A144" s="116" t="s">
        <v>475</v>
      </c>
      <c r="B144" s="55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2">
        <f t="shared" si="6"/>
        <v>5</v>
      </c>
      <c r="O144" s="9"/>
      <c r="P144" s="174"/>
      <c r="Q144" s="56">
        <v>37998.245000000003</v>
      </c>
      <c r="R144" s="57">
        <v>36858.29765</v>
      </c>
      <c r="S144" s="13">
        <v>38332.629556</v>
      </c>
      <c r="T144" s="14"/>
      <c r="U144" s="14"/>
      <c r="V144" s="15"/>
      <c r="W144" s="150" t="s">
        <v>1531</v>
      </c>
    </row>
    <row r="145" spans="1:23">
      <c r="A145" s="61" t="s">
        <v>138</v>
      </c>
      <c r="B145" s="55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2">
        <f t="shared" si="6"/>
        <v>1</v>
      </c>
      <c r="O145" s="9"/>
      <c r="P145" s="174"/>
      <c r="Q145" s="107" t="s">
        <v>1335</v>
      </c>
      <c r="R145" s="20">
        <v>20000</v>
      </c>
      <c r="S145" s="13">
        <v>20800</v>
      </c>
      <c r="T145" s="14"/>
      <c r="U145" s="14"/>
      <c r="V145" s="152">
        <v>500</v>
      </c>
    </row>
    <row r="146" spans="1:23">
      <c r="A146" s="61" t="s">
        <v>137</v>
      </c>
      <c r="B146" s="55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>
        <v>1</v>
      </c>
      <c r="L146" s="10"/>
      <c r="M146" s="11"/>
      <c r="N146" s="12">
        <f t="shared" si="6"/>
        <v>3</v>
      </c>
      <c r="O146" s="9"/>
      <c r="P146" s="174"/>
      <c r="Q146" s="107" t="s">
        <v>1335</v>
      </c>
      <c r="R146" s="20">
        <v>20000</v>
      </c>
      <c r="S146" s="13">
        <v>20800</v>
      </c>
      <c r="T146" s="14"/>
      <c r="U146" s="109">
        <v>2164.92</v>
      </c>
      <c r="V146" s="15">
        <v>250</v>
      </c>
    </row>
    <row r="147" spans="1:23">
      <c r="A147" s="61" t="s">
        <v>141</v>
      </c>
      <c r="B147" s="55" t="str">
        <f>IFERROR(HYPERLINK(VLOOKUP(A147,ÜRÜNLER!A:C,3,FALSE),VLOOKUP(A147,ÜRÜNLER!A:B,2,FALSE)),"")</f>
        <v>iQ300 Yarı Ankastre Bulaşık Makinesi, Siyah/Inox</v>
      </c>
      <c r="C147" s="8">
        <v>8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12">
        <f t="shared" si="6"/>
        <v>9</v>
      </c>
      <c r="O147" s="9">
        <v>1</v>
      </c>
      <c r="P147" s="174"/>
      <c r="Q147" s="56">
        <v>28588.727985308848</v>
      </c>
      <c r="R147" s="57">
        <v>27731.066145749581</v>
      </c>
      <c r="S147" s="13">
        <v>28840.308791579562</v>
      </c>
      <c r="T147" s="14"/>
      <c r="U147" s="14"/>
      <c r="V147" s="15"/>
    </row>
    <row r="148" spans="1:23">
      <c r="A148" s="62" t="s">
        <v>139</v>
      </c>
      <c r="B148" s="55" t="str">
        <f>IFERROR(HYPERLINK(VLOOKUP(A148,ÜRÜNLER!A:C,3,FALSE),VLOOKUP(A148,ÜRÜNLER!A:B,2,FALSE)),"")</f>
        <v>iQ500 Yarı Ankastre Bulaşık Makinesi, Üstten Sepetli, Inox</v>
      </c>
      <c r="C148" s="8">
        <v>11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12">
        <f t="shared" si="6"/>
        <v>14</v>
      </c>
      <c r="O148" s="9">
        <v>1</v>
      </c>
      <c r="P148" s="174"/>
      <c r="Q148" s="56">
        <v>29936.370916640401</v>
      </c>
      <c r="R148" s="27">
        <v>29936.370916640401</v>
      </c>
      <c r="S148" s="13">
        <v>31133.825753306017</v>
      </c>
      <c r="T148" s="14"/>
      <c r="U148" s="14"/>
      <c r="V148" s="15"/>
    </row>
    <row r="149" spans="1:23">
      <c r="A149" s="61" t="s">
        <v>140</v>
      </c>
      <c r="B149" s="55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12">
        <f t="shared" si="6"/>
        <v>6</v>
      </c>
      <c r="O149" s="9"/>
      <c r="P149" s="174"/>
      <c r="Q149" s="107" t="s">
        <v>1335</v>
      </c>
      <c r="R149" s="49">
        <v>27756.046587678491</v>
      </c>
      <c r="S149" s="13">
        <v>28866.288451185632</v>
      </c>
      <c r="T149" s="14"/>
      <c r="U149" s="14"/>
      <c r="V149" s="15"/>
    </row>
    <row r="150" spans="1:23">
      <c r="A150" s="70" t="s">
        <v>143</v>
      </c>
      <c r="B150" s="55" t="str">
        <f>IFERROR(HYPERLINK(VLOOKUP(A150,ÜRÜNLER!A:C,3,FALSE),VLOOKUP(A150,ÜRÜNLER!A:B,2,FALSE)),"")</f>
        <v>iQ500 Yarı Ankastre Bulaşık Makinesi, autoOpen dry, Siyah/Inox</v>
      </c>
      <c r="C150" s="8">
        <v>9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12">
        <f t="shared" si="6"/>
        <v>12</v>
      </c>
      <c r="O150" s="9">
        <v>1</v>
      </c>
      <c r="P150" s="174"/>
      <c r="Q150" s="56">
        <v>49177.972938448722</v>
      </c>
      <c r="R150" s="57">
        <v>47702.633750295259</v>
      </c>
      <c r="S150" s="13">
        <v>49610.739100307066</v>
      </c>
      <c r="T150" s="14"/>
      <c r="U150" s="14"/>
      <c r="V150" s="15"/>
      <c r="W150" s="112" t="s">
        <v>1531</v>
      </c>
    </row>
    <row r="151" spans="1:23">
      <c r="A151" s="61" t="s">
        <v>144</v>
      </c>
      <c r="B151" s="55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12">
        <f t="shared" si="6"/>
        <v>2</v>
      </c>
      <c r="O151" s="9"/>
      <c r="P151" s="174"/>
      <c r="Q151" s="107" t="s">
        <v>1335</v>
      </c>
      <c r="R151" s="187">
        <v>50000</v>
      </c>
      <c r="S151" s="160">
        <v>52000</v>
      </c>
      <c r="T151" s="14"/>
      <c r="U151" s="14"/>
      <c r="V151" s="152">
        <v>500</v>
      </c>
    </row>
    <row r="152" spans="1:23">
      <c r="A152" s="70" t="s">
        <v>145</v>
      </c>
      <c r="B152" s="55" t="str">
        <f>IFERROR(HYPERLINK(VLOOKUP(A152,ÜRÜNLER!A:C,3,FALSE),VLOOKUP(A152,ÜRÜNLER!A:B,2,FALSE)),"")</f>
        <v>iQ700 Yarı Ankastre Bulaşık Makinesi, Zeolith dry, Siyah/Inox</v>
      </c>
      <c r="C152" s="8"/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2">
        <f t="shared" si="6"/>
        <v>0</v>
      </c>
      <c r="O152" s="9">
        <v>3</v>
      </c>
      <c r="P152" s="174"/>
      <c r="Q152" s="56">
        <v>61008.414560923433</v>
      </c>
      <c r="R152" s="27">
        <v>61008.414560923433</v>
      </c>
      <c r="S152" s="13">
        <v>63448.751143360372</v>
      </c>
      <c r="T152" s="14"/>
      <c r="U152" s="14"/>
      <c r="V152" s="15"/>
      <c r="W152" s="112" t="s">
        <v>1531</v>
      </c>
    </row>
    <row r="153" spans="1:23">
      <c r="A153" s="61" t="s">
        <v>146</v>
      </c>
      <c r="B153" s="55" t="str">
        <f>IFERROR(HYPERLINK(VLOOKUP(A153,ÜRÜNLER!A:C,3,FALSE),VLOOKUP(A153,ÜRÜNLER!A:B,2,FALSE)),"")</f>
        <v>iQ100 Tam Ankastre Bulaşık Makinesi</v>
      </c>
      <c r="C153" s="8">
        <v>3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2">
        <f t="shared" si="6"/>
        <v>4</v>
      </c>
      <c r="O153" s="9">
        <v>6</v>
      </c>
      <c r="P153" s="174"/>
      <c r="Q153" s="56">
        <v>29673.468489583334</v>
      </c>
      <c r="R153" s="27">
        <v>29673.468489583334</v>
      </c>
      <c r="S153" s="13">
        <v>30860.407229166667</v>
      </c>
      <c r="T153" s="14"/>
      <c r="U153" s="14"/>
      <c r="V153" s="15"/>
    </row>
    <row r="154" spans="1:23">
      <c r="A154" s="62" t="s">
        <v>147</v>
      </c>
      <c r="B154" s="55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12">
        <f t="shared" si="6"/>
        <v>2</v>
      </c>
      <c r="O154" s="9"/>
      <c r="P154" s="174"/>
      <c r="Q154" s="107" t="s">
        <v>1335</v>
      </c>
      <c r="R154" s="20">
        <v>27000</v>
      </c>
      <c r="S154" s="13">
        <v>28080</v>
      </c>
      <c r="T154" s="14"/>
      <c r="U154" s="14"/>
      <c r="V154" s="15">
        <v>250</v>
      </c>
    </row>
    <row r="155" spans="1:23">
      <c r="A155" s="59" t="s">
        <v>148</v>
      </c>
      <c r="B155" s="55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2">
        <f t="shared" si="6"/>
        <v>1</v>
      </c>
      <c r="O155" s="9"/>
      <c r="P155" s="174"/>
      <c r="Q155" s="107" t="s">
        <v>1335</v>
      </c>
      <c r="R155" s="57">
        <v>40000</v>
      </c>
      <c r="S155" s="13">
        <v>41600</v>
      </c>
      <c r="T155" s="14"/>
      <c r="U155" s="14"/>
      <c r="V155" s="15"/>
      <c r="W155" s="112" t="s">
        <v>1531</v>
      </c>
    </row>
    <row r="156" spans="1:23">
      <c r="A156" s="62" t="s">
        <v>151</v>
      </c>
      <c r="B156" s="55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12">
        <f t="shared" si="6"/>
        <v>4</v>
      </c>
      <c r="O156" s="9"/>
      <c r="P156" s="174"/>
      <c r="Q156" s="107" t="s">
        <v>1335</v>
      </c>
      <c r="R156" s="26">
        <v>71200</v>
      </c>
      <c r="S156" s="13">
        <v>74048</v>
      </c>
      <c r="T156" s="14"/>
      <c r="U156" s="14"/>
      <c r="V156" s="15">
        <v>500</v>
      </c>
    </row>
    <row r="157" spans="1:23">
      <c r="A157" s="62" t="s">
        <v>150</v>
      </c>
      <c r="B157" s="55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12">
        <f t="shared" si="6"/>
        <v>3</v>
      </c>
      <c r="O157" s="9"/>
      <c r="P157" s="174"/>
      <c r="Q157" s="56">
        <v>93781.326431238573</v>
      </c>
      <c r="R157" s="26">
        <v>87216.633581051865</v>
      </c>
      <c r="S157" s="13">
        <v>90705.298924293937</v>
      </c>
      <c r="T157" s="14"/>
      <c r="U157" s="14"/>
      <c r="V157" s="15">
        <v>500</v>
      </c>
    </row>
    <row r="158" spans="1:23">
      <c r="A158" s="62" t="s">
        <v>1540</v>
      </c>
      <c r="B158" s="55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2">
        <f t="shared" si="6"/>
        <v>0</v>
      </c>
      <c r="O158" s="9"/>
      <c r="P158" s="174"/>
      <c r="Q158" s="56">
        <v>80195.394746367354</v>
      </c>
      <c r="R158" s="26">
        <v>74581.717114121639</v>
      </c>
      <c r="S158" s="13">
        <v>77564.98579868651</v>
      </c>
      <c r="T158" s="14"/>
      <c r="U158" s="14"/>
      <c r="V158" s="15"/>
    </row>
    <row r="159" spans="1:23">
      <c r="A159" s="62" t="s">
        <v>152</v>
      </c>
      <c r="B159" s="55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12">
        <f t="shared" si="6"/>
        <v>1</v>
      </c>
      <c r="O159" s="9"/>
      <c r="P159" s="174"/>
      <c r="Q159" s="107" t="s">
        <v>1335</v>
      </c>
      <c r="R159" s="52">
        <v>47500</v>
      </c>
      <c r="S159" s="160">
        <v>49400</v>
      </c>
      <c r="T159" s="14"/>
      <c r="U159" s="14"/>
      <c r="V159" s="152">
        <v>500</v>
      </c>
      <c r="W159" s="112" t="s">
        <v>1531</v>
      </c>
    </row>
    <row r="160" spans="1:23">
      <c r="A160" s="62" t="s">
        <v>1495</v>
      </c>
      <c r="B160" s="55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12">
        <f t="shared" si="6"/>
        <v>11</v>
      </c>
      <c r="O160" s="9"/>
      <c r="P160" s="174"/>
      <c r="Q160" s="107"/>
      <c r="R160" s="49">
        <v>1250</v>
      </c>
      <c r="S160" s="13">
        <v>1300</v>
      </c>
      <c r="T160" s="14"/>
      <c r="U160" s="14"/>
      <c r="V160" s="15"/>
      <c r="W160" s="112"/>
    </row>
    <row r="161" spans="1:23" s="34" customFormat="1" ht="30">
      <c r="A161" s="71" t="s">
        <v>153</v>
      </c>
      <c r="B161" s="55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2">
        <f>SUM(N143:N160)</f>
        <v>83</v>
      </c>
      <c r="O161" s="9"/>
      <c r="P161" s="174"/>
      <c r="Q161" s="107"/>
      <c r="R161" s="15"/>
      <c r="S161" s="13"/>
      <c r="T161" s="14"/>
      <c r="U161" s="14"/>
      <c r="V161" s="15"/>
      <c r="W161" s="111"/>
    </row>
    <row r="162" spans="1:23">
      <c r="A162" s="74" t="s">
        <v>199</v>
      </c>
      <c r="B162" s="55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12">
        <f t="shared" ref="N162:N211" si="7">M162+L162+K162+J162+I162+H162+G162+F162+E162+D162+C162</f>
        <v>1</v>
      </c>
      <c r="O162" s="9"/>
      <c r="P162" s="174"/>
      <c r="Q162" s="107" t="s">
        <v>1335</v>
      </c>
      <c r="R162" s="51">
        <v>70000</v>
      </c>
      <c r="S162" s="160">
        <v>72800</v>
      </c>
      <c r="T162" s="14"/>
      <c r="U162" s="14"/>
      <c r="V162" s="188">
        <v>1000</v>
      </c>
    </row>
    <row r="163" spans="1:23">
      <c r="A163" s="74" t="s">
        <v>200</v>
      </c>
      <c r="B163" s="55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2">
        <f t="shared" si="7"/>
        <v>4</v>
      </c>
      <c r="O163" s="9"/>
      <c r="P163" s="174"/>
      <c r="Q163" s="56">
        <v>74779.031991813987</v>
      </c>
      <c r="R163" s="57">
        <v>72535.661032059565</v>
      </c>
      <c r="S163" s="13">
        <v>75437.087473341948</v>
      </c>
      <c r="T163" s="14"/>
      <c r="U163" s="14"/>
      <c r="V163" s="15"/>
    </row>
    <row r="164" spans="1:23">
      <c r="A164" s="61" t="s">
        <v>198</v>
      </c>
      <c r="B164" s="55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12">
        <f t="shared" si="7"/>
        <v>2</v>
      </c>
      <c r="O164" s="9"/>
      <c r="P164" s="174"/>
      <c r="Q164" s="56">
        <v>167526.85277372078</v>
      </c>
      <c r="R164" s="26">
        <v>155799.97307956032</v>
      </c>
      <c r="S164" s="13">
        <v>162031.97200274272</v>
      </c>
      <c r="T164" s="14"/>
      <c r="U164" s="14"/>
      <c r="V164" s="15">
        <v>500</v>
      </c>
    </row>
    <row r="165" spans="1:23">
      <c r="A165" s="61" t="s">
        <v>201</v>
      </c>
      <c r="B165" s="55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12">
        <f t="shared" si="7"/>
        <v>4</v>
      </c>
      <c r="O165" s="9"/>
      <c r="P165" s="174"/>
      <c r="Q165" s="107" t="s">
        <v>1335</v>
      </c>
      <c r="R165" s="26">
        <v>130000</v>
      </c>
      <c r="S165" s="13">
        <v>135200</v>
      </c>
      <c r="T165" s="14"/>
      <c r="U165" s="14"/>
      <c r="V165" s="15">
        <v>500</v>
      </c>
    </row>
    <row r="166" spans="1:23">
      <c r="A166" s="61" t="s">
        <v>165</v>
      </c>
      <c r="B166" s="55" t="str">
        <f>IFERROR(HYPERLINK(VLOOKUP(A166,ÜRÜNLER!A:C,3,FALSE),VLOOKUP(A166,ÜRÜNLER!A:B,2,FALSE)),"")</f>
        <v>iQ100 Ankastre Fırın, Siyah</v>
      </c>
      <c r="C166" s="8">
        <v>14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2">
        <f t="shared" si="7"/>
        <v>14</v>
      </c>
      <c r="O166" s="9">
        <v>1</v>
      </c>
      <c r="P166" s="179"/>
      <c r="Q166" s="56">
        <v>18525.084844775789</v>
      </c>
      <c r="R166" s="57">
        <v>17969.332299432514</v>
      </c>
      <c r="S166" s="13">
        <v>18688.105591409814</v>
      </c>
      <c r="T166" s="14"/>
      <c r="U166" s="14"/>
      <c r="V166" s="15"/>
    </row>
    <row r="167" spans="1:23">
      <c r="A167" s="73" t="s">
        <v>166</v>
      </c>
      <c r="B167" s="55" t="str">
        <f>IFERROR(HYPERLINK(VLOOKUP(A167,ÜRÜNLER!A:C,3,FALSE),VLOOKUP(A167,ÜRÜNLER!A:B,2,FALSE)),"")</f>
        <v>iQ100 Ankastre Fırın, Antrasit</v>
      </c>
      <c r="C167" s="8">
        <v>44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12">
        <f t="shared" si="7"/>
        <v>46</v>
      </c>
      <c r="O167" s="9">
        <v>1</v>
      </c>
      <c r="P167" s="179"/>
      <c r="Q167" s="56">
        <v>18525.084844775789</v>
      </c>
      <c r="R167" s="51">
        <v>17598.830602537</v>
      </c>
      <c r="S167" s="160">
        <v>18302.783826638479</v>
      </c>
      <c r="T167" s="14"/>
      <c r="U167" s="14"/>
      <c r="V167" s="15"/>
    </row>
    <row r="168" spans="1:23">
      <c r="A168" s="61" t="s">
        <v>167</v>
      </c>
      <c r="B168" s="55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12">
        <f t="shared" si="7"/>
        <v>26</v>
      </c>
      <c r="O168" s="9">
        <v>1</v>
      </c>
      <c r="P168" s="179"/>
      <c r="Q168" s="56">
        <v>18525.084844775789</v>
      </c>
      <c r="R168" s="57">
        <v>17969.332299432514</v>
      </c>
      <c r="S168" s="13">
        <v>18688.105591409814</v>
      </c>
      <c r="T168" s="14"/>
      <c r="U168" s="14"/>
      <c r="V168" s="15"/>
    </row>
    <row r="169" spans="1:23">
      <c r="A169" s="62" t="s">
        <v>1349</v>
      </c>
      <c r="B169" s="55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12">
        <f t="shared" si="7"/>
        <v>1</v>
      </c>
      <c r="O169" s="9"/>
      <c r="P169" s="174"/>
      <c r="Q169" s="107" t="s">
        <v>1335</v>
      </c>
      <c r="R169" s="20">
        <v>17000</v>
      </c>
      <c r="S169" s="13">
        <v>17680</v>
      </c>
      <c r="T169" s="14"/>
      <c r="U169" s="109">
        <v>2813.96</v>
      </c>
      <c r="V169" s="152">
        <v>500</v>
      </c>
      <c r="W169" s="112"/>
    </row>
    <row r="170" spans="1:23">
      <c r="A170" s="72" t="s">
        <v>169</v>
      </c>
      <c r="B170" s="55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2">
        <f t="shared" si="7"/>
        <v>1</v>
      </c>
      <c r="O170" s="9"/>
      <c r="P170" s="174"/>
      <c r="Q170" s="107" t="s">
        <v>1335</v>
      </c>
      <c r="R170" s="20">
        <v>16000</v>
      </c>
      <c r="S170" s="13">
        <v>16640</v>
      </c>
      <c r="T170" s="14"/>
      <c r="U170" s="14"/>
      <c r="V170" s="152">
        <v>500</v>
      </c>
    </row>
    <row r="171" spans="1:23">
      <c r="A171" s="62" t="s">
        <v>1350</v>
      </c>
      <c r="B171" s="55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/>
      <c r="J171" s="11"/>
      <c r="K171" s="10">
        <v>1</v>
      </c>
      <c r="L171" s="10"/>
      <c r="M171" s="11"/>
      <c r="N171" s="12">
        <f t="shared" si="7"/>
        <v>1</v>
      </c>
      <c r="O171" s="9"/>
      <c r="P171" s="174"/>
      <c r="Q171" s="107" t="s">
        <v>1335</v>
      </c>
      <c r="R171" s="20">
        <v>17000</v>
      </c>
      <c r="S171" s="13">
        <v>17680</v>
      </c>
      <c r="T171" s="14"/>
      <c r="U171" s="109">
        <v>4063.39</v>
      </c>
      <c r="V171" s="152">
        <v>500</v>
      </c>
      <c r="W171" s="112"/>
    </row>
    <row r="172" spans="1:23">
      <c r="A172" s="61" t="s">
        <v>1327</v>
      </c>
      <c r="B172" s="55" t="str">
        <f>IFERROR(HYPERLINK(VLOOKUP(A172,ÜRÜNLER!A:C,3,FALSE),VLOOKUP(A172,ÜRÜNLER!A:B,2,FALSE)),"")</f>
        <v>iQ300 Ankastre Fırın, Beyaz</v>
      </c>
      <c r="C172" s="8"/>
      <c r="D172" s="8"/>
      <c r="E172" s="9"/>
      <c r="F172" s="9"/>
      <c r="G172" s="10"/>
      <c r="H172" s="10"/>
      <c r="I172" s="11">
        <v>1</v>
      </c>
      <c r="J172" s="11"/>
      <c r="K172" s="10"/>
      <c r="L172" s="10"/>
      <c r="M172" s="11"/>
      <c r="N172" s="12">
        <f t="shared" si="7"/>
        <v>1</v>
      </c>
      <c r="O172" s="9"/>
      <c r="P172" s="174"/>
      <c r="Q172" s="107" t="s">
        <v>1335</v>
      </c>
      <c r="R172" s="20">
        <v>16000</v>
      </c>
      <c r="S172" s="13">
        <v>16640</v>
      </c>
      <c r="T172" s="14"/>
      <c r="U172" s="109">
        <v>4063.39</v>
      </c>
      <c r="V172" s="15">
        <v>250</v>
      </c>
    </row>
    <row r="173" spans="1:23">
      <c r="A173" s="73" t="s">
        <v>171</v>
      </c>
      <c r="B173" s="55" t="str">
        <f>IFERROR(HYPERLINK(VLOOKUP(A173,ÜRÜNLER!A:C,3,FALSE),VLOOKUP(A173,ÜRÜNLER!A:B,2,FALSE)),"")</f>
        <v>iQ300 Ankastre Fırın, 1 Teleskopik Ray, Arkası Kendini Temizler, Antrasit</v>
      </c>
      <c r="C173" s="8"/>
      <c r="D173" s="8"/>
      <c r="E173" s="9"/>
      <c r="F173" s="9"/>
      <c r="G173" s="10">
        <v>1</v>
      </c>
      <c r="H173" s="10"/>
      <c r="I173" s="11">
        <v>1</v>
      </c>
      <c r="J173" s="11"/>
      <c r="K173" s="10"/>
      <c r="L173" s="10"/>
      <c r="M173" s="11"/>
      <c r="N173" s="12">
        <f t="shared" si="7"/>
        <v>2</v>
      </c>
      <c r="O173" s="9"/>
      <c r="P173" s="174"/>
      <c r="Q173" s="107" t="s">
        <v>1335</v>
      </c>
      <c r="R173" s="20">
        <v>16000</v>
      </c>
      <c r="S173" s="13">
        <v>16640</v>
      </c>
      <c r="T173" s="14"/>
      <c r="U173" s="14"/>
      <c r="V173" s="15"/>
    </row>
    <row r="174" spans="1:23">
      <c r="A174" s="73" t="s">
        <v>172</v>
      </c>
      <c r="B174" s="55" t="str">
        <f>IFERROR(HYPERLINK(VLOOKUP(A174,ÜRÜNLER!A:C,3,FALSE),VLOOKUP(A174,ÜRÜNLER!A:B,2,FALSE)),"")</f>
        <v>iQ300 Ankastre Fırın, 1 Teleskopik Ray, Arkası Kendini Temizler, Gri</v>
      </c>
      <c r="C174" s="8"/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>
        <v>1</v>
      </c>
      <c r="N174" s="12">
        <f t="shared" si="7"/>
        <v>2</v>
      </c>
      <c r="O174" s="9"/>
      <c r="P174" s="174"/>
      <c r="Q174" s="107" t="s">
        <v>1335</v>
      </c>
      <c r="R174" s="20">
        <v>20000</v>
      </c>
      <c r="S174" s="13">
        <v>20800</v>
      </c>
      <c r="T174" s="14"/>
      <c r="U174" s="109">
        <v>3115.14</v>
      </c>
      <c r="V174" s="15">
        <v>250</v>
      </c>
    </row>
    <row r="175" spans="1:23">
      <c r="A175" s="70" t="s">
        <v>173</v>
      </c>
      <c r="B175" s="55" t="str">
        <f>IFERROR(HYPERLINK(VLOOKUP(A175,ÜRÜNLER!A:C,3,FALSE),VLOOKUP(A175,ÜRÜNLER!A:B,2,FALSE)),"")</f>
        <v>iQ500 Ankastre Fırın, 1 Teleskopik Ray, Arkası Kendini Temizler, darkSteel Line</v>
      </c>
      <c r="C175" s="8">
        <v>1</v>
      </c>
      <c r="D175" s="8"/>
      <c r="E175" s="9"/>
      <c r="F175" s="9"/>
      <c r="G175" s="10"/>
      <c r="H175" s="10"/>
      <c r="I175" s="11">
        <v>1</v>
      </c>
      <c r="J175" s="11"/>
      <c r="K175" s="10"/>
      <c r="L175" s="10"/>
      <c r="M175" s="11"/>
      <c r="N175" s="12">
        <f t="shared" si="7"/>
        <v>2</v>
      </c>
      <c r="O175" s="9"/>
      <c r="P175" s="174"/>
      <c r="Q175" s="107" t="s">
        <v>1335</v>
      </c>
      <c r="R175" s="20">
        <v>20000</v>
      </c>
      <c r="S175" s="13">
        <v>20800</v>
      </c>
      <c r="T175" s="14"/>
      <c r="U175" s="14"/>
      <c r="V175" s="15"/>
    </row>
    <row r="176" spans="1:23">
      <c r="A176" s="70" t="s">
        <v>174</v>
      </c>
      <c r="B176" s="55" t="str">
        <f>IFERROR(HYPERLINK(VLOOKUP(A176,ÜRÜNLER!A:C,3,FALSE),VLOOKUP(A176,ÜRÜNLER!A:B,2,FALSE)),"")</f>
        <v>iQ500 studioLine Ankastre Fırın, 1 Teleskopik Ray, Komple Kendini Temizler, Siyah</v>
      </c>
      <c r="C176" s="8"/>
      <c r="D176" s="8">
        <v>2</v>
      </c>
      <c r="E176" s="9"/>
      <c r="F176" s="9"/>
      <c r="G176" s="10"/>
      <c r="H176" s="10">
        <v>1</v>
      </c>
      <c r="I176" s="11"/>
      <c r="J176" s="11"/>
      <c r="K176" s="10"/>
      <c r="L176" s="10"/>
      <c r="M176" s="11"/>
      <c r="N176" s="12">
        <f t="shared" si="7"/>
        <v>3</v>
      </c>
      <c r="O176" s="9"/>
      <c r="P176" s="174"/>
      <c r="Q176" s="107" t="s">
        <v>1335</v>
      </c>
      <c r="R176" s="20">
        <v>90000</v>
      </c>
      <c r="S176" s="13">
        <v>93600</v>
      </c>
      <c r="T176" s="14"/>
      <c r="U176" s="14"/>
      <c r="V176" s="152">
        <v>500</v>
      </c>
    </row>
    <row r="177" spans="1:23">
      <c r="A177" s="62" t="s">
        <v>1023</v>
      </c>
      <c r="B177" s="55" t="str">
        <f>IFERROR(HYPERLINK(VLOOKUP(A177,ÜRÜNLER!A:C,3,FALSE),VLOOKUP(A177,ÜRÜNLER!A:B,2,FALSE)),"")</f>
        <v>iQ300 Ankastre Fırın, Titanyum Gri</v>
      </c>
      <c r="C177" s="8"/>
      <c r="D177" s="8"/>
      <c r="E177" s="9">
        <v>1</v>
      </c>
      <c r="F177" s="9"/>
      <c r="G177" s="10"/>
      <c r="H177" s="10"/>
      <c r="I177" s="11"/>
      <c r="J177" s="11"/>
      <c r="K177" s="10">
        <v>1</v>
      </c>
      <c r="L177" s="10"/>
      <c r="M177" s="11"/>
      <c r="N177" s="12">
        <f t="shared" si="7"/>
        <v>2</v>
      </c>
      <c r="O177" s="9"/>
      <c r="P177" s="174"/>
      <c r="Q177" s="107" t="s">
        <v>1335</v>
      </c>
      <c r="R177" s="20">
        <v>19000</v>
      </c>
      <c r="S177" s="13">
        <v>19760</v>
      </c>
      <c r="T177" s="14"/>
      <c r="U177" s="109">
        <v>1497.55</v>
      </c>
      <c r="V177" s="152">
        <v>500</v>
      </c>
      <c r="W177" s="112"/>
    </row>
    <row r="178" spans="1:23">
      <c r="A178" s="62" t="s">
        <v>176</v>
      </c>
      <c r="B178" s="55" t="str">
        <f>IFERROR(HYPERLINK(VLOOKUP(A178,ÜRÜNLER!A:C,3,FALSE),VLOOKUP(A178,ÜRÜNLER!A:B,2,FALSE)),"")</f>
        <v>iQ300 Ankastre Fırın, Siyah/Inox</v>
      </c>
      <c r="C178" s="8"/>
      <c r="D178" s="8"/>
      <c r="E178" s="9"/>
      <c r="F178" s="9"/>
      <c r="G178" s="10"/>
      <c r="H178" s="10"/>
      <c r="I178" s="11">
        <v>1</v>
      </c>
      <c r="J178" s="11"/>
      <c r="K178" s="10"/>
      <c r="L178" s="10"/>
      <c r="M178" s="11"/>
      <c r="N178" s="12">
        <f t="shared" si="7"/>
        <v>1</v>
      </c>
      <c r="O178" s="9"/>
      <c r="P178" s="174"/>
      <c r="Q178" s="107" t="s">
        <v>1335</v>
      </c>
      <c r="R178" s="20">
        <v>19000</v>
      </c>
      <c r="S178" s="13">
        <v>19760</v>
      </c>
      <c r="T178" s="14"/>
      <c r="U178" s="109">
        <v>3692.27</v>
      </c>
      <c r="V178" s="152">
        <v>500</v>
      </c>
    </row>
    <row r="179" spans="1:23">
      <c r="A179" s="70" t="s">
        <v>177</v>
      </c>
      <c r="B179" s="55" t="str">
        <f>IFERROR(HYPERLINK(VLOOKUP(A179,ÜRÜNLER!A:C,3,FALSE),VLOOKUP(A179,ÜRÜNLER!A:B,2,FALSE)),"")</f>
        <v>iQ300 Ankastre Fırın, 1 Teleskopik Ray, Arkası Kendini Temizler, Siyah/Inox</v>
      </c>
      <c r="C179" s="8"/>
      <c r="D179" s="8"/>
      <c r="E179" s="9">
        <v>1</v>
      </c>
      <c r="F179" s="9"/>
      <c r="G179" s="10"/>
      <c r="H179" s="10"/>
      <c r="I179" s="11">
        <v>1</v>
      </c>
      <c r="J179" s="11"/>
      <c r="K179" s="10">
        <v>1</v>
      </c>
      <c r="L179" s="10"/>
      <c r="M179" s="11">
        <v>1</v>
      </c>
      <c r="N179" s="12">
        <f t="shared" si="7"/>
        <v>4</v>
      </c>
      <c r="O179" s="9"/>
      <c r="P179" s="174"/>
      <c r="Q179" s="107" t="s">
        <v>1335</v>
      </c>
      <c r="R179" s="20">
        <v>18000</v>
      </c>
      <c r="S179" s="13">
        <v>18720</v>
      </c>
      <c r="T179" s="14"/>
      <c r="U179" s="109">
        <v>1656.58</v>
      </c>
      <c r="V179" s="15">
        <v>250</v>
      </c>
    </row>
    <row r="180" spans="1:23">
      <c r="A180" s="70" t="s">
        <v>178</v>
      </c>
      <c r="B180" s="55" t="str">
        <f>IFERROR(HYPERLINK(VLOOKUP(A180,ÜRÜNLER!A:C,3,FALSE),VLOOKUP(A180,ÜRÜNLER!A:B,2,FALSE)),"")</f>
        <v>iQ500 Ankastre Fırın, 1 Teleskopik Ray, Komple Kendini Temizler, Siyah</v>
      </c>
      <c r="C180" s="8">
        <v>10</v>
      </c>
      <c r="D180" s="8"/>
      <c r="E180" s="9"/>
      <c r="F180" s="9"/>
      <c r="G180" s="10"/>
      <c r="H180" s="10"/>
      <c r="I180" s="11"/>
      <c r="J180" s="11">
        <v>1</v>
      </c>
      <c r="K180" s="10"/>
      <c r="L180" s="10"/>
      <c r="M180" s="11"/>
      <c r="N180" s="12">
        <f t="shared" si="7"/>
        <v>11</v>
      </c>
      <c r="O180" s="9">
        <v>1</v>
      </c>
      <c r="P180" s="174"/>
      <c r="Q180" s="56">
        <v>29569.198741665063</v>
      </c>
      <c r="R180" s="51">
        <v>28090.738804581808</v>
      </c>
      <c r="S180" s="13">
        <v>29214.368356765081</v>
      </c>
      <c r="T180" s="14"/>
      <c r="U180" s="14"/>
      <c r="V180" s="15"/>
    </row>
    <row r="181" spans="1:23">
      <c r="A181" s="73" t="s">
        <v>179</v>
      </c>
      <c r="B181" s="55" t="str">
        <f>IFERROR(HYPERLINK(VLOOKUP(A181,ÜRÜNLER!A:C,3,FALSE),VLOOKUP(A181,ÜRÜNLER!A:B,2,FALSE)),"")</f>
        <v>iQ500 Ankastre Fırın, 2 Teleskopik Ray, Komple Kendini Temizler, Titanyum Gri</v>
      </c>
      <c r="C181" s="8"/>
      <c r="D181" s="8"/>
      <c r="E181" s="9">
        <v>2</v>
      </c>
      <c r="F181" s="9"/>
      <c r="G181" s="10"/>
      <c r="H181" s="10"/>
      <c r="I181" s="11"/>
      <c r="J181" s="11"/>
      <c r="K181" s="10">
        <v>1</v>
      </c>
      <c r="L181" s="10"/>
      <c r="M181" s="11"/>
      <c r="N181" s="12">
        <f t="shared" si="7"/>
        <v>3</v>
      </c>
      <c r="O181" s="9"/>
      <c r="P181" s="174"/>
      <c r="Q181" s="107" t="s">
        <v>1335</v>
      </c>
      <c r="R181" s="20">
        <v>20000</v>
      </c>
      <c r="S181" s="13">
        <v>20800</v>
      </c>
      <c r="T181" s="14"/>
      <c r="U181" s="14"/>
      <c r="V181" s="152">
        <v>500</v>
      </c>
    </row>
    <row r="182" spans="1:23">
      <c r="A182" s="61" t="s">
        <v>180</v>
      </c>
      <c r="B182" s="55" t="str">
        <f>IFERROR(HYPERLINK(VLOOKUP(A182,ÜRÜNLER!A:C,3,FALSE),VLOOKUP(A182,ÜRÜNLER!A:B,2,FALSE)),"")</f>
        <v>iQ500 Ankastre Fırın, 2 Teleskopik Ray, Komple Kendini Temizler,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2">
        <f t="shared" si="7"/>
        <v>1</v>
      </c>
      <c r="O182" s="9"/>
      <c r="P182" s="174"/>
      <c r="Q182" s="107" t="s">
        <v>1335</v>
      </c>
      <c r="R182" s="20">
        <v>20000</v>
      </c>
      <c r="S182" s="13">
        <v>20800</v>
      </c>
      <c r="T182" s="14"/>
      <c r="U182" s="14"/>
      <c r="V182" s="152">
        <v>500</v>
      </c>
    </row>
    <row r="183" spans="1:23">
      <c r="A183" s="62" t="s">
        <v>1351</v>
      </c>
      <c r="B183" s="55" t="str">
        <f>IFERROR(HYPERLINK(VLOOKUP(A183,ÜRÜNLER!A:C,3,FALSE),VLOOKUP(A183,ÜRÜNLER!A:B,2,FALSE)),"")</f>
        <v>iQ700 Ankastre Fırın, Siyah</v>
      </c>
      <c r="C183" s="8"/>
      <c r="D183" s="8"/>
      <c r="E183" s="9"/>
      <c r="F183" s="9"/>
      <c r="G183" s="10"/>
      <c r="H183" s="10"/>
      <c r="I183" s="11"/>
      <c r="J183" s="11"/>
      <c r="K183" s="10">
        <v>1</v>
      </c>
      <c r="L183" s="10"/>
      <c r="M183" s="11"/>
      <c r="N183" s="12">
        <f t="shared" si="7"/>
        <v>1</v>
      </c>
      <c r="O183" s="9"/>
      <c r="P183" s="174"/>
      <c r="Q183" s="107" t="s">
        <v>1335</v>
      </c>
      <c r="R183" s="20">
        <v>45000</v>
      </c>
      <c r="S183" s="13">
        <v>46800</v>
      </c>
      <c r="T183" s="14"/>
      <c r="U183" s="14"/>
      <c r="V183" s="152">
        <v>500</v>
      </c>
      <c r="W183" s="112"/>
    </row>
    <row r="184" spans="1:23">
      <c r="A184" s="61" t="s">
        <v>183</v>
      </c>
      <c r="B184" s="55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2">
        <f t="shared" si="7"/>
        <v>1</v>
      </c>
      <c r="O184" s="9"/>
      <c r="P184" s="174"/>
      <c r="Q184" s="107" t="s">
        <v>1335</v>
      </c>
      <c r="R184" s="20">
        <v>40000</v>
      </c>
      <c r="S184" s="13">
        <v>41600</v>
      </c>
      <c r="T184" s="14"/>
      <c r="U184" s="14"/>
      <c r="V184" s="152">
        <v>500</v>
      </c>
    </row>
    <row r="185" spans="1:23">
      <c r="A185" s="62" t="s">
        <v>1352</v>
      </c>
      <c r="B185" s="55" t="str">
        <f>IFERROR(HYPERLINK(VLOOKUP(A185,ÜRÜNLER!A:C,3,FALSE),VLOOKUP(A185,ÜRÜNLER!A:B,2,FALSE)),"")</f>
        <v>iQ700 Ankastre Fırın, 1 Teleskopik Ray, Komple Kendini Temizler, Beyaz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2">
        <f t="shared" si="7"/>
        <v>1</v>
      </c>
      <c r="O185" s="9"/>
      <c r="P185" s="174"/>
      <c r="Q185" s="107" t="s">
        <v>1335</v>
      </c>
      <c r="R185" s="20">
        <v>45000</v>
      </c>
      <c r="S185" s="13">
        <v>46800</v>
      </c>
      <c r="T185" s="14"/>
      <c r="U185" s="14"/>
      <c r="V185" s="152">
        <v>500</v>
      </c>
      <c r="W185" s="112"/>
    </row>
    <row r="186" spans="1:23">
      <c r="A186" s="61" t="s">
        <v>184</v>
      </c>
      <c r="B186" s="55" t="str">
        <f>IFERROR(HYPERLINK(VLOOKUP(A186,ÜRÜNLER!A:C,3,FALSE),VLOOKUP(A186,ÜRÜNLER!A:B,2,FALSE)),"")</f>
        <v>iQ700 Ankastre Fırın, 3 Teleskopik Ray, Komple Kendini Temizler, Siyah/Inox</v>
      </c>
      <c r="C186" s="8"/>
      <c r="D186" s="8"/>
      <c r="E186" s="9"/>
      <c r="F186" s="9"/>
      <c r="G186" s="10"/>
      <c r="H186" s="10"/>
      <c r="I186" s="11"/>
      <c r="J186" s="11"/>
      <c r="K186" s="10">
        <v>1</v>
      </c>
      <c r="L186" s="10"/>
      <c r="M186" s="11"/>
      <c r="N186" s="12">
        <f t="shared" si="7"/>
        <v>1</v>
      </c>
      <c r="O186" s="9"/>
      <c r="P186" s="174"/>
      <c r="Q186" s="107" t="s">
        <v>1335</v>
      </c>
      <c r="R186" s="20">
        <v>35000</v>
      </c>
      <c r="S186" s="13">
        <v>36400</v>
      </c>
      <c r="T186" s="14"/>
      <c r="U186" s="14"/>
      <c r="V186" s="152">
        <v>500</v>
      </c>
    </row>
    <row r="187" spans="1:23">
      <c r="A187" s="61" t="s">
        <v>185</v>
      </c>
      <c r="B187" s="55" t="str">
        <f>IFERROR(HYPERLINK(VLOOKUP(A187,ÜRÜNLER!A:C,3,FALSE),VLOOKUP(A187,ÜRÜNLER!A:B,2,FALSE)),"")</f>
        <v>iQ700 Ankastre Fırın, Arkası Kendini Temizler, Siyah</v>
      </c>
      <c r="C187" s="8">
        <v>2</v>
      </c>
      <c r="D187" s="8"/>
      <c r="E187" s="9"/>
      <c r="F187" s="9"/>
      <c r="G187" s="10"/>
      <c r="H187" s="10"/>
      <c r="I187" s="11">
        <v>1</v>
      </c>
      <c r="J187" s="11">
        <v>1</v>
      </c>
      <c r="K187" s="10">
        <v>1</v>
      </c>
      <c r="L187" s="10"/>
      <c r="M187" s="11"/>
      <c r="N187" s="12">
        <f t="shared" si="7"/>
        <v>5</v>
      </c>
      <c r="O187" s="9">
        <v>1</v>
      </c>
      <c r="P187" s="174"/>
      <c r="Q187" s="56">
        <v>51267.480023788885</v>
      </c>
      <c r="R187" s="27">
        <v>51267.480023788885</v>
      </c>
      <c r="S187" s="13">
        <v>53318.179224740437</v>
      </c>
      <c r="T187" s="14"/>
      <c r="U187" s="14"/>
      <c r="V187" s="152">
        <v>500</v>
      </c>
    </row>
    <row r="188" spans="1:23">
      <c r="A188" s="61" t="s">
        <v>186</v>
      </c>
      <c r="B188" s="55" t="str">
        <f>IFERROR(HYPERLINK(VLOOKUP(A188,ÜRÜNLER!A:C,3,FALSE),VLOOKUP(A188,ÜRÜNLER!A:B,2,FALSE)),"")</f>
        <v>iQ700 Ankastre Fırın, Arkası Kendini Temizler, Beyaz</v>
      </c>
      <c r="C188" s="8">
        <v>5</v>
      </c>
      <c r="D188" s="8"/>
      <c r="E188" s="9"/>
      <c r="F188" s="9"/>
      <c r="G188" s="10"/>
      <c r="H188" s="10"/>
      <c r="I188" s="11"/>
      <c r="J188" s="11"/>
      <c r="K188" s="10"/>
      <c r="L188" s="10"/>
      <c r="M188" s="11"/>
      <c r="N188" s="12">
        <f t="shared" si="7"/>
        <v>5</v>
      </c>
      <c r="O188" s="9"/>
      <c r="P188" s="174"/>
      <c r="Q188" s="107" t="s">
        <v>1335</v>
      </c>
      <c r="R188" s="20">
        <v>60000</v>
      </c>
      <c r="S188" s="13">
        <v>62400</v>
      </c>
      <c r="T188" s="14"/>
      <c r="U188" s="14"/>
      <c r="V188" s="152">
        <v>500</v>
      </c>
    </row>
    <row r="189" spans="1:23">
      <c r="A189" s="70" t="s">
        <v>187</v>
      </c>
      <c r="B189" s="55" t="str">
        <f>IFERROR(HYPERLINK(VLOOKUP(A189,ÜRÜNLER!A:C,3,FALSE),VLOOKUP(A189,ÜRÜNLER!A:B,2,FALSE)),"")</f>
        <v>iQ700 Ankastre Fırın, Siyah</v>
      </c>
      <c r="C189" s="8">
        <v>2</v>
      </c>
      <c r="D189" s="8"/>
      <c r="E189" s="9"/>
      <c r="F189" s="9"/>
      <c r="G189" s="10"/>
      <c r="H189" s="10"/>
      <c r="I189" s="11"/>
      <c r="J189" s="11">
        <v>1</v>
      </c>
      <c r="K189" s="10"/>
      <c r="L189" s="10"/>
      <c r="M189" s="11">
        <v>1</v>
      </c>
      <c r="N189" s="12">
        <f t="shared" si="7"/>
        <v>4</v>
      </c>
      <c r="O189" s="9">
        <v>3</v>
      </c>
      <c r="P189" s="174"/>
      <c r="Q189" s="56">
        <v>65191.980770990776</v>
      </c>
      <c r="R189" s="27">
        <v>65191.980770990776</v>
      </c>
      <c r="S189" s="13">
        <v>67799.660001830402</v>
      </c>
      <c r="T189" s="14"/>
      <c r="U189" s="14"/>
      <c r="V189" s="152">
        <v>500</v>
      </c>
    </row>
    <row r="190" spans="1:23">
      <c r="A190" s="70" t="s">
        <v>188</v>
      </c>
      <c r="B190" s="55" t="str">
        <f>IFERROR(HYPERLINK(VLOOKUP(A190,ÜRÜNLER!A:C,3,FALSE),VLOOKUP(A190,ÜRÜNLER!A:B,2,FALSE)),"")</f>
        <v>iQ700 Ankastre Fırın, Komple Kendini Temizler, Siyah</v>
      </c>
      <c r="C190" s="8">
        <v>1</v>
      </c>
      <c r="D190" s="8"/>
      <c r="E190" s="9"/>
      <c r="F190" s="9"/>
      <c r="G190" s="10"/>
      <c r="H190" s="10"/>
      <c r="I190" s="11"/>
      <c r="J190" s="11"/>
      <c r="K190" s="10"/>
      <c r="L190" s="10"/>
      <c r="M190" s="11"/>
      <c r="N190" s="12">
        <f t="shared" si="7"/>
        <v>1</v>
      </c>
      <c r="O190" s="9">
        <v>4</v>
      </c>
      <c r="P190" s="174"/>
      <c r="Q190" s="56">
        <v>78398.449585086404</v>
      </c>
      <c r="R190" s="20">
        <v>78398.449585086404</v>
      </c>
      <c r="S190" s="13">
        <v>81534.387568489867</v>
      </c>
      <c r="T190" s="14"/>
      <c r="U190" s="14"/>
      <c r="V190" s="152">
        <v>500</v>
      </c>
    </row>
    <row r="191" spans="1:23">
      <c r="A191" s="70" t="s">
        <v>189</v>
      </c>
      <c r="B191" s="55" t="str">
        <f>IFERROR(HYPERLINK(VLOOKUP(A191,ÜRÜNLER!A:C,3,FALSE),VLOOKUP(A191,ÜRÜNLER!A:B,2,FALSE)),"")</f>
        <v>iQ700 studioLine Ankastre Fırın, 3 Teleskopik Ray, Komple Kendini Temizler, Siyah</v>
      </c>
      <c r="C191" s="8"/>
      <c r="D191" s="8">
        <v>2</v>
      </c>
      <c r="E191" s="9"/>
      <c r="F191" s="9"/>
      <c r="G191" s="10"/>
      <c r="H191" s="10">
        <v>1</v>
      </c>
      <c r="I191" s="11"/>
      <c r="J191" s="11"/>
      <c r="K191" s="10"/>
      <c r="L191" s="10"/>
      <c r="M191" s="11"/>
      <c r="N191" s="12">
        <f t="shared" si="7"/>
        <v>3</v>
      </c>
      <c r="O191" s="9"/>
      <c r="P191" s="174"/>
      <c r="Q191" s="107" t="s">
        <v>1335</v>
      </c>
      <c r="R191" s="26">
        <v>95000</v>
      </c>
      <c r="S191" s="13">
        <v>98800</v>
      </c>
      <c r="T191" s="14"/>
      <c r="U191" s="14"/>
      <c r="V191" s="152">
        <v>500</v>
      </c>
    </row>
    <row r="192" spans="1:23">
      <c r="A192" s="70" t="s">
        <v>196</v>
      </c>
      <c r="B192" s="55" t="str">
        <f>IFERROR(HYPERLINK(VLOOKUP(A192,ÜRÜNLER!A:C,3,FALSE),VLOOKUP(A192,ÜRÜNLER!A:B,2,FALSE)),"")</f>
        <v>iQ700 studioLine Ankastre Fırın, 1 Teleskopik Ray, Komple Kendini Temizler, Siyah</v>
      </c>
      <c r="C192" s="8"/>
      <c r="D192" s="8">
        <v>3</v>
      </c>
      <c r="E192" s="9"/>
      <c r="F192" s="9"/>
      <c r="G192" s="10"/>
      <c r="H192" s="10"/>
      <c r="I192" s="11"/>
      <c r="J192" s="11"/>
      <c r="K192" s="10"/>
      <c r="L192" s="10"/>
      <c r="M192" s="11"/>
      <c r="N192" s="12">
        <f t="shared" si="7"/>
        <v>3</v>
      </c>
      <c r="O192" s="9"/>
      <c r="P192" s="174"/>
      <c r="Q192" s="56">
        <v>123969.87105255334</v>
      </c>
      <c r="R192" s="26">
        <v>117771.37749992567</v>
      </c>
      <c r="S192" s="13">
        <v>122482.2325999227</v>
      </c>
      <c r="T192" s="14"/>
      <c r="U192" s="14"/>
      <c r="V192" s="152">
        <v>500</v>
      </c>
    </row>
    <row r="193" spans="1:22">
      <c r="A193" s="74" t="s">
        <v>190</v>
      </c>
      <c r="B193" s="55" t="str">
        <f>IFERROR(HYPERLINK(VLOOKUP(A193,ÜRÜNLER!A:C,3,FALSE),VLOOKUP(A193,ÜRÜNLER!A:B,2,FALSE)),"")</f>
        <v>iQ300 Buhar Destekli Ankastre Fırın, 1 Teleskopik Ray, Arkası Kendini Temizler, Siyah/Inox</v>
      </c>
      <c r="C193" s="8"/>
      <c r="D193" s="8"/>
      <c r="E193" s="9"/>
      <c r="F193" s="9"/>
      <c r="G193" s="10"/>
      <c r="H193" s="10"/>
      <c r="I193" s="11">
        <v>1</v>
      </c>
      <c r="J193" s="11"/>
      <c r="K193" s="10"/>
      <c r="L193" s="10"/>
      <c r="M193" s="11"/>
      <c r="N193" s="12">
        <f t="shared" si="7"/>
        <v>1</v>
      </c>
      <c r="O193" s="9"/>
      <c r="P193" s="174"/>
      <c r="Q193" s="107" t="s">
        <v>1335</v>
      </c>
      <c r="R193" s="20">
        <v>18000</v>
      </c>
      <c r="S193" s="13">
        <v>18720</v>
      </c>
      <c r="T193" s="14"/>
      <c r="U193" s="109">
        <v>1826.03</v>
      </c>
      <c r="V193" s="15">
        <v>250</v>
      </c>
    </row>
    <row r="194" spans="1:22">
      <c r="A194" s="74" t="s">
        <v>1317</v>
      </c>
      <c r="B194" s="55" t="str">
        <f>IFERROR(HYPERLINK(VLOOKUP(A194,ÜRÜNLER!A:C,3,FALSE),VLOOKUP(A194,ÜRÜNLER!A:B,2,FALSE)),"")</f>
        <v>iQ300 Ankastre Fırın, 1 Teleskopik Ray, Arkası Kendini Temizler, Beyaz</v>
      </c>
      <c r="C194" s="8"/>
      <c r="D194" s="8"/>
      <c r="E194" s="9"/>
      <c r="F194" s="9"/>
      <c r="G194" s="10">
        <v>3</v>
      </c>
      <c r="H194" s="10"/>
      <c r="I194" s="11"/>
      <c r="J194" s="11"/>
      <c r="K194" s="10">
        <v>1</v>
      </c>
      <c r="L194" s="10"/>
      <c r="M194" s="11"/>
      <c r="N194" s="12">
        <f t="shared" si="7"/>
        <v>4</v>
      </c>
      <c r="O194" s="9"/>
      <c r="P194" s="174"/>
      <c r="Q194" s="107" t="s">
        <v>1335</v>
      </c>
      <c r="R194" s="51">
        <v>17000</v>
      </c>
      <c r="S194" s="160">
        <v>17680</v>
      </c>
      <c r="T194" s="14"/>
      <c r="U194" s="14"/>
      <c r="V194" s="152">
        <v>500</v>
      </c>
    </row>
    <row r="195" spans="1:22">
      <c r="A195" s="72" t="s">
        <v>155</v>
      </c>
      <c r="B195" s="55" t="str">
        <f>IFERROR(HYPERLINK(VLOOKUP(A195,ÜRÜNLER!A:C,3,FALSE),VLOOKUP(A195,ÜRÜNLER!A:B,2,FALSE)),"")</f>
        <v>iQ500 Ankastre Fırın, 2 Teleskopik Ray, Komple Kendini Temizler, Siyah</v>
      </c>
      <c r="C195" s="8">
        <v>27</v>
      </c>
      <c r="D195" s="8"/>
      <c r="E195" s="9"/>
      <c r="F195" s="9"/>
      <c r="G195" s="10"/>
      <c r="H195" s="10"/>
      <c r="I195" s="11">
        <v>1</v>
      </c>
      <c r="J195" s="11"/>
      <c r="K195" s="10">
        <v>1</v>
      </c>
      <c r="L195" s="10"/>
      <c r="M195" s="11">
        <v>1</v>
      </c>
      <c r="N195" s="12">
        <f t="shared" si="7"/>
        <v>30</v>
      </c>
      <c r="O195" s="9">
        <v>19</v>
      </c>
      <c r="P195" s="179"/>
      <c r="Q195" s="56">
        <v>28725.042057583189</v>
      </c>
      <c r="R195" s="27">
        <v>28725.042057583189</v>
      </c>
      <c r="S195" s="13">
        <v>29874.043739886518</v>
      </c>
      <c r="T195" s="14"/>
      <c r="U195" s="14"/>
      <c r="V195" s="15"/>
    </row>
    <row r="196" spans="1:22">
      <c r="A196" s="73" t="s">
        <v>157</v>
      </c>
      <c r="B196" s="55" t="str">
        <f>IFERROR(HYPERLINK(VLOOKUP(A196,ÜRÜNLER!A:C,3,FALSE),VLOOKUP(A196,ÜRÜNLER!A:B,2,FALSE)),"")</f>
        <v>iQ500 Ankastre Fırın, 2 Teleskopik Ray, Komple Kendini Temizler, Antrasit</v>
      </c>
      <c r="C196" s="8">
        <v>1</v>
      </c>
      <c r="D196" s="8"/>
      <c r="E196" s="9"/>
      <c r="F196" s="9"/>
      <c r="G196" s="10"/>
      <c r="H196" s="10"/>
      <c r="I196" s="11">
        <v>1</v>
      </c>
      <c r="J196" s="11">
        <v>1</v>
      </c>
      <c r="K196" s="10"/>
      <c r="L196" s="10"/>
      <c r="M196" s="11"/>
      <c r="N196" s="12">
        <f t="shared" si="7"/>
        <v>3</v>
      </c>
      <c r="O196" s="9">
        <v>27</v>
      </c>
      <c r="P196" s="179"/>
      <c r="Q196" s="56">
        <v>28725.042057583189</v>
      </c>
      <c r="R196" s="27">
        <v>28725.042057583189</v>
      </c>
      <c r="S196" s="13">
        <v>29874.043739886518</v>
      </c>
      <c r="T196" s="14"/>
      <c r="U196" s="14"/>
      <c r="V196" s="15"/>
    </row>
    <row r="197" spans="1:22">
      <c r="A197" s="61" t="s">
        <v>156</v>
      </c>
      <c r="B197" s="55" t="str">
        <f>IFERROR(HYPERLINK(VLOOKUP(A197,ÜRÜNLER!A:C,3,FALSE),VLOOKUP(A197,ÜRÜNLER!A:B,2,FALSE)),"")</f>
        <v>iQ500 Ankastre Fırın, 2 Teleskopik Ray, Komple Kendini Temizler, Beyaz</v>
      </c>
      <c r="C197" s="8">
        <v>19</v>
      </c>
      <c r="D197" s="8"/>
      <c r="E197" s="9"/>
      <c r="F197" s="9">
        <v>1</v>
      </c>
      <c r="G197" s="10"/>
      <c r="H197" s="10"/>
      <c r="I197" s="11"/>
      <c r="J197" s="11">
        <v>1</v>
      </c>
      <c r="K197" s="10"/>
      <c r="L197" s="10"/>
      <c r="M197" s="11"/>
      <c r="N197" s="12">
        <f t="shared" si="7"/>
        <v>21</v>
      </c>
      <c r="O197" s="9">
        <v>6</v>
      </c>
      <c r="P197" s="179"/>
      <c r="Q197" s="56">
        <v>28725.042057583189</v>
      </c>
      <c r="R197" s="27">
        <v>28725.042057583189</v>
      </c>
      <c r="S197" s="13">
        <v>29874.043739886518</v>
      </c>
      <c r="T197" s="14"/>
      <c r="U197" s="14"/>
      <c r="V197" s="15"/>
    </row>
    <row r="198" spans="1:22">
      <c r="A198" s="67" t="s">
        <v>191</v>
      </c>
      <c r="B198" s="55" t="str">
        <f>IFERROR(HYPERLINK(VLOOKUP(A198,ÜRÜNLER!A:C,3,FALSE),VLOOKUP(A198,ÜRÜNLER!A:B,2,FALSE)),"")</f>
        <v>iQ700 Mikrodalga Fonksiyonlu Ankastre Fırın, Komple Kendini Temizler, Siyah/Inox</v>
      </c>
      <c r="C198" s="8"/>
      <c r="D198" s="8"/>
      <c r="E198" s="9"/>
      <c r="F198" s="9"/>
      <c r="G198" s="10"/>
      <c r="H198" s="10"/>
      <c r="I198" s="11">
        <v>1</v>
      </c>
      <c r="J198" s="11"/>
      <c r="K198" s="10"/>
      <c r="L198" s="10"/>
      <c r="M198" s="11"/>
      <c r="N198" s="12">
        <f t="shared" si="7"/>
        <v>1</v>
      </c>
      <c r="O198" s="9"/>
      <c r="P198" s="174"/>
      <c r="Q198" s="107" t="s">
        <v>1335</v>
      </c>
      <c r="R198" s="20">
        <v>80000</v>
      </c>
      <c r="S198" s="13">
        <v>83200</v>
      </c>
      <c r="T198" s="14"/>
      <c r="U198" s="14"/>
      <c r="V198" s="18">
        <v>1000</v>
      </c>
    </row>
    <row r="199" spans="1:22">
      <c r="A199" s="61" t="s">
        <v>197</v>
      </c>
      <c r="B199" s="55" t="str">
        <f>IFERROR(HYPERLINK(VLOOKUP(A199,ÜRÜNLER!A:C,3,FALSE),VLOOKUP(A199,ÜRÜNLER!A:B,2,FALSE)),"")</f>
        <v>iQ700 studioLine Buhar ve Mikrodalga Fonksiyonlu Ankastre Fırın, Komple Kendini Temizler, Siyah</v>
      </c>
      <c r="C199" s="8"/>
      <c r="D199" s="8"/>
      <c r="E199" s="9"/>
      <c r="F199" s="9"/>
      <c r="G199" s="10"/>
      <c r="H199" s="10"/>
      <c r="I199" s="11"/>
      <c r="J199" s="11"/>
      <c r="K199" s="10"/>
      <c r="L199" s="10"/>
      <c r="M199" s="11"/>
      <c r="N199" s="12">
        <f t="shared" si="7"/>
        <v>0</v>
      </c>
      <c r="O199" s="9"/>
      <c r="P199" s="174"/>
      <c r="Q199" s="56">
        <v>214828.55238041832</v>
      </c>
      <c r="R199" s="26">
        <v>199790.55371378904</v>
      </c>
      <c r="S199" s="13">
        <v>207782.17586234061</v>
      </c>
      <c r="T199" s="14"/>
      <c r="U199" s="14"/>
      <c r="V199" s="15">
        <v>500</v>
      </c>
    </row>
    <row r="200" spans="1:22">
      <c r="A200" s="72" t="s">
        <v>154</v>
      </c>
      <c r="B200" s="55" t="str">
        <f>IFERROR(HYPERLINK(VLOOKUP(A200,ÜRÜNLER!A:C,3,FALSE),VLOOKUP(A200,ÜRÜNLER!A:B,2,FALSE)),"")</f>
        <v>iQ300 Buhar Destekli Ankastre Fırın, 1 Teleskopik Ray, Arkası Kendini Temizler, Siyah/Dark Inox</v>
      </c>
      <c r="C200" s="8"/>
      <c r="D200" s="8"/>
      <c r="E200" s="9"/>
      <c r="F200" s="9"/>
      <c r="G200" s="10"/>
      <c r="H200" s="10"/>
      <c r="I200" s="11"/>
      <c r="J200" s="11"/>
      <c r="K200" s="10"/>
      <c r="L200" s="10"/>
      <c r="M200" s="11"/>
      <c r="N200" s="12">
        <f t="shared" si="7"/>
        <v>0</v>
      </c>
      <c r="O200" s="9">
        <v>6</v>
      </c>
      <c r="P200" s="174"/>
      <c r="Q200" s="56">
        <v>31502.43921509635</v>
      </c>
      <c r="R200" s="27">
        <v>31502.43921509635</v>
      </c>
      <c r="S200" s="13">
        <v>32762.536783700205</v>
      </c>
      <c r="T200" s="14"/>
      <c r="U200" s="14"/>
      <c r="V200" s="15"/>
    </row>
    <row r="201" spans="1:22">
      <c r="A201" s="70" t="s">
        <v>192</v>
      </c>
      <c r="B201" s="55" t="str">
        <f>IFERROR(HYPERLINK(VLOOKUP(A201,ÜRÜNLER!A:C,3,FALSE),VLOOKUP(A201,ÜRÜNLER!A:B,2,FALSE)),"")</f>
        <v>iQ500 Buhar Destekli Ankastre Fırın, Arkası Kendini Temizler, Siyah/Inox</v>
      </c>
      <c r="C201" s="8">
        <v>3</v>
      </c>
      <c r="D201" s="8"/>
      <c r="E201" s="9"/>
      <c r="F201" s="9"/>
      <c r="G201" s="10"/>
      <c r="H201" s="10"/>
      <c r="I201" s="11">
        <v>1</v>
      </c>
      <c r="J201" s="11">
        <v>1</v>
      </c>
      <c r="K201" s="10">
        <v>1</v>
      </c>
      <c r="L201" s="10"/>
      <c r="M201" s="11">
        <v>1</v>
      </c>
      <c r="N201" s="12">
        <f t="shared" si="7"/>
        <v>7</v>
      </c>
      <c r="O201" s="9"/>
      <c r="P201" s="174"/>
      <c r="Q201" s="107" t="s">
        <v>1335</v>
      </c>
      <c r="R201" s="20">
        <v>30000</v>
      </c>
      <c r="S201" s="13">
        <v>31200</v>
      </c>
      <c r="T201" s="14"/>
      <c r="U201" s="109">
        <v>1144.25</v>
      </c>
      <c r="V201" s="15"/>
    </row>
    <row r="202" spans="1:22">
      <c r="A202" s="61" t="s">
        <v>193</v>
      </c>
      <c r="B202" s="55" t="str">
        <f>IFERROR(HYPERLINK(VLOOKUP(A202,ÜRÜNLER!A:C,3,FALSE),VLOOKUP(A202,ÜRÜNLER!A:B,2,FALSE)),"")</f>
        <v>iQ700 Ankastre Fırın, Siyah</v>
      </c>
      <c r="C202" s="8"/>
      <c r="D202" s="8"/>
      <c r="E202" s="9"/>
      <c r="F202" s="9"/>
      <c r="G202" s="10"/>
      <c r="H202" s="10"/>
      <c r="I202" s="11">
        <v>1</v>
      </c>
      <c r="J202" s="11">
        <v>1</v>
      </c>
      <c r="K202" s="10">
        <v>1</v>
      </c>
      <c r="L202" s="10"/>
      <c r="M202" s="11">
        <v>1</v>
      </c>
      <c r="N202" s="12">
        <f t="shared" si="7"/>
        <v>4</v>
      </c>
      <c r="O202" s="9">
        <v>4</v>
      </c>
      <c r="P202" s="174"/>
      <c r="Q202" s="56">
        <v>77942.765245316899</v>
      </c>
      <c r="R202" s="20">
        <v>77942.765245316899</v>
      </c>
      <c r="S202" s="13">
        <v>81060.475855129582</v>
      </c>
      <c r="T202" s="14"/>
      <c r="U202" s="14"/>
      <c r="V202" s="18">
        <v>250</v>
      </c>
    </row>
    <row r="203" spans="1:22">
      <c r="A203" s="74" t="s">
        <v>194</v>
      </c>
      <c r="B203" s="55" t="str">
        <f>IFERROR(HYPERLINK(VLOOKUP(A203,ÜRÜNLER!A:C,3,FALSE),VLOOKUP(A203,ÜRÜNLER!A:B,2,FALSE)),"")</f>
        <v>iQ700 Buhar Destekli Ankastre Fırın, Arkası Kendini Temizler, Siyah/Inox</v>
      </c>
      <c r="C203" s="8">
        <v>2</v>
      </c>
      <c r="D203" s="8"/>
      <c r="E203" s="9"/>
      <c r="F203" s="9"/>
      <c r="G203" s="10"/>
      <c r="H203" s="10"/>
      <c r="I203" s="11"/>
      <c r="J203" s="11"/>
      <c r="K203" s="10">
        <v>1</v>
      </c>
      <c r="L203" s="10"/>
      <c r="M203" s="11"/>
      <c r="N203" s="12">
        <f t="shared" si="7"/>
        <v>3</v>
      </c>
      <c r="O203" s="9"/>
      <c r="P203" s="174"/>
      <c r="Q203" s="107" t="s">
        <v>1335</v>
      </c>
      <c r="R203" s="20">
        <v>66000</v>
      </c>
      <c r="S203" s="13">
        <v>68640</v>
      </c>
      <c r="T203" s="14"/>
      <c r="U203" s="14"/>
      <c r="V203" s="188">
        <v>500</v>
      </c>
    </row>
    <row r="204" spans="1:22">
      <c r="A204" s="70" t="s">
        <v>195</v>
      </c>
      <c r="B204" s="55" t="str">
        <f>IFERROR(HYPERLINK(VLOOKUP(A204,ÜRÜNLER!A:C,3,FALSE),VLOOKUP(A204,ÜRÜNLER!A:B,2,FALSE)),"")</f>
        <v>iQ700 studioLine Buhar Destekli Ankastre Fırın, 3 Teleskopik Ray, Komple Kendini Temizler, Siyah</v>
      </c>
      <c r="C204" s="8"/>
      <c r="D204" s="8"/>
      <c r="E204" s="9"/>
      <c r="F204" s="9"/>
      <c r="G204" s="10"/>
      <c r="H204" s="10">
        <v>1</v>
      </c>
      <c r="I204" s="11"/>
      <c r="J204" s="11"/>
      <c r="K204" s="10"/>
      <c r="L204" s="10"/>
      <c r="M204" s="11"/>
      <c r="N204" s="12">
        <f t="shared" si="7"/>
        <v>1</v>
      </c>
      <c r="O204" s="9"/>
      <c r="P204" s="174"/>
      <c r="Q204" s="107" t="s">
        <v>1335</v>
      </c>
      <c r="R204" s="26">
        <v>80000</v>
      </c>
      <c r="S204" s="13">
        <v>83200</v>
      </c>
      <c r="T204" s="14"/>
      <c r="U204" s="14"/>
      <c r="V204" s="188">
        <v>500</v>
      </c>
    </row>
    <row r="205" spans="1:22">
      <c r="A205" s="72" t="s">
        <v>159</v>
      </c>
      <c r="B205" s="55" t="str">
        <f>IFERROR(HYPERLINK(VLOOKUP(A205,ÜRÜNLER!A:C,3,FALSE),VLOOKUP(A205,ÜRÜNLER!A:B,2,FALSE)),"")</f>
        <v>iQ300 Buhar Destekli Ankastre Fırın, Siyah</v>
      </c>
      <c r="C205" s="8">
        <v>43</v>
      </c>
      <c r="D205" s="8"/>
      <c r="E205" s="9"/>
      <c r="F205" s="9"/>
      <c r="G205" s="10"/>
      <c r="H205" s="10"/>
      <c r="I205" s="11"/>
      <c r="J205" s="11">
        <v>1</v>
      </c>
      <c r="K205" s="10"/>
      <c r="L205" s="10"/>
      <c r="M205" s="11"/>
      <c r="N205" s="12">
        <f t="shared" si="7"/>
        <v>44</v>
      </c>
      <c r="O205" s="9">
        <v>1</v>
      </c>
      <c r="P205" s="179"/>
      <c r="Q205" s="56">
        <v>20674.496494937124</v>
      </c>
      <c r="R205" s="51">
        <v>19640.771670190268</v>
      </c>
      <c r="S205" s="13">
        <v>20426.402536997877</v>
      </c>
      <c r="T205" s="14"/>
      <c r="U205" s="14"/>
      <c r="V205" s="15"/>
    </row>
    <row r="206" spans="1:22">
      <c r="A206" s="73" t="s">
        <v>160</v>
      </c>
      <c r="B206" s="55" t="str">
        <f>IFERROR(HYPERLINK(VLOOKUP(A206,ÜRÜNLER!A:C,3,FALSE),VLOOKUP(A206,ÜRÜNLER!A:B,2,FALSE)),"")</f>
        <v>iQ300 Buhar Destekli Ankastre Fırın, Antrasit</v>
      </c>
      <c r="C206" s="8">
        <v>27</v>
      </c>
      <c r="D206" s="8"/>
      <c r="E206" s="9"/>
      <c r="F206" s="9"/>
      <c r="G206" s="10"/>
      <c r="H206" s="10"/>
      <c r="I206" s="11"/>
      <c r="J206" s="11">
        <v>1</v>
      </c>
      <c r="K206" s="10"/>
      <c r="L206" s="10"/>
      <c r="M206" s="11">
        <v>1</v>
      </c>
      <c r="N206" s="12">
        <f t="shared" si="7"/>
        <v>29</v>
      </c>
      <c r="O206" s="9">
        <v>1</v>
      </c>
      <c r="P206" s="179"/>
      <c r="Q206" s="56">
        <v>20674.496494937124</v>
      </c>
      <c r="R206" s="51">
        <v>19640.771670190268</v>
      </c>
      <c r="S206" s="13">
        <v>20426.402536997877</v>
      </c>
      <c r="T206" s="14"/>
      <c r="U206" s="14"/>
      <c r="V206" s="15"/>
    </row>
    <row r="207" spans="1:22">
      <c r="A207" s="61" t="s">
        <v>158</v>
      </c>
      <c r="B207" s="55" t="str">
        <f>IFERROR(HYPERLINK(VLOOKUP(A207,ÜRÜNLER!A:C,3,FALSE),VLOOKUP(A207,ÜRÜNLER!A:B,2,FALSE)),"")</f>
        <v>iQ300 Buhar Destekli Ankastre Fırın, Beyaz</v>
      </c>
      <c r="C207" s="8">
        <v>18</v>
      </c>
      <c r="D207" s="8"/>
      <c r="E207" s="9"/>
      <c r="F207" s="9"/>
      <c r="G207" s="10"/>
      <c r="H207" s="10"/>
      <c r="I207" s="11">
        <v>1</v>
      </c>
      <c r="J207" s="11">
        <v>1</v>
      </c>
      <c r="K207" s="10"/>
      <c r="L207" s="10"/>
      <c r="M207" s="11"/>
      <c r="N207" s="12">
        <f t="shared" si="7"/>
        <v>20</v>
      </c>
      <c r="O207" s="9">
        <v>1</v>
      </c>
      <c r="P207" s="179"/>
      <c r="Q207" s="56">
        <v>20674.496494937124</v>
      </c>
      <c r="R207" s="51">
        <v>19640.771670190268</v>
      </c>
      <c r="S207" s="13">
        <v>20426.402536997877</v>
      </c>
      <c r="T207" s="14"/>
      <c r="U207" s="14"/>
      <c r="V207" s="15"/>
    </row>
    <row r="208" spans="1:22">
      <c r="A208" s="72" t="s">
        <v>161</v>
      </c>
      <c r="B208" s="55" t="str">
        <f>IFERROR(HYPERLINK(VLOOKUP(A208,ÜRÜNLER!A:C,3,FALSE),VLOOKUP(A208,ÜRÜNLER!A:B,2,FALSE)),"")</f>
        <v>iQ300 Ankastre Fırın, 1 Teleskopik Ray, Arkası Kendini Temizler, Siyah</v>
      </c>
      <c r="C208" s="8">
        <v>23</v>
      </c>
      <c r="D208" s="8"/>
      <c r="E208" s="9"/>
      <c r="F208" s="9"/>
      <c r="G208" s="10"/>
      <c r="H208" s="10"/>
      <c r="I208" s="11"/>
      <c r="J208" s="11"/>
      <c r="K208" s="10"/>
      <c r="L208" s="10"/>
      <c r="M208" s="11">
        <v>1</v>
      </c>
      <c r="N208" s="12">
        <f t="shared" si="7"/>
        <v>24</v>
      </c>
      <c r="O208" s="9">
        <v>11</v>
      </c>
      <c r="P208" s="179"/>
      <c r="Q208" s="56">
        <v>24453.362899187716</v>
      </c>
      <c r="R208" s="51">
        <v>23230.694754228331</v>
      </c>
      <c r="S208" s="13">
        <v>24159.922544397465</v>
      </c>
      <c r="T208" s="14">
        <v>319.64196895515852</v>
      </c>
      <c r="U208" s="14"/>
      <c r="V208" s="15"/>
    </row>
    <row r="209" spans="1:23">
      <c r="A209" s="72" t="s">
        <v>162</v>
      </c>
      <c r="B209" s="55" t="str">
        <f>IFERROR(HYPERLINK(VLOOKUP(A209,ÜRÜNLER!A:C,3,FALSE),VLOOKUP(A209,ÜRÜNLER!A:B,2,FALSE)),"")</f>
        <v>iQ300 Buhar Destekli Ankastre Fırın, 1 Teleskopik Ray, Arkası Kendini Temizler, darkSteel Line</v>
      </c>
      <c r="C209" s="8">
        <v>20</v>
      </c>
      <c r="D209" s="8"/>
      <c r="E209" s="9"/>
      <c r="F209" s="9"/>
      <c r="G209" s="10"/>
      <c r="H209" s="10"/>
      <c r="I209" s="11">
        <v>1</v>
      </c>
      <c r="J209" s="11"/>
      <c r="K209" s="10"/>
      <c r="L209" s="10"/>
      <c r="M209" s="11"/>
      <c r="N209" s="12">
        <f t="shared" si="7"/>
        <v>21</v>
      </c>
      <c r="O209" s="9">
        <v>5</v>
      </c>
      <c r="P209" s="179"/>
      <c r="Q209" s="56">
        <v>24453.362899187716</v>
      </c>
      <c r="R209" s="51">
        <v>23230.694754228331</v>
      </c>
      <c r="S209" s="13">
        <v>24159.922544397465</v>
      </c>
      <c r="T209" s="14">
        <v>319.64196895515852</v>
      </c>
      <c r="U209" s="14"/>
      <c r="V209" s="15"/>
    </row>
    <row r="210" spans="1:23">
      <c r="A210" s="73" t="s">
        <v>163</v>
      </c>
      <c r="B210" s="55" t="str">
        <f>IFERROR(HYPERLINK(VLOOKUP(A210,ÜRÜNLER!A:C,3,FALSE),VLOOKUP(A210,ÜRÜNLER!A:B,2,FALSE)),"")</f>
        <v>iQ300 Ankastre Fırın, 1 Teleskopik Ray, Arkası Kendini Temizler, Antrasit</v>
      </c>
      <c r="C210" s="8">
        <v>38</v>
      </c>
      <c r="D210" s="8"/>
      <c r="E210" s="9"/>
      <c r="F210" s="9"/>
      <c r="G210" s="10"/>
      <c r="H210" s="10"/>
      <c r="I210" s="11"/>
      <c r="J210" s="11">
        <v>1</v>
      </c>
      <c r="K210" s="10"/>
      <c r="L210" s="10"/>
      <c r="M210" s="11">
        <v>1</v>
      </c>
      <c r="N210" s="12">
        <f t="shared" si="7"/>
        <v>40</v>
      </c>
      <c r="O210" s="9">
        <v>1</v>
      </c>
      <c r="P210" s="179"/>
      <c r="Q210" s="56">
        <v>24453.362899187716</v>
      </c>
      <c r="R210" s="51">
        <v>23230.694754228331</v>
      </c>
      <c r="S210" s="13">
        <v>24159.922544397465</v>
      </c>
      <c r="T210" s="14">
        <v>319.64196895515852</v>
      </c>
      <c r="U210" s="14"/>
      <c r="V210" s="15"/>
    </row>
    <row r="211" spans="1:23">
      <c r="A211" s="61" t="s">
        <v>164</v>
      </c>
      <c r="B211" s="55" t="str">
        <f>IFERROR(HYPERLINK(VLOOKUP(A211,ÜRÜNLER!A:C,3,FALSE),VLOOKUP(A211,ÜRÜNLER!A:B,2,FALSE)),"")</f>
        <v>iQ300 Buhar Destekli Ankastre Fırın, 1 Teleskopik Ray, Arkası Kendini Temizler, Beyaz</v>
      </c>
      <c r="C211" s="8">
        <v>14</v>
      </c>
      <c r="D211" s="8"/>
      <c r="E211" s="9"/>
      <c r="F211" s="9"/>
      <c r="G211" s="10"/>
      <c r="H211" s="10"/>
      <c r="I211" s="11">
        <v>1</v>
      </c>
      <c r="J211" s="11">
        <v>1</v>
      </c>
      <c r="K211" s="10"/>
      <c r="L211" s="10"/>
      <c r="M211" s="11"/>
      <c r="N211" s="12">
        <f t="shared" si="7"/>
        <v>16</v>
      </c>
      <c r="O211" s="9">
        <v>7</v>
      </c>
      <c r="P211" s="179"/>
      <c r="Q211" s="56">
        <v>24453.362899187716</v>
      </c>
      <c r="R211" s="51">
        <v>23230.694754228331</v>
      </c>
      <c r="S211" s="13">
        <v>24159.922544397465</v>
      </c>
      <c r="T211" s="14">
        <v>319.64196895515852</v>
      </c>
      <c r="U211" s="14"/>
      <c r="V211" s="15"/>
    </row>
    <row r="212" spans="1:23" s="34" customFormat="1" ht="36" customHeight="1">
      <c r="A212" s="36" t="s">
        <v>204</v>
      </c>
      <c r="B212" s="55" t="str">
        <f>IFERROR(HYPERLINK(VLOOKUP(A212,ÜRÜNLER!A:C,3,FALSE),VLOOKUP(A212,ÜRÜNLER!A:B,2,FALSE)),"")</f>
        <v/>
      </c>
      <c r="C212" s="8"/>
      <c r="D212" s="8"/>
      <c r="E212" s="9"/>
      <c r="F212" s="9"/>
      <c r="G212" s="10"/>
      <c r="H212" s="10"/>
      <c r="I212" s="11"/>
      <c r="J212" s="11"/>
      <c r="K212" s="10"/>
      <c r="L212" s="10"/>
      <c r="M212" s="11"/>
      <c r="N212" s="12">
        <f>SUM(N162:N211)</f>
        <v>426</v>
      </c>
      <c r="O212" s="9">
        <f>SUM(O162:O211)</f>
        <v>101</v>
      </c>
      <c r="P212" s="174"/>
      <c r="Q212" s="107"/>
      <c r="R212" s="107"/>
      <c r="S212" s="13"/>
      <c r="T212" s="14"/>
      <c r="U212" s="14"/>
      <c r="V212" s="18"/>
      <c r="W212" s="111"/>
    </row>
    <row r="213" spans="1:23">
      <c r="A213" s="59" t="s">
        <v>205</v>
      </c>
      <c r="B213" s="55" t="str">
        <f>IFERROR(HYPERLINK(VLOOKUP(A213,ÜRÜNLER!A:C,3,FALSE),VLOOKUP(A213,ÜRÜNLER!A:B,2,FALSE)),"")</f>
        <v>iQ500 Ankastre Mikrodalga, Izgaralı, Siyah</v>
      </c>
      <c r="C213" s="8">
        <v>3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2">
        <f t="shared" ref="N213:N230" si="8">M213+L213+K213+J213+I213+H213+G213+F213+E213+D213+C213</f>
        <v>3</v>
      </c>
      <c r="O213" s="9">
        <v>1</v>
      </c>
      <c r="P213" s="174"/>
      <c r="Q213" s="56">
        <v>18427.628085858589</v>
      </c>
      <c r="R213" s="25">
        <v>18059.075524141415</v>
      </c>
      <c r="S213" s="13">
        <v>18781.43854510707</v>
      </c>
      <c r="T213" s="14"/>
      <c r="U213" s="14"/>
      <c r="V213" s="18"/>
    </row>
    <row r="214" spans="1:23">
      <c r="A214" s="63" t="s">
        <v>206</v>
      </c>
      <c r="B214" s="55" t="str">
        <f>IFERROR(HYPERLINK(VLOOKUP(A214,ÜRÜNLER!A:C,3,FALSE),VLOOKUP(A214,ÜRÜNLER!A:B,2,FALSE)),"")</f>
        <v>iQ500 Ankastre Mikrodalga, Izgara Fonksiyonlu, 20L, Siyah/darkSteel</v>
      </c>
      <c r="C214" s="8">
        <v>3</v>
      </c>
      <c r="D214" s="8"/>
      <c r="E214" s="9"/>
      <c r="F214" s="9"/>
      <c r="G214" s="10"/>
      <c r="H214" s="10"/>
      <c r="I214" s="11"/>
      <c r="J214" s="11"/>
      <c r="K214" s="10">
        <v>1</v>
      </c>
      <c r="L214" s="10"/>
      <c r="M214" s="11"/>
      <c r="N214" s="12">
        <f t="shared" si="8"/>
        <v>4</v>
      </c>
      <c r="O214" s="9">
        <v>1</v>
      </c>
      <c r="P214" s="174"/>
      <c r="Q214" s="56">
        <v>18427.628085858589</v>
      </c>
      <c r="R214" s="25">
        <v>18059.075524141415</v>
      </c>
      <c r="S214" s="13">
        <v>18781.43854510707</v>
      </c>
      <c r="T214" s="14"/>
      <c r="U214" s="14"/>
      <c r="V214" s="15"/>
    </row>
    <row r="215" spans="1:23">
      <c r="A215" s="73" t="s">
        <v>207</v>
      </c>
      <c r="B215" s="55" t="str">
        <f>IFERROR(HYPERLINK(VLOOKUP(A215,ÜRÜNLER!A:C,3,FALSE),VLOOKUP(A215,ÜRÜNLER!A:B,2,FALSE)),"")</f>
        <v>iQ500 Ankastre Mikrodalga, Izgaralı, Anstrasit</v>
      </c>
      <c r="C215" s="8">
        <v>1</v>
      </c>
      <c r="D215" s="8"/>
      <c r="E215" s="9"/>
      <c r="F215" s="9"/>
      <c r="G215" s="10"/>
      <c r="H215" s="10"/>
      <c r="I215" s="11"/>
      <c r="J215" s="11"/>
      <c r="K215" s="10"/>
      <c r="L215" s="10"/>
      <c r="M215" s="11"/>
      <c r="N215" s="12">
        <f t="shared" si="8"/>
        <v>1</v>
      </c>
      <c r="O215" s="9">
        <v>1</v>
      </c>
      <c r="P215" s="174"/>
      <c r="Q215" s="56">
        <v>18427.628085858589</v>
      </c>
      <c r="R215" s="25">
        <v>18059.075524141415</v>
      </c>
      <c r="S215" s="13">
        <v>18781.43854510707</v>
      </c>
      <c r="T215" s="14"/>
      <c r="U215" s="14"/>
      <c r="V215" s="15"/>
    </row>
    <row r="216" spans="1:23">
      <c r="A216" s="62" t="s">
        <v>208</v>
      </c>
      <c r="B216" s="55" t="str">
        <f>IFERROR(HYPERLINK(VLOOKUP(A216,ÜRÜNLER!A:C,3,FALSE),VLOOKUP(A216,ÜRÜNLER!A:B,2,FALSE)),"")</f>
        <v>iQ500 Ankastre Mikrodalga, Izgara Fonksiyonlu, 20L, Beyaz</v>
      </c>
      <c r="C216" s="8">
        <v>4</v>
      </c>
      <c r="D216" s="8"/>
      <c r="E216" s="9"/>
      <c r="F216" s="9"/>
      <c r="G216" s="10"/>
      <c r="H216" s="10"/>
      <c r="I216" s="11"/>
      <c r="J216" s="11"/>
      <c r="K216" s="10"/>
      <c r="L216" s="10"/>
      <c r="M216" s="11"/>
      <c r="N216" s="12">
        <f t="shared" si="8"/>
        <v>4</v>
      </c>
      <c r="O216" s="9">
        <v>1</v>
      </c>
      <c r="P216" s="174"/>
      <c r="Q216" s="56">
        <v>18427.628085858589</v>
      </c>
      <c r="R216" s="25">
        <v>18059.075524141415</v>
      </c>
      <c r="S216" s="13">
        <v>18781.43854510707</v>
      </c>
      <c r="T216" s="14"/>
      <c r="U216" s="14"/>
      <c r="V216" s="15"/>
    </row>
    <row r="217" spans="1:23">
      <c r="A217" s="62" t="s">
        <v>209</v>
      </c>
      <c r="B217" s="55" t="str">
        <f>IFERROR(HYPERLINK(VLOOKUP(A217,ÜRÜNLER!A:C,3,FALSE),VLOOKUP(A217,ÜRÜNLER!A:B,2,FALSE)),"")</f>
        <v>iQ500 Ankastre Mikrodalga, Izgara Fonksiyonlu, 20L, Siyah/Inox</v>
      </c>
      <c r="C217" s="8"/>
      <c r="D217" s="8"/>
      <c r="E217" s="9"/>
      <c r="F217" s="9"/>
      <c r="G217" s="10"/>
      <c r="H217" s="10"/>
      <c r="I217" s="11"/>
      <c r="J217" s="11"/>
      <c r="K217" s="10"/>
      <c r="L217" s="10"/>
      <c r="M217" s="11">
        <v>1</v>
      </c>
      <c r="N217" s="12">
        <f t="shared" si="8"/>
        <v>1</v>
      </c>
      <c r="O217" s="9"/>
      <c r="P217" s="174"/>
      <c r="Q217" s="107" t="s">
        <v>1335</v>
      </c>
      <c r="R217" s="26">
        <v>15000</v>
      </c>
      <c r="S217" s="13">
        <v>15600</v>
      </c>
      <c r="T217" s="14"/>
      <c r="U217" s="14"/>
      <c r="V217" s="18"/>
    </row>
    <row r="218" spans="1:23">
      <c r="A218" s="59" t="s">
        <v>211</v>
      </c>
      <c r="B218" s="55" t="str">
        <f>IFERROR(HYPERLINK(VLOOKUP(A218,ÜRÜNLER!A:C,3,FALSE),VLOOKUP(A218,ÜRÜNLER!A:B,2,FALSE)),"")</f>
        <v>iQ500 Ankastre Mikrodalga, Izgaralı, Siyah</v>
      </c>
      <c r="C218" s="8">
        <v>10</v>
      </c>
      <c r="D218" s="8"/>
      <c r="E218" s="9"/>
      <c r="F218" s="9"/>
      <c r="G218" s="10"/>
      <c r="H218" s="10"/>
      <c r="I218" s="11">
        <v>1</v>
      </c>
      <c r="J218" s="11"/>
      <c r="K218" s="10"/>
      <c r="L218" s="10"/>
      <c r="M218" s="11"/>
      <c r="N218" s="12">
        <f t="shared" si="8"/>
        <v>11</v>
      </c>
      <c r="O218" s="9">
        <v>1</v>
      </c>
      <c r="P218" s="174"/>
      <c r="Q218" s="56">
        <v>20651.106658692192</v>
      </c>
      <c r="R218" s="25">
        <v>20238.084525518349</v>
      </c>
      <c r="S218" s="13">
        <v>21047.607906539084</v>
      </c>
      <c r="T218" s="14"/>
      <c r="U218" s="14"/>
      <c r="V218" s="18"/>
    </row>
    <row r="219" spans="1:23">
      <c r="A219" s="62" t="s">
        <v>212</v>
      </c>
      <c r="B219" s="55" t="str">
        <f>IFERROR(HYPERLINK(VLOOKUP(A219,ÜRÜNLER!A:C,3,FALSE),VLOOKUP(A219,ÜRÜNLER!A:B,2,FALSE)),"")</f>
        <v>iQ700 Ankastre Mikrodalga, Izgara Fonksiyonlu, 21L, Siyah</v>
      </c>
      <c r="C219" s="8">
        <v>4</v>
      </c>
      <c r="D219" s="8"/>
      <c r="E219" s="9"/>
      <c r="F219" s="9">
        <v>2</v>
      </c>
      <c r="G219" s="10"/>
      <c r="H219" s="10"/>
      <c r="I219" s="11"/>
      <c r="J219" s="11"/>
      <c r="K219" s="10"/>
      <c r="L219" s="10"/>
      <c r="M219" s="11"/>
      <c r="N219" s="12">
        <f t="shared" si="8"/>
        <v>6</v>
      </c>
      <c r="O219" s="9">
        <v>2</v>
      </c>
      <c r="P219" s="174"/>
      <c r="Q219" s="56">
        <v>32072.635465243795</v>
      </c>
      <c r="R219" s="25">
        <v>31431.18275593892</v>
      </c>
      <c r="S219" s="13">
        <v>32688.430066176476</v>
      </c>
      <c r="T219" s="14"/>
      <c r="U219" s="14"/>
      <c r="V219" s="18"/>
    </row>
    <row r="220" spans="1:23">
      <c r="A220" s="59" t="s">
        <v>213</v>
      </c>
      <c r="B220" s="55" t="str">
        <f>IFERROR(HYPERLINK(VLOOKUP(A220,ÜRÜNLER!A:C,3,FALSE),VLOOKUP(A220,ÜRÜNLER!A:B,2,FALSE)),"")</f>
        <v>iQ300 Ankastre Mikrodalga, 20L, Siyah</v>
      </c>
      <c r="C220" s="8">
        <v>9</v>
      </c>
      <c r="D220" s="8"/>
      <c r="E220" s="9"/>
      <c r="F220" s="9"/>
      <c r="G220" s="10"/>
      <c r="H220" s="10"/>
      <c r="I220" s="11"/>
      <c r="J220" s="11"/>
      <c r="K220" s="10"/>
      <c r="L220" s="10"/>
      <c r="M220" s="11"/>
      <c r="N220" s="12">
        <f t="shared" si="8"/>
        <v>9</v>
      </c>
      <c r="O220" s="9">
        <v>1</v>
      </c>
      <c r="P220" s="174"/>
      <c r="Q220" s="56">
        <v>15952.635071090051</v>
      </c>
      <c r="R220" s="25">
        <v>15633.582369668251</v>
      </c>
      <c r="S220" s="13">
        <v>16258.925664454981</v>
      </c>
      <c r="T220" s="14"/>
      <c r="U220" s="14"/>
      <c r="V220" s="18"/>
    </row>
    <row r="221" spans="1:23">
      <c r="A221" s="62" t="s">
        <v>214</v>
      </c>
      <c r="B221" s="55" t="str">
        <f>IFERROR(HYPERLINK(VLOOKUP(A221,ÜRÜNLER!A:C,3,FALSE),VLOOKUP(A221,ÜRÜNLER!A:B,2,FALSE)),"")</f>
        <v>iQ300 Ankastre Mikrodalga, 20L, Siyah/Inox</v>
      </c>
      <c r="C221" s="8"/>
      <c r="D221" s="8"/>
      <c r="E221" s="9"/>
      <c r="F221" s="9"/>
      <c r="G221" s="10"/>
      <c r="H221" s="10"/>
      <c r="I221" s="11">
        <v>1</v>
      </c>
      <c r="J221" s="11">
        <v>1</v>
      </c>
      <c r="K221" s="10">
        <v>1</v>
      </c>
      <c r="L221" s="10"/>
      <c r="M221" s="11"/>
      <c r="N221" s="12">
        <f t="shared" si="8"/>
        <v>3</v>
      </c>
      <c r="O221" s="9"/>
      <c r="P221" s="174"/>
      <c r="Q221" s="107" t="s">
        <v>1335</v>
      </c>
      <c r="R221" s="20">
        <v>14000</v>
      </c>
      <c r="S221" s="13">
        <v>14560</v>
      </c>
      <c r="T221" s="14"/>
      <c r="U221" s="14"/>
      <c r="V221" s="18">
        <v>100</v>
      </c>
    </row>
    <row r="222" spans="1:23">
      <c r="A222" s="62" t="s">
        <v>216</v>
      </c>
      <c r="B222" s="55" t="str">
        <f>IFERROR(HYPERLINK(VLOOKUP(A222,ÜRÜNLER!A:C,3,FALSE),VLOOKUP(A222,ÜRÜNLER!A:B,2,FALSE)),"")</f>
        <v>iQ500 Ankastre Mikrodalga, 20L, Beyaz/Inox</v>
      </c>
      <c r="C222" s="8"/>
      <c r="D222" s="8"/>
      <c r="E222" s="9"/>
      <c r="F222" s="9"/>
      <c r="G222" s="10"/>
      <c r="H222" s="10"/>
      <c r="I222" s="11">
        <v>2</v>
      </c>
      <c r="J222" s="11">
        <v>1</v>
      </c>
      <c r="K222" s="10">
        <v>2</v>
      </c>
      <c r="L222" s="10"/>
      <c r="M222" s="11"/>
      <c r="N222" s="12">
        <f t="shared" si="8"/>
        <v>5</v>
      </c>
      <c r="O222" s="9"/>
      <c r="P222" s="174"/>
      <c r="Q222" s="107" t="s">
        <v>1335</v>
      </c>
      <c r="R222" s="20">
        <v>17000</v>
      </c>
      <c r="S222" s="13">
        <v>17680</v>
      </c>
      <c r="T222" s="14"/>
      <c r="U222" s="14"/>
      <c r="V222" s="18">
        <v>100</v>
      </c>
    </row>
    <row r="223" spans="1:23">
      <c r="A223" s="73" t="s">
        <v>217</v>
      </c>
      <c r="B223" s="55" t="str">
        <f>IFERROR(HYPERLINK(VLOOKUP(A223,ÜRÜNLER!A:C,3,FALSE),VLOOKUP(A223,ÜRÜNLER!A:B,2,FALSE)),"")</f>
        <v>iQ300 Ankastre Mikrodalga, 20L, Antrasit/Titanyum Gri</v>
      </c>
      <c r="C223" s="8">
        <v>5</v>
      </c>
      <c r="D223" s="8"/>
      <c r="E223" s="9"/>
      <c r="F223" s="9"/>
      <c r="G223" s="10"/>
      <c r="H223" s="10"/>
      <c r="I223" s="11">
        <v>1</v>
      </c>
      <c r="J223" s="11">
        <v>1</v>
      </c>
      <c r="K223" s="10"/>
      <c r="L223" s="10"/>
      <c r="M223" s="11"/>
      <c r="N223" s="12">
        <f t="shared" si="8"/>
        <v>7</v>
      </c>
      <c r="O223" s="9">
        <v>1</v>
      </c>
      <c r="P223" s="174"/>
      <c r="Q223" s="56">
        <v>14091.76065861871</v>
      </c>
      <c r="R223" s="57">
        <v>13809.925445446335</v>
      </c>
      <c r="S223" s="13">
        <v>14362.322463264189</v>
      </c>
      <c r="T223" s="14"/>
      <c r="U223" s="14"/>
      <c r="V223" s="18"/>
    </row>
    <row r="224" spans="1:23">
      <c r="A224" s="62" t="s">
        <v>218</v>
      </c>
      <c r="B224" s="55" t="str">
        <f>IFERROR(HYPERLINK(VLOOKUP(A224,ÜRÜNLER!A:C,3,FALSE),VLOOKUP(A224,ÜRÜNLER!A:B,2,FALSE)),"")</f>
        <v>iQ300 Ankastre Mikrodalga, Inox</v>
      </c>
      <c r="C224" s="8">
        <v>3</v>
      </c>
      <c r="D224" s="8"/>
      <c r="E224" s="9"/>
      <c r="F224" s="9">
        <v>1</v>
      </c>
      <c r="G224" s="10"/>
      <c r="H224" s="10"/>
      <c r="I224" s="11">
        <v>1</v>
      </c>
      <c r="J224" s="11"/>
      <c r="K224" s="10"/>
      <c r="L224" s="10"/>
      <c r="M224" s="11">
        <v>1</v>
      </c>
      <c r="N224" s="12">
        <f t="shared" si="8"/>
        <v>6</v>
      </c>
      <c r="O224" s="9">
        <v>1</v>
      </c>
      <c r="P224" s="174"/>
      <c r="Q224" s="56">
        <v>13907.785136180437</v>
      </c>
      <c r="R224" s="57">
        <v>13629.629433456828</v>
      </c>
      <c r="S224" s="13">
        <v>14174.814610795102</v>
      </c>
      <c r="T224" s="14"/>
      <c r="U224" s="14"/>
      <c r="V224" s="15"/>
    </row>
    <row r="225" spans="1:22">
      <c r="A225" s="62" t="s">
        <v>219</v>
      </c>
      <c r="B225" s="55" t="str">
        <f>IFERROR(HYPERLINK(VLOOKUP(A225,ÜRÜNLER!A:C,3,FALSE),VLOOKUP(A225,ÜRÜNLER!A:B,2,FALSE)),"")</f>
        <v>iQ300 Ankastre Mikrodalga, 20L, Beyaz</v>
      </c>
      <c r="C225" s="8">
        <v>4</v>
      </c>
      <c r="D225" s="8"/>
      <c r="E225" s="9"/>
      <c r="F225" s="9">
        <v>1</v>
      </c>
      <c r="G225" s="10"/>
      <c r="H225" s="10"/>
      <c r="I225" s="11">
        <v>1</v>
      </c>
      <c r="J225" s="11"/>
      <c r="K225" s="10"/>
      <c r="L225" s="10"/>
      <c r="M225" s="11"/>
      <c r="N225" s="12">
        <f t="shared" si="8"/>
        <v>6</v>
      </c>
      <c r="O225" s="9">
        <v>1</v>
      </c>
      <c r="P225" s="174"/>
      <c r="Q225" s="56">
        <v>13907.785136180437</v>
      </c>
      <c r="R225" s="57">
        <v>13629.629433456828</v>
      </c>
      <c r="S225" s="13">
        <v>14174.814610795102</v>
      </c>
      <c r="T225" s="14"/>
      <c r="U225" s="14"/>
      <c r="V225" s="15"/>
    </row>
    <row r="226" spans="1:22">
      <c r="A226" s="62" t="s">
        <v>220</v>
      </c>
      <c r="B226" s="55" t="str">
        <f>IFERROR(HYPERLINK(VLOOKUP(A226,ÜRÜNLER!A:C,3,FALSE),VLOOKUP(A226,ÜRÜNLER!A:B,2,FALSE)),"")</f>
        <v>iQ700 studioLine Ankastre Mikrodalga, 21L, Siyah</v>
      </c>
      <c r="C226" s="8"/>
      <c r="D226" s="8">
        <v>2</v>
      </c>
      <c r="E226" s="9"/>
      <c r="F226" s="9"/>
      <c r="G226" s="10"/>
      <c r="H226" s="10">
        <v>1</v>
      </c>
      <c r="I226" s="11"/>
      <c r="J226" s="11"/>
      <c r="K226" s="10"/>
      <c r="L226" s="10"/>
      <c r="M226" s="11"/>
      <c r="N226" s="12">
        <f t="shared" si="8"/>
        <v>3</v>
      </c>
      <c r="O226" s="9"/>
      <c r="P226" s="174"/>
      <c r="Q226" s="107" t="s">
        <v>1335</v>
      </c>
      <c r="R226" s="20">
        <v>45000</v>
      </c>
      <c r="S226" s="13">
        <v>46800</v>
      </c>
      <c r="T226" s="14"/>
      <c r="U226" s="14"/>
      <c r="V226" s="15">
        <v>500</v>
      </c>
    </row>
    <row r="227" spans="1:22">
      <c r="A227" s="59" t="s">
        <v>221</v>
      </c>
      <c r="B227" s="55" t="str">
        <f>IFERROR(HYPERLINK(VLOOKUP(A227,ÜRÜNLER!A:C,3,FALSE),VLOOKUP(A227,ÜRÜNLER!A:B,2,FALSE)),"")</f>
        <v>iQ700 studioLine Ankastre Mikrodalga, 21L, Siyah</v>
      </c>
      <c r="C227" s="8"/>
      <c r="D227" s="8"/>
      <c r="E227" s="9"/>
      <c r="F227" s="9"/>
      <c r="G227" s="10"/>
      <c r="H227" s="10"/>
      <c r="I227" s="11"/>
      <c r="J227" s="11"/>
      <c r="K227" s="10"/>
      <c r="L227" s="10"/>
      <c r="M227" s="11"/>
      <c r="N227" s="12">
        <f t="shared" si="8"/>
        <v>0</v>
      </c>
      <c r="O227" s="9"/>
      <c r="P227" s="174"/>
      <c r="Q227" s="56">
        <v>48975.730734347773</v>
      </c>
      <c r="R227" s="26">
        <v>45547.429582943427</v>
      </c>
      <c r="S227" s="13">
        <v>47369.326766261162</v>
      </c>
      <c r="T227" s="14"/>
      <c r="U227" s="14"/>
      <c r="V227" s="15">
        <v>500</v>
      </c>
    </row>
    <row r="228" spans="1:22">
      <c r="A228" s="60" t="s">
        <v>222</v>
      </c>
      <c r="B228" s="55" t="str">
        <f>IFERROR(HYPERLINK(VLOOKUP(A228,ÜRÜNLER!A:C,3,FALSE),VLOOKUP(A228,ÜRÜNLER!A:B,2,FALSE)),"")</f>
        <v>iQ300 Solo Mikrodalga, 20L, Siyah</v>
      </c>
      <c r="C228" s="8">
        <v>9</v>
      </c>
      <c r="D228" s="8"/>
      <c r="E228" s="9"/>
      <c r="F228" s="9"/>
      <c r="G228" s="10"/>
      <c r="H228" s="10"/>
      <c r="I228" s="11">
        <v>1</v>
      </c>
      <c r="J228" s="11">
        <v>1</v>
      </c>
      <c r="K228" s="10">
        <v>1</v>
      </c>
      <c r="L228" s="10"/>
      <c r="M228" s="11">
        <v>1</v>
      </c>
      <c r="N228" s="12">
        <f t="shared" si="8"/>
        <v>13</v>
      </c>
      <c r="O228" s="9">
        <v>1</v>
      </c>
      <c r="P228" s="174"/>
      <c r="Q228" s="56">
        <v>6242.1344066194024</v>
      </c>
      <c r="R228" s="57">
        <v>6117.2917184870148</v>
      </c>
      <c r="S228" s="13">
        <v>6361.9833872264953</v>
      </c>
      <c r="T228" s="14"/>
      <c r="U228" s="14"/>
      <c r="V228" s="18"/>
    </row>
    <row r="229" spans="1:22">
      <c r="A229" s="60" t="s">
        <v>223</v>
      </c>
      <c r="B229" s="55" t="str">
        <f>IFERROR(HYPERLINK(VLOOKUP(A229,ÜRÜNLER!A:C,3,FALSE),VLOOKUP(A229,ÜRÜNLER!A:B,2,FALSE)),"")</f>
        <v>iQ300 Solo Mikrodalga, 20L, Beyaz</v>
      </c>
      <c r="C229" s="8">
        <v>8</v>
      </c>
      <c r="D229" s="8"/>
      <c r="E229" s="9"/>
      <c r="F229" s="9"/>
      <c r="G229" s="10"/>
      <c r="H229" s="10"/>
      <c r="I229" s="11">
        <v>1</v>
      </c>
      <c r="J229" s="11">
        <v>1</v>
      </c>
      <c r="K229" s="10">
        <v>1</v>
      </c>
      <c r="L229" s="10"/>
      <c r="M229" s="11">
        <v>2</v>
      </c>
      <c r="N229" s="12">
        <f t="shared" si="8"/>
        <v>13</v>
      </c>
      <c r="O229" s="9">
        <v>1</v>
      </c>
      <c r="P229" s="174"/>
      <c r="Q229" s="56">
        <v>5791.3100111052418</v>
      </c>
      <c r="R229" s="57">
        <v>5675.4838108831373</v>
      </c>
      <c r="S229" s="13">
        <v>5902.5031633184626</v>
      </c>
      <c r="T229" s="14"/>
      <c r="U229" s="14"/>
      <c r="V229" s="18"/>
    </row>
    <row r="230" spans="1:22">
      <c r="A230" s="60" t="s">
        <v>224</v>
      </c>
      <c r="B230" s="55" t="str">
        <f>IFERROR(HYPERLINK(VLOOKUP(A230,ÜRÜNLER!A:C,3,FALSE),VLOOKUP(A230,ÜRÜNLER!A:B,2,FALSE)),"")</f>
        <v>iQ300 Solo Mikrodalga, 20L, Siyah/Inox</v>
      </c>
      <c r="C230" s="8">
        <v>6</v>
      </c>
      <c r="D230" s="8"/>
      <c r="E230" s="9"/>
      <c r="F230" s="9">
        <v>1</v>
      </c>
      <c r="G230" s="10"/>
      <c r="H230" s="10"/>
      <c r="I230" s="11">
        <v>1</v>
      </c>
      <c r="J230" s="11"/>
      <c r="K230" s="10"/>
      <c r="L230" s="10"/>
      <c r="M230" s="11">
        <v>1</v>
      </c>
      <c r="N230" s="12">
        <f t="shared" si="8"/>
        <v>9</v>
      </c>
      <c r="O230" s="9">
        <v>1</v>
      </c>
      <c r="P230" s="174"/>
      <c r="Q230" s="56">
        <v>6917.2628817325422</v>
      </c>
      <c r="R230" s="57">
        <v>6778.9176240978913</v>
      </c>
      <c r="S230" s="13">
        <v>7050.0743290618066</v>
      </c>
      <c r="T230" s="14"/>
      <c r="U230" s="14"/>
      <c r="V230" s="18"/>
    </row>
    <row r="231" spans="1:22" ht="33.75" customHeight="1">
      <c r="A231" s="33" t="s">
        <v>225</v>
      </c>
      <c r="B231" s="55" t="str">
        <f>IFERROR(HYPERLINK(VLOOKUP(A231,ÜRÜNLER!A:C,3,FALSE),VLOOKUP(A231,ÜRÜNLER!A:B,2,FALSE)),"")</f>
        <v/>
      </c>
      <c r="C231" s="8"/>
      <c r="D231" s="8"/>
      <c r="E231" s="9"/>
      <c r="F231" s="9"/>
      <c r="G231" s="10"/>
      <c r="H231" s="10"/>
      <c r="I231" s="11"/>
      <c r="J231" s="11"/>
      <c r="K231" s="10"/>
      <c r="L231" s="10"/>
      <c r="M231" s="11"/>
      <c r="N231" s="12"/>
      <c r="O231" s="9"/>
      <c r="P231" s="174"/>
      <c r="Q231" s="107"/>
      <c r="R231" s="107"/>
      <c r="S231" s="13"/>
      <c r="T231" s="14"/>
      <c r="U231" s="14"/>
      <c r="V231" s="18"/>
    </row>
    <row r="232" spans="1:22">
      <c r="A232" s="61" t="s">
        <v>226</v>
      </c>
      <c r="B232" s="55" t="str">
        <f>IFERROR(HYPERLINK(VLOOKUP(A232,ÜRÜNLER!A:C,3,FALSE),VLOOKUP(A232,ÜRÜNLER!A:B,2,FALSE)),"")</f>
        <v>iQ100 Düz Davlumbaz, 60cm, 380m3, Beyaz</v>
      </c>
      <c r="C232" s="8"/>
      <c r="D232" s="8"/>
      <c r="E232" s="9"/>
      <c r="F232" s="9"/>
      <c r="G232" s="10"/>
      <c r="H232" s="10"/>
      <c r="I232" s="11">
        <v>1</v>
      </c>
      <c r="J232" s="11"/>
      <c r="K232" s="10">
        <v>1</v>
      </c>
      <c r="L232" s="10"/>
      <c r="M232" s="11"/>
      <c r="N232" s="12">
        <f t="shared" ref="N232:N287" si="9">M232+L232+K232+J232+I232+H232+G232+F232+E232+D232+C232</f>
        <v>2</v>
      </c>
      <c r="O232" s="9"/>
      <c r="P232" s="174"/>
      <c r="Q232" s="107" t="s">
        <v>1335</v>
      </c>
      <c r="R232" s="20">
        <v>7000</v>
      </c>
      <c r="S232" s="13">
        <v>7280</v>
      </c>
      <c r="T232" s="14"/>
      <c r="U232" s="14"/>
      <c r="V232" s="18">
        <v>250</v>
      </c>
    </row>
    <row r="233" spans="1:22">
      <c r="A233" s="61" t="s">
        <v>227</v>
      </c>
      <c r="B233" s="55" t="str">
        <f>IFERROR(HYPERLINK(VLOOKUP(A233,ÜRÜNLER!A:C,3,FALSE),VLOOKUP(A233,ÜRÜNLER!A:B,2,FALSE)),"")</f>
        <v>iQ100 Düz Davlumbaz, 60cm, 380m3, Inox</v>
      </c>
      <c r="C233" s="8"/>
      <c r="D233" s="8"/>
      <c r="E233" s="9"/>
      <c r="F233" s="9"/>
      <c r="G233" s="10"/>
      <c r="H233" s="10"/>
      <c r="I233" s="11">
        <v>1</v>
      </c>
      <c r="J233" s="11"/>
      <c r="K233" s="10">
        <v>1</v>
      </c>
      <c r="L233" s="10"/>
      <c r="M233" s="11"/>
      <c r="N233" s="12">
        <f t="shared" si="9"/>
        <v>2</v>
      </c>
      <c r="O233" s="9"/>
      <c r="P233" s="180" t="s">
        <v>1587</v>
      </c>
      <c r="Q233" s="107" t="s">
        <v>1335</v>
      </c>
      <c r="R233" s="20">
        <v>7000</v>
      </c>
      <c r="S233" s="13">
        <v>7280</v>
      </c>
      <c r="T233" s="14"/>
      <c r="U233" s="14"/>
      <c r="V233" s="18">
        <v>250</v>
      </c>
    </row>
    <row r="234" spans="1:22">
      <c r="A234" s="61" t="s">
        <v>228</v>
      </c>
      <c r="B234" s="55" t="str">
        <f>IFERROR(HYPERLINK(VLOOKUP(A234,ÜRÜNLER!A:C,3,FALSE),VLOOKUP(A234,ÜRÜNLER!A:B,2,FALSE)),"")</f>
        <v>iQ100 Düz Davlumbaz, 60cm, 380m3, Siyah</v>
      </c>
      <c r="C234" s="8">
        <v>2</v>
      </c>
      <c r="D234" s="8"/>
      <c r="E234" s="9"/>
      <c r="F234" s="9">
        <v>1</v>
      </c>
      <c r="G234" s="10"/>
      <c r="H234" s="10"/>
      <c r="I234" s="11"/>
      <c r="J234" s="11"/>
      <c r="K234" s="10">
        <v>2</v>
      </c>
      <c r="L234" s="10"/>
      <c r="M234" s="11"/>
      <c r="N234" s="12">
        <f t="shared" si="9"/>
        <v>5</v>
      </c>
      <c r="O234" s="9"/>
      <c r="P234" s="174"/>
      <c r="Q234" s="107" t="s">
        <v>1335</v>
      </c>
      <c r="R234" s="20">
        <v>7000</v>
      </c>
      <c r="S234" s="13">
        <v>7280</v>
      </c>
      <c r="T234" s="14"/>
      <c r="U234" s="14"/>
      <c r="V234" s="18"/>
    </row>
    <row r="235" spans="1:22">
      <c r="A235" s="61" t="s">
        <v>229</v>
      </c>
      <c r="B235" s="55" t="str">
        <f>IFERROR(HYPERLINK(VLOOKUP(A235,ÜRÜNLER!A:C,3,FALSE),VLOOKUP(A235,ÜRÜNLER!A:B,2,FALSE)),"")</f>
        <v>iQ100 Eğimli Davlumbaz, 59cm, 360m3, Beyaz Cam</v>
      </c>
      <c r="C235" s="8">
        <v>5</v>
      </c>
      <c r="D235" s="8"/>
      <c r="E235" s="9"/>
      <c r="F235" s="9">
        <v>1</v>
      </c>
      <c r="G235" s="10"/>
      <c r="H235" s="10"/>
      <c r="I235" s="11"/>
      <c r="J235" s="11"/>
      <c r="K235" s="10"/>
      <c r="L235" s="10"/>
      <c r="M235" s="11"/>
      <c r="N235" s="12">
        <f t="shared" si="9"/>
        <v>6</v>
      </c>
      <c r="O235" s="9"/>
      <c r="P235" s="174" t="s">
        <v>1586</v>
      </c>
      <c r="Q235" s="56">
        <v>9025.6807122329337</v>
      </c>
      <c r="R235" s="20">
        <v>10000</v>
      </c>
      <c r="S235" s="13">
        <v>10400</v>
      </c>
      <c r="T235" s="14"/>
      <c r="U235" s="14"/>
      <c r="V235" s="18"/>
    </row>
    <row r="236" spans="1:22">
      <c r="A236" s="61" t="s">
        <v>230</v>
      </c>
      <c r="B236" s="55" t="str">
        <f>IFERROR(HYPERLINK(VLOOKUP(A236,ÜRÜNLER!A:C,3,FALSE),VLOOKUP(A236,ÜRÜNLER!A:B,2,FALSE)),"")</f>
        <v>iQ100 Eğimli Davlumbaz, 59cm, 360m3, Siyah Cam</v>
      </c>
      <c r="C236" s="8">
        <v>5</v>
      </c>
      <c r="D236" s="8"/>
      <c r="E236" s="9"/>
      <c r="F236" s="9"/>
      <c r="G236" s="10"/>
      <c r="H236" s="10"/>
      <c r="I236" s="11"/>
      <c r="J236" s="11"/>
      <c r="K236" s="10"/>
      <c r="L236" s="10"/>
      <c r="M236" s="11">
        <v>1</v>
      </c>
      <c r="N236" s="12">
        <f t="shared" si="9"/>
        <v>6</v>
      </c>
      <c r="O236" s="9"/>
      <c r="P236" s="174" t="s">
        <v>1586</v>
      </c>
      <c r="Q236" s="56">
        <v>9025.6807122329337</v>
      </c>
      <c r="R236" s="20">
        <v>10000</v>
      </c>
      <c r="S236" s="13">
        <v>10400</v>
      </c>
      <c r="T236" s="14"/>
      <c r="U236" s="14"/>
      <c r="V236" s="18"/>
    </row>
    <row r="237" spans="1:22">
      <c r="A237" s="61" t="s">
        <v>231</v>
      </c>
      <c r="B237" s="55" t="str">
        <f>IFERROR(HYPERLINK(VLOOKUP(A237,ÜRÜNLER!A:C,3,FALSE),VLOOKUP(A237,ÜRÜNLER!A:B,2,FALSE)),"")</f>
        <v>iQ100 Eğimli Davlumbaz, 59cm, 360m3, Siyah Cam</v>
      </c>
      <c r="C237" s="8">
        <v>2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12">
        <f t="shared" si="9"/>
        <v>4</v>
      </c>
      <c r="O237" s="9"/>
      <c r="P237" s="174" t="s">
        <v>1586</v>
      </c>
      <c r="Q237" s="56">
        <v>9025.6807122329337</v>
      </c>
      <c r="R237" s="20">
        <v>9476.9647478445804</v>
      </c>
      <c r="S237" s="13">
        <v>9856.0433377583631</v>
      </c>
      <c r="T237" s="14"/>
      <c r="U237" s="14"/>
      <c r="V237" s="18"/>
    </row>
    <row r="238" spans="1:22">
      <c r="A238" s="61" t="s">
        <v>232</v>
      </c>
      <c r="B238" s="55" t="str">
        <f>IFERROR(HYPERLINK(VLOOKUP(A238,ÜRÜNLER!A:C,3,FALSE),VLOOKUP(A238,ÜRÜNLER!A:B,2,FALSE)),"")</f>
        <v>iQ100 Düz Davlumbaz, 60cm, 612m3, Paslanmaz Çelik</v>
      </c>
      <c r="C238" s="8">
        <v>1</v>
      </c>
      <c r="D238" s="8"/>
      <c r="E238" s="9"/>
      <c r="F238" s="9">
        <v>1</v>
      </c>
      <c r="G238" s="10"/>
      <c r="H238" s="10"/>
      <c r="I238" s="11"/>
      <c r="J238" s="11"/>
      <c r="K238" s="10"/>
      <c r="L238" s="10"/>
      <c r="M238" s="11"/>
      <c r="N238" s="12">
        <f t="shared" si="9"/>
        <v>2</v>
      </c>
      <c r="O238" s="9">
        <v>1</v>
      </c>
      <c r="P238" s="174"/>
      <c r="Q238" s="56">
        <v>14946.395064901557</v>
      </c>
      <c r="R238" s="20">
        <v>14199.075311656479</v>
      </c>
      <c r="S238" s="13">
        <v>14767.038324122739</v>
      </c>
      <c r="T238" s="14"/>
      <c r="U238" s="14"/>
      <c r="V238" s="18"/>
    </row>
    <row r="239" spans="1:22">
      <c r="A239" s="75" t="s">
        <v>234</v>
      </c>
      <c r="B239" s="55" t="str">
        <f>IFERROR(HYPERLINK(VLOOKUP(A239,ÜRÜNLER!A:C,3,FALSE),VLOOKUP(A239,ÜRÜNLER!A:B,2,FALSE)),"")</f>
        <v>iQ300 Düz Davlumbaz, 60cm, 649m3, Beyaz Cam</v>
      </c>
      <c r="C239" s="8">
        <v>8</v>
      </c>
      <c r="D239" s="8"/>
      <c r="E239" s="9"/>
      <c r="F239" s="9"/>
      <c r="G239" s="10"/>
      <c r="H239" s="10"/>
      <c r="I239" s="11"/>
      <c r="J239" s="11">
        <v>1</v>
      </c>
      <c r="K239" s="10">
        <v>1</v>
      </c>
      <c r="L239" s="10"/>
      <c r="M239" s="11"/>
      <c r="N239" s="12">
        <f t="shared" si="9"/>
        <v>10</v>
      </c>
      <c r="O239" s="9">
        <v>1</v>
      </c>
      <c r="P239" s="174"/>
      <c r="Q239" s="56">
        <v>17796.490223290712</v>
      </c>
      <c r="R239" s="51">
        <v>16906.665712126174</v>
      </c>
      <c r="S239" s="13">
        <v>17582.93234061122</v>
      </c>
      <c r="T239" s="14">
        <v>1338.3506884069902</v>
      </c>
      <c r="U239" s="14"/>
      <c r="V239" s="18"/>
    </row>
    <row r="240" spans="1:22">
      <c r="A240" s="75" t="s">
        <v>235</v>
      </c>
      <c r="B240" s="55" t="str">
        <f>IFERROR(HYPERLINK(VLOOKUP(A240,ÜRÜNLER!A:C,3,FALSE),VLOOKUP(A240,ÜRÜNLER!A:B,2,FALSE)),"")</f>
        <v>iQ300 Düz Davlumbaz, 60cm, 649m3, Siyah Cam</v>
      </c>
      <c r="C240" s="8">
        <v>2</v>
      </c>
      <c r="D240" s="8"/>
      <c r="E240" s="9"/>
      <c r="F240" s="9"/>
      <c r="G240" s="10"/>
      <c r="H240" s="10"/>
      <c r="I240" s="11">
        <v>2</v>
      </c>
      <c r="J240" s="11"/>
      <c r="K240" s="10">
        <v>1</v>
      </c>
      <c r="L240" s="10"/>
      <c r="M240" s="11"/>
      <c r="N240" s="12">
        <f t="shared" si="9"/>
        <v>5</v>
      </c>
      <c r="O240" s="9">
        <v>3</v>
      </c>
      <c r="P240" s="174"/>
      <c r="Q240" s="56">
        <v>17796.490223290712</v>
      </c>
      <c r="R240" s="51">
        <v>16906.665712126174</v>
      </c>
      <c r="S240" s="13">
        <v>17582.93234061122</v>
      </c>
      <c r="T240" s="14">
        <v>1338.3506884069902</v>
      </c>
      <c r="U240" s="14"/>
      <c r="V240" s="18"/>
    </row>
    <row r="241" spans="1:22">
      <c r="A241" s="61" t="s">
        <v>236</v>
      </c>
      <c r="B241" s="55" t="str">
        <f>IFERROR(HYPERLINK(VLOOKUP(A241,ÜRÜNLER!A:C,3,FALSE),VLOOKUP(A241,ÜRÜNLER!A:B,2,FALSE)),"")</f>
        <v>iQ300 Eğimli Davlumbaz, 60cm, 593m3, Siyah Cam</v>
      </c>
      <c r="C241" s="8"/>
      <c r="D241" s="8"/>
      <c r="E241" s="9"/>
      <c r="F241" s="9">
        <v>1</v>
      </c>
      <c r="G241" s="10"/>
      <c r="H241" s="10"/>
      <c r="I241" s="11">
        <v>1</v>
      </c>
      <c r="J241" s="11">
        <v>1</v>
      </c>
      <c r="K241" s="10">
        <v>1</v>
      </c>
      <c r="L241" s="10"/>
      <c r="M241" s="11"/>
      <c r="N241" s="12">
        <f t="shared" si="9"/>
        <v>4</v>
      </c>
      <c r="O241" s="9"/>
      <c r="P241" s="174"/>
      <c r="Q241" s="107" t="s">
        <v>1335</v>
      </c>
      <c r="R241" s="20">
        <v>13000</v>
      </c>
      <c r="S241" s="13">
        <v>13520</v>
      </c>
      <c r="T241" s="14"/>
      <c r="U241" s="14"/>
      <c r="V241" s="18">
        <v>250</v>
      </c>
    </row>
    <row r="242" spans="1:22">
      <c r="A242" s="65" t="s">
        <v>237</v>
      </c>
      <c r="B242" s="55" t="str">
        <f>IFERROR(HYPERLINK(VLOOKUP(A242,ÜRÜNLER!A:C,3,FALSE),VLOOKUP(A242,ÜRÜNLER!A:B,2,FALSE)),"")</f>
        <v>iQ300 Eğimli Davlumbaz, 60cm, 616m3, Siyah Cam</v>
      </c>
      <c r="C242" s="8"/>
      <c r="D242" s="8"/>
      <c r="E242" s="9"/>
      <c r="F242" s="9"/>
      <c r="G242" s="10"/>
      <c r="H242" s="10"/>
      <c r="I242" s="11"/>
      <c r="J242" s="11"/>
      <c r="K242" s="10">
        <v>1</v>
      </c>
      <c r="L242" s="10"/>
      <c r="M242" s="11"/>
      <c r="N242" s="12">
        <f t="shared" si="9"/>
        <v>1</v>
      </c>
      <c r="O242" s="9"/>
      <c r="P242" s="174"/>
      <c r="Q242" s="107" t="s">
        <v>1335</v>
      </c>
      <c r="R242" s="20">
        <v>13000</v>
      </c>
      <c r="S242" s="13">
        <v>13520</v>
      </c>
      <c r="T242" s="14"/>
      <c r="U242" s="14"/>
      <c r="V242" s="18">
        <v>250</v>
      </c>
    </row>
    <row r="243" spans="1:22">
      <c r="A243" s="62" t="s">
        <v>238</v>
      </c>
      <c r="B243" s="55" t="str">
        <f>IFERROR(HYPERLINK(VLOOKUP(A243,ÜRÜNLER!A:C,3,FALSE),VLOOKUP(A243,ÜRÜNLER!A:B,2,FALSE)),"")</f>
        <v>iQ100 Eğimli Davlumbaz, 60cm, 400m3, Beyaz Cam</v>
      </c>
      <c r="C243" s="8"/>
      <c r="D243" s="8"/>
      <c r="E243" s="9"/>
      <c r="F243" s="9"/>
      <c r="G243" s="10"/>
      <c r="H243" s="10"/>
      <c r="I243" s="11">
        <v>1</v>
      </c>
      <c r="J243" s="11"/>
      <c r="K243" s="10"/>
      <c r="L243" s="10"/>
      <c r="M243" s="11"/>
      <c r="N243" s="12">
        <f t="shared" si="9"/>
        <v>1</v>
      </c>
      <c r="O243" s="9">
        <v>16</v>
      </c>
      <c r="P243" s="174"/>
      <c r="Q243" s="56">
        <v>12706.287041862945</v>
      </c>
      <c r="R243" s="27">
        <v>12706.287041862945</v>
      </c>
      <c r="S243" s="13">
        <v>13214.538523537462</v>
      </c>
      <c r="T243" s="14"/>
      <c r="U243" s="14"/>
      <c r="V243" s="18"/>
    </row>
    <row r="244" spans="1:22">
      <c r="A244" s="62" t="s">
        <v>239</v>
      </c>
      <c r="B244" s="55" t="str">
        <f>IFERROR(HYPERLINK(VLOOKUP(A244,ÜRÜNLER!A:C,3,FALSE),VLOOKUP(A244,ÜRÜNLER!A:B,2,FALSE)),"")</f>
        <v>iQ100 Eğimli Davlumbaz, 60cm, 400m3, Siyah Cam</v>
      </c>
      <c r="C244" s="8">
        <v>4</v>
      </c>
      <c r="D244" s="8"/>
      <c r="E244" s="9"/>
      <c r="F244" s="9"/>
      <c r="G244" s="10"/>
      <c r="H244" s="10"/>
      <c r="I244" s="11"/>
      <c r="J244" s="11"/>
      <c r="K244" s="10"/>
      <c r="L244" s="10"/>
      <c r="M244" s="11"/>
      <c r="N244" s="12">
        <f t="shared" si="9"/>
        <v>4</v>
      </c>
      <c r="O244" s="9">
        <v>11</v>
      </c>
      <c r="P244" s="174"/>
      <c r="Q244" s="56">
        <v>12706.287041862945</v>
      </c>
      <c r="R244" s="27">
        <v>12706.287041862945</v>
      </c>
      <c r="S244" s="13">
        <v>13214.538523537462</v>
      </c>
      <c r="T244" s="14"/>
      <c r="U244" s="14"/>
      <c r="V244" s="18"/>
    </row>
    <row r="245" spans="1:22">
      <c r="A245" s="73" t="s">
        <v>240</v>
      </c>
      <c r="B245" s="55" t="str">
        <f>IFERROR(HYPERLINK(VLOOKUP(A245,ÜRÜNLER!A:C,3,FALSE),VLOOKUP(A245,ÜRÜNLER!A:B,2,FALSE)),"")</f>
        <v>iQ100 Eğimli Davlumbaz, 60cm, 400m3, Antrasit Gri Cam</v>
      </c>
      <c r="C245" s="8">
        <v>3</v>
      </c>
      <c r="D245" s="8"/>
      <c r="E245" s="9"/>
      <c r="F245" s="9">
        <v>1</v>
      </c>
      <c r="G245" s="10"/>
      <c r="H245" s="10"/>
      <c r="I245" s="11">
        <v>2</v>
      </c>
      <c r="J245" s="11"/>
      <c r="K245" s="10"/>
      <c r="L245" s="10"/>
      <c r="M245" s="11">
        <v>1</v>
      </c>
      <c r="N245" s="12">
        <f t="shared" si="9"/>
        <v>7</v>
      </c>
      <c r="O245" s="9">
        <v>11</v>
      </c>
      <c r="P245" s="174"/>
      <c r="Q245" s="56">
        <v>12706.287041862945</v>
      </c>
      <c r="R245" s="27">
        <v>12706.287041862945</v>
      </c>
      <c r="S245" s="13">
        <v>13214.538523537462</v>
      </c>
      <c r="T245" s="14"/>
      <c r="U245" s="14"/>
      <c r="V245" s="18"/>
    </row>
    <row r="246" spans="1:22">
      <c r="A246" s="62" t="s">
        <v>241</v>
      </c>
      <c r="B246" s="55" t="str">
        <f>IFERROR(HYPERLINK(VLOOKUP(A246,ÜRÜNLER!A:C,3,FALSE),VLOOKUP(A246,ÜRÜNLER!A:B,2,FALSE)),"")</f>
        <v>iQ300 Eğimli Davlumbaz, 60cm, 510m3, Beyaz Cam</v>
      </c>
      <c r="C246" s="8"/>
      <c r="D246" s="8"/>
      <c r="E246" s="9"/>
      <c r="F246" s="9"/>
      <c r="G246" s="10"/>
      <c r="H246" s="10"/>
      <c r="I246" s="11">
        <v>1</v>
      </c>
      <c r="J246" s="11"/>
      <c r="K246" s="10"/>
      <c r="L246" s="10"/>
      <c r="M246" s="11">
        <v>1</v>
      </c>
      <c r="N246" s="12">
        <f t="shared" si="9"/>
        <v>2</v>
      </c>
      <c r="O246" s="9">
        <v>21</v>
      </c>
      <c r="P246" s="174"/>
      <c r="Q246" s="56">
        <v>15490.797186025251</v>
      </c>
      <c r="R246" s="27">
        <v>15490.797186025251</v>
      </c>
      <c r="S246" s="13">
        <v>16110.429073466261</v>
      </c>
      <c r="T246" s="14">
        <v>400.09951160664605</v>
      </c>
      <c r="U246" s="14"/>
      <c r="V246" s="18"/>
    </row>
    <row r="247" spans="1:22">
      <c r="A247" s="59" t="s">
        <v>242</v>
      </c>
      <c r="B247" s="55" t="str">
        <f>IFERROR(HYPERLINK(VLOOKUP(A247,ÜRÜNLER!A:C,3,FALSE),VLOOKUP(A247,ÜRÜNLER!A:B,2,FALSE)),"")</f>
        <v>iQ300 Eğimli Davlumbaz, 60cm, 510m3, Siyah Cam</v>
      </c>
      <c r="C247" s="8"/>
      <c r="D247" s="8"/>
      <c r="E247" s="9"/>
      <c r="F247" s="9">
        <v>1</v>
      </c>
      <c r="G247" s="10"/>
      <c r="H247" s="10"/>
      <c r="I247" s="11"/>
      <c r="J247" s="11"/>
      <c r="K247" s="10">
        <v>1</v>
      </c>
      <c r="L247" s="10"/>
      <c r="M247" s="11"/>
      <c r="N247" s="12">
        <f t="shared" si="9"/>
        <v>2</v>
      </c>
      <c r="O247" s="9">
        <v>21</v>
      </c>
      <c r="P247" s="174"/>
      <c r="Q247" s="56">
        <v>15490.797186025251</v>
      </c>
      <c r="R247" s="27">
        <v>15490.797186025251</v>
      </c>
      <c r="S247" s="13">
        <v>16110.429073466261</v>
      </c>
      <c r="T247" s="14">
        <v>400.09951160664605</v>
      </c>
      <c r="U247" s="14"/>
      <c r="V247" s="18"/>
    </row>
    <row r="248" spans="1:22">
      <c r="A248" s="73" t="s">
        <v>243</v>
      </c>
      <c r="B248" s="55" t="str">
        <f>IFERROR(HYPERLINK(VLOOKUP(A248,ÜRÜNLER!A:C,3,FALSE),VLOOKUP(A248,ÜRÜNLER!A:B,2,FALSE)),"")</f>
        <v>iQ300 Eğimli Davlumbaz, 60cm, 510m3, Antrasit Gri Cam</v>
      </c>
      <c r="C248" s="8"/>
      <c r="D248" s="8"/>
      <c r="E248" s="9"/>
      <c r="F248" s="9">
        <v>1</v>
      </c>
      <c r="G248" s="10"/>
      <c r="H248" s="10"/>
      <c r="I248" s="11"/>
      <c r="J248" s="11"/>
      <c r="K248" s="10"/>
      <c r="L248" s="10"/>
      <c r="M248" s="11"/>
      <c r="N248" s="12">
        <f t="shared" si="9"/>
        <v>1</v>
      </c>
      <c r="O248" s="9">
        <v>41</v>
      </c>
      <c r="P248" s="174"/>
      <c r="Q248" s="56">
        <v>15490.797186025251</v>
      </c>
      <c r="R248" s="27">
        <v>15490.797186025251</v>
      </c>
      <c r="S248" s="13">
        <v>16110.429073466261</v>
      </c>
      <c r="T248" s="14">
        <v>400.09951160664605</v>
      </c>
      <c r="U248" s="14"/>
      <c r="V248" s="18"/>
    </row>
    <row r="249" spans="1:22">
      <c r="A249" s="61" t="s">
        <v>244</v>
      </c>
      <c r="B249" s="55" t="str">
        <f>IFERROR(HYPERLINK(VLOOKUP(A249,ÜRÜNLER!A:C,3,FALSE),VLOOKUP(A249,ÜRÜNLER!A:B,2,FALSE)),"")</f>
        <v>iQ300 Düz Davlumbaz, 60cm, 582m3, Beyaz/Inox</v>
      </c>
      <c r="C249" s="8">
        <v>25</v>
      </c>
      <c r="D249" s="8"/>
      <c r="E249" s="9"/>
      <c r="F249" s="9"/>
      <c r="G249" s="10"/>
      <c r="H249" s="10"/>
      <c r="I249" s="11"/>
      <c r="J249" s="11"/>
      <c r="K249" s="10"/>
      <c r="L249" s="10"/>
      <c r="M249" s="11"/>
      <c r="N249" s="12">
        <f t="shared" si="9"/>
        <v>25</v>
      </c>
      <c r="O249" s="9">
        <v>1</v>
      </c>
      <c r="P249" s="174"/>
      <c r="Q249" s="56">
        <v>15657.39130179454</v>
      </c>
      <c r="R249" s="25">
        <v>15344.243475758649</v>
      </c>
      <c r="S249" s="13">
        <v>15958.013214788994</v>
      </c>
      <c r="T249" s="14"/>
      <c r="U249" s="14"/>
      <c r="V249" s="18"/>
    </row>
    <row r="250" spans="1:22">
      <c r="A250" s="70" t="s">
        <v>245</v>
      </c>
      <c r="B250" s="55" t="str">
        <f>IFERROR(HYPERLINK(VLOOKUP(A250,ÜRÜNLER!A:C,3,FALSE),VLOOKUP(A250,ÜRÜNLER!A:B,2,FALSE)),"")</f>
        <v>iQ300 Düz Davlumbaz, 60cm, 582m3, Siyah/Inox</v>
      </c>
      <c r="C250" s="8"/>
      <c r="D250" s="8"/>
      <c r="E250" s="9"/>
      <c r="F250" s="9"/>
      <c r="G250" s="10"/>
      <c r="H250" s="10"/>
      <c r="I250" s="11">
        <v>1</v>
      </c>
      <c r="J250" s="11">
        <v>1</v>
      </c>
      <c r="K250" s="10">
        <v>3</v>
      </c>
      <c r="L250" s="10"/>
      <c r="M250" s="11">
        <v>1</v>
      </c>
      <c r="N250" s="12">
        <f t="shared" si="9"/>
        <v>6</v>
      </c>
      <c r="O250" s="9">
        <v>21</v>
      </c>
      <c r="P250" s="174"/>
      <c r="Q250" s="56">
        <v>15657.39130179454</v>
      </c>
      <c r="R250" s="27">
        <v>15657.39130179454</v>
      </c>
      <c r="S250" s="13">
        <v>16283.686953866321</v>
      </c>
      <c r="T250" s="14"/>
      <c r="U250" s="14"/>
      <c r="V250" s="18"/>
    </row>
    <row r="251" spans="1:22">
      <c r="A251" s="73" t="s">
        <v>246</v>
      </c>
      <c r="B251" s="55" t="str">
        <f>IFERROR(HYPERLINK(VLOOKUP(A251,ÜRÜNLER!A:C,3,FALSE),VLOOKUP(A251,ÜRÜNLER!A:B,2,FALSE)),"")</f>
        <v>iQ300 Düz Davlumbaz, 60cm, 649m3, Antrasit Gri Cam</v>
      </c>
      <c r="C251" s="8">
        <v>7</v>
      </c>
      <c r="D251" s="8"/>
      <c r="E251" s="9"/>
      <c r="F251" s="9"/>
      <c r="G251" s="10"/>
      <c r="H251" s="10"/>
      <c r="I251" s="11"/>
      <c r="J251" s="11"/>
      <c r="K251" s="10">
        <v>1</v>
      </c>
      <c r="L251" s="10"/>
      <c r="M251" s="11"/>
      <c r="N251" s="12">
        <f t="shared" si="9"/>
        <v>8</v>
      </c>
      <c r="O251" s="9">
        <v>1</v>
      </c>
      <c r="P251" s="174"/>
      <c r="Q251" s="56">
        <v>17796.490223290712</v>
      </c>
      <c r="R251" s="51">
        <v>16906.665712126174</v>
      </c>
      <c r="S251" s="13">
        <v>17582.93234061122</v>
      </c>
      <c r="T251" s="14">
        <v>1338.3506884069902</v>
      </c>
      <c r="U251" s="14"/>
      <c r="V251" s="18"/>
    </row>
    <row r="252" spans="1:22">
      <c r="A252" s="61" t="s">
        <v>247</v>
      </c>
      <c r="B252" s="55" t="str">
        <f>IFERROR(HYPERLINK(VLOOKUP(A252,ÜRÜNLER!A:C,3,FALSE),VLOOKUP(A252,ÜRÜNLER!A:B,2,FALSE)),"")</f>
        <v>iQ500 Düz Davlumbaz, 60cm, 645m3, Beyaz Cam</v>
      </c>
      <c r="C252" s="8">
        <v>16</v>
      </c>
      <c r="D252" s="8"/>
      <c r="E252" s="9"/>
      <c r="F252" s="9"/>
      <c r="G252" s="10"/>
      <c r="H252" s="10"/>
      <c r="I252" s="11"/>
      <c r="J252" s="11"/>
      <c r="K252" s="10"/>
      <c r="L252" s="10"/>
      <c r="M252" s="11"/>
      <c r="N252" s="12">
        <f t="shared" si="9"/>
        <v>16</v>
      </c>
      <c r="O252" s="9"/>
      <c r="P252" s="174"/>
      <c r="Q252" s="107" t="s">
        <v>1335</v>
      </c>
      <c r="R252" s="20">
        <v>18000</v>
      </c>
      <c r="S252" s="13">
        <v>18720</v>
      </c>
      <c r="T252" s="14"/>
      <c r="U252" s="14"/>
      <c r="V252" s="18"/>
    </row>
    <row r="253" spans="1:22">
      <c r="A253" s="70" t="s">
        <v>248</v>
      </c>
      <c r="B253" s="55" t="str">
        <f>IFERROR(HYPERLINK(VLOOKUP(A253,ÜRÜNLER!A:C,3,FALSE),VLOOKUP(A253,ÜRÜNLER!A:B,2,FALSE)),"")</f>
        <v>iQ500 Düz Davlumbaz, 60cm, 645m3, Siyah Cam</v>
      </c>
      <c r="C253" s="8"/>
      <c r="D253" s="8"/>
      <c r="E253" s="9"/>
      <c r="F253" s="9">
        <v>1</v>
      </c>
      <c r="G253" s="10"/>
      <c r="H253" s="10"/>
      <c r="I253" s="11"/>
      <c r="J253" s="11"/>
      <c r="K253" s="10"/>
      <c r="L253" s="10"/>
      <c r="M253" s="11"/>
      <c r="N253" s="12">
        <f t="shared" si="9"/>
        <v>1</v>
      </c>
      <c r="O253" s="9"/>
      <c r="P253" s="174"/>
      <c r="Q253" s="107" t="s">
        <v>1335</v>
      </c>
      <c r="R253" s="20">
        <v>16000</v>
      </c>
      <c r="S253" s="13">
        <v>16640</v>
      </c>
      <c r="T253" s="14"/>
      <c r="U253" s="14"/>
      <c r="V253" s="18">
        <v>250</v>
      </c>
    </row>
    <row r="254" spans="1:22">
      <c r="A254" s="70" t="s">
        <v>249</v>
      </c>
      <c r="B254" s="55" t="str">
        <f>IFERROR(HYPERLINK(VLOOKUP(A254,ÜRÜNLER!A:C,3,FALSE),VLOOKUP(A254,ÜRÜNLER!A:B,2,FALSE)),"")</f>
        <v>iQ500 Eğimli Davlumbaz, 60cm, 510m3, Siyah Cam</v>
      </c>
      <c r="C254" s="8"/>
      <c r="D254" s="8"/>
      <c r="E254" s="9"/>
      <c r="F254" s="9"/>
      <c r="G254" s="10"/>
      <c r="H254" s="10"/>
      <c r="I254" s="11"/>
      <c r="J254" s="11"/>
      <c r="K254" s="10"/>
      <c r="L254" s="10"/>
      <c r="M254" s="11">
        <v>1</v>
      </c>
      <c r="N254" s="12">
        <f t="shared" si="9"/>
        <v>1</v>
      </c>
      <c r="O254" s="9">
        <v>21</v>
      </c>
      <c r="P254" s="174"/>
      <c r="Q254" s="56">
        <v>17251.19529504286</v>
      </c>
      <c r="R254" s="20">
        <v>17251.19529504286</v>
      </c>
      <c r="S254" s="13">
        <v>17941.243106844573</v>
      </c>
      <c r="T254" s="14"/>
      <c r="U254" s="14"/>
      <c r="V254" s="18"/>
    </row>
    <row r="255" spans="1:22">
      <c r="A255" s="73" t="s">
        <v>250</v>
      </c>
      <c r="B255" s="55" t="str">
        <f>IFERROR(HYPERLINK(VLOOKUP(A255,ÜRÜNLER!A:C,3,FALSE),VLOOKUP(A255,ÜRÜNLER!A:B,2,FALSE)),"")</f>
        <v>iQ500 Eğimli Davlumbaz, 60cm, 510m3, Antrasit Gri Cam</v>
      </c>
      <c r="C255" s="8">
        <v>1</v>
      </c>
      <c r="D255" s="8"/>
      <c r="E255" s="9"/>
      <c r="F255" s="9"/>
      <c r="G255" s="10"/>
      <c r="H255" s="10"/>
      <c r="I255" s="11"/>
      <c r="J255" s="11">
        <v>1</v>
      </c>
      <c r="K255" s="10">
        <v>1</v>
      </c>
      <c r="L255" s="10"/>
      <c r="M255" s="11"/>
      <c r="N255" s="12">
        <f t="shared" si="9"/>
        <v>3</v>
      </c>
      <c r="O255" s="9">
        <v>21</v>
      </c>
      <c r="P255" s="174"/>
      <c r="Q255" s="56">
        <v>17251.19529504286</v>
      </c>
      <c r="R255" s="27">
        <v>17251.19529504286</v>
      </c>
      <c r="S255" s="13">
        <v>17941.243106844573</v>
      </c>
      <c r="T255" s="14"/>
      <c r="U255" s="14"/>
      <c r="V255" s="18"/>
    </row>
    <row r="256" spans="1:22">
      <c r="A256" s="61" t="s">
        <v>251</v>
      </c>
      <c r="B256" s="55" t="str">
        <f>IFERROR(HYPERLINK(VLOOKUP(A256,ÜRÜNLER!A:C,3,FALSE),VLOOKUP(A256,ÜRÜNLER!A:B,2,FALSE)),"")</f>
        <v>iQ500 Eğimli Davlumbaz, 60cm, 578m3, Siyah Cam</v>
      </c>
      <c r="C256" s="8"/>
      <c r="D256" s="8"/>
      <c r="E256" s="9"/>
      <c r="F256" s="9"/>
      <c r="G256" s="10"/>
      <c r="H256" s="10"/>
      <c r="I256" s="11"/>
      <c r="J256" s="11">
        <v>1</v>
      </c>
      <c r="K256" s="10">
        <v>2</v>
      </c>
      <c r="L256" s="10"/>
      <c r="M256" s="11">
        <v>1</v>
      </c>
      <c r="N256" s="12">
        <f t="shared" si="9"/>
        <v>4</v>
      </c>
      <c r="O256" s="9"/>
      <c r="P256" s="174"/>
      <c r="Q256" s="107" t="s">
        <v>1335</v>
      </c>
      <c r="R256" s="20">
        <v>17000</v>
      </c>
      <c r="S256" s="13">
        <v>17680</v>
      </c>
      <c r="T256" s="14"/>
      <c r="U256" s="14"/>
      <c r="V256" s="18">
        <v>250</v>
      </c>
    </row>
    <row r="257" spans="1:22">
      <c r="A257" s="76" t="s">
        <v>252</v>
      </c>
      <c r="B257" s="55" t="str">
        <f>IFERROR(HYPERLINK(VLOOKUP(A257,ÜRÜNLER!A:C,3,FALSE),VLOOKUP(A257,ÜRÜNLER!A:B,2,FALSE)),"")</f>
        <v>iQ500 Eğimli Davlumbaz, 60cm, 510m3, Beyaz Cam</v>
      </c>
      <c r="C257" s="8"/>
      <c r="D257" s="8"/>
      <c r="E257" s="9"/>
      <c r="F257" s="9"/>
      <c r="G257" s="10"/>
      <c r="H257" s="10"/>
      <c r="I257" s="11">
        <v>1</v>
      </c>
      <c r="J257" s="11">
        <v>1</v>
      </c>
      <c r="K257" s="10"/>
      <c r="L257" s="10"/>
      <c r="M257" s="11"/>
      <c r="N257" s="12">
        <f t="shared" si="9"/>
        <v>2</v>
      </c>
      <c r="O257" s="9">
        <v>16</v>
      </c>
      <c r="P257" s="174"/>
      <c r="Q257" s="56">
        <v>17251.19529504286</v>
      </c>
      <c r="R257" s="20">
        <v>17251.19529504286</v>
      </c>
      <c r="S257" s="13">
        <v>17941.243106844573</v>
      </c>
      <c r="T257" s="14"/>
      <c r="U257" s="14"/>
      <c r="V257" s="18"/>
    </row>
    <row r="258" spans="1:22">
      <c r="A258" s="70" t="s">
        <v>253</v>
      </c>
      <c r="B258" s="55" t="str">
        <f>IFERROR(HYPERLINK(VLOOKUP(A258,ÜRÜNLER!A:C,3,FALSE),VLOOKUP(A258,ÜRÜNLER!A:B,2,FALSE)),"")</f>
        <v>iQ500 Eğimli Davlumbaz, 60cm, 700m3, Siyah Cam</v>
      </c>
      <c r="C258" s="8">
        <v>4</v>
      </c>
      <c r="D258" s="8"/>
      <c r="E258" s="9"/>
      <c r="F258" s="9"/>
      <c r="G258" s="10"/>
      <c r="H258" s="10"/>
      <c r="I258" s="11"/>
      <c r="J258" s="11"/>
      <c r="K258" s="10">
        <v>1</v>
      </c>
      <c r="L258" s="10"/>
      <c r="M258" s="11"/>
      <c r="N258" s="12">
        <f t="shared" si="9"/>
        <v>5</v>
      </c>
      <c r="O258" s="9">
        <v>11</v>
      </c>
      <c r="P258" s="174"/>
      <c r="Q258" s="56">
        <v>17251.19529504286</v>
      </c>
      <c r="R258" s="20">
        <v>17251.19529504286</v>
      </c>
      <c r="S258" s="13">
        <v>17941.243106844573</v>
      </c>
      <c r="T258" s="14"/>
      <c r="U258" s="14"/>
      <c r="V258" s="18"/>
    </row>
    <row r="259" spans="1:22">
      <c r="A259" s="67" t="s">
        <v>1541</v>
      </c>
      <c r="B259" s="55" t="str">
        <f>IFERROR(HYPERLINK(VLOOKUP(A259,ÜRÜNLER!A:C,3,FALSE),VLOOKUP(A259,ÜRÜNLER!A:B,2,FALSE)),"")</f>
        <v>iQ700 Eğimli Davlumbaz, 60cm, 616m3, Siyah Cam</v>
      </c>
      <c r="C259" s="8"/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2">
        <f t="shared" si="9"/>
        <v>0</v>
      </c>
      <c r="O259" s="9">
        <v>14</v>
      </c>
      <c r="P259" s="174"/>
      <c r="Q259" s="56">
        <v>30799</v>
      </c>
      <c r="R259" s="27">
        <v>30799</v>
      </c>
      <c r="S259" s="13">
        <v>32030.959999999999</v>
      </c>
      <c r="T259" s="14"/>
      <c r="U259" s="14"/>
      <c r="V259" s="18"/>
    </row>
    <row r="260" spans="1:22">
      <c r="A260" s="77" t="s">
        <v>254</v>
      </c>
      <c r="B260" s="55" t="str">
        <f>IFERROR(HYPERLINK(VLOOKUP(A260,ÜRÜNLER!A:C,3,FALSE),VLOOKUP(A260,ÜRÜNLER!A:B,2,FALSE)),"")</f>
        <v>iQ300 Düz Davlumbaz, 75cm, 454m3, Siyah/Inox</v>
      </c>
      <c r="C260" s="8">
        <v>1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12">
        <f t="shared" si="9"/>
        <v>1</v>
      </c>
      <c r="O260" s="9"/>
      <c r="P260" s="174"/>
      <c r="Q260" s="107" t="s">
        <v>1335</v>
      </c>
      <c r="R260" s="20">
        <v>40000</v>
      </c>
      <c r="S260" s="13">
        <v>41600</v>
      </c>
      <c r="T260" s="14"/>
      <c r="U260" s="14"/>
      <c r="V260" s="18"/>
    </row>
    <row r="261" spans="1:22">
      <c r="A261" s="61" t="s">
        <v>255</v>
      </c>
      <c r="B261" s="55" t="str">
        <f>IFERROR(HYPERLINK(VLOOKUP(A261,ÜRÜNLER!A:C,3,FALSE),VLOOKUP(A261,ÜRÜNLER!A:B,2,FALSE)),"")</f>
        <v>iQ700 Eğimli Davlumbaz, 90cm, 441m3, Siyah Cam</v>
      </c>
      <c r="C261" s="8">
        <v>1</v>
      </c>
      <c r="D261" s="8"/>
      <c r="E261" s="9"/>
      <c r="F261" s="9"/>
      <c r="G261" s="10"/>
      <c r="H261" s="10"/>
      <c r="I261" s="11"/>
      <c r="J261" s="11"/>
      <c r="K261" s="10"/>
      <c r="L261" s="10"/>
      <c r="M261" s="11"/>
      <c r="N261" s="12">
        <f t="shared" si="9"/>
        <v>1</v>
      </c>
      <c r="O261" s="9">
        <v>4</v>
      </c>
      <c r="P261" s="174"/>
      <c r="Q261" s="56">
        <v>53660.013935333045</v>
      </c>
      <c r="R261" s="20">
        <v>53660.013935333045</v>
      </c>
      <c r="S261" s="13">
        <v>55806.414492746364</v>
      </c>
      <c r="T261" s="14"/>
      <c r="U261" s="14"/>
      <c r="V261" s="18"/>
    </row>
    <row r="262" spans="1:22">
      <c r="A262" s="61" t="s">
        <v>256</v>
      </c>
      <c r="B262" s="55" t="str">
        <f>IFERROR(HYPERLINK(VLOOKUP(A262,ÜRÜNLER!A:C,3,FALSE),VLOOKUP(A262,ÜRÜNLER!A:B,2,FALSE)),"")</f>
        <v>iQ700 studioLine Eğimli Davlumbaz, 90cm, 441m3, Siyah Cam</v>
      </c>
      <c r="C262" s="8"/>
      <c r="D262" s="8">
        <v>1</v>
      </c>
      <c r="E262" s="9"/>
      <c r="F262" s="9"/>
      <c r="G262" s="10"/>
      <c r="H262" s="10"/>
      <c r="I262" s="11"/>
      <c r="J262" s="11"/>
      <c r="K262" s="10">
        <v>1</v>
      </c>
      <c r="L262" s="10"/>
      <c r="M262" s="11"/>
      <c r="N262" s="12">
        <f t="shared" si="9"/>
        <v>2</v>
      </c>
      <c r="O262" s="9"/>
      <c r="P262" s="174"/>
      <c r="Q262" s="56">
        <v>79664.143496936216</v>
      </c>
      <c r="R262" s="20">
        <v>79664.143496936216</v>
      </c>
      <c r="S262" s="13">
        <v>82850.709236813665</v>
      </c>
      <c r="T262" s="14"/>
      <c r="U262" s="14"/>
      <c r="V262" s="118">
        <v>500</v>
      </c>
    </row>
    <row r="263" spans="1:22">
      <c r="A263" s="61" t="s">
        <v>257</v>
      </c>
      <c r="B263" s="55" t="str">
        <f>IFERROR(HYPERLINK(VLOOKUP(A263,ÜRÜNLER!A:C,3,FALSE),VLOOKUP(A263,ÜRÜNLER!A:B,2,FALSE)),"")</f>
        <v>iQ100 Düz Davlumbaz, 90cm, 616m3, Inox</v>
      </c>
      <c r="C263" s="8">
        <v>2</v>
      </c>
      <c r="D263" s="8"/>
      <c r="E263" s="9"/>
      <c r="F263" s="9"/>
      <c r="G263" s="10"/>
      <c r="H263" s="10"/>
      <c r="I263" s="11"/>
      <c r="J263" s="11">
        <v>1</v>
      </c>
      <c r="K263" s="10"/>
      <c r="L263" s="10"/>
      <c r="M263" s="11"/>
      <c r="N263" s="12">
        <f t="shared" si="9"/>
        <v>3</v>
      </c>
      <c r="O263" s="9">
        <v>1</v>
      </c>
      <c r="P263" s="174"/>
      <c r="Q263" s="56">
        <v>21421.358441741868</v>
      </c>
      <c r="R263" s="27">
        <v>21421.358441741868</v>
      </c>
      <c r="S263" s="13">
        <v>22278.212779411544</v>
      </c>
      <c r="T263" s="14"/>
      <c r="U263" s="14"/>
      <c r="V263" s="18"/>
    </row>
    <row r="264" spans="1:22">
      <c r="A264" s="78" t="s">
        <v>258</v>
      </c>
      <c r="B264" s="55" t="str">
        <f>IFERROR(HYPERLINK(VLOOKUP(A264,ÜRÜNLER!A:C,3,FALSE),VLOOKUP(A264,ÜRÜNLER!A:B,2,FALSE)),"")</f>
        <v>iQ300 Düz Davlumbaz, 90cm, 649m3, Antrasit Gri Cam</v>
      </c>
      <c r="C264" s="8">
        <v>2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2">
        <f t="shared" si="9"/>
        <v>2</v>
      </c>
      <c r="O264" s="9">
        <v>1</v>
      </c>
      <c r="P264" s="174"/>
      <c r="Q264" s="56">
        <v>22587.832224418456</v>
      </c>
      <c r="R264" s="27">
        <v>22587.832224418456</v>
      </c>
      <c r="S264" s="13">
        <v>23491.345513395194</v>
      </c>
      <c r="T264" s="14"/>
      <c r="U264" s="14"/>
      <c r="V264" s="18"/>
    </row>
    <row r="265" spans="1:22">
      <c r="A265" s="65" t="s">
        <v>259</v>
      </c>
      <c r="B265" s="55" t="str">
        <f>IFERROR(HYPERLINK(VLOOKUP(A265,ÜRÜNLER!A:C,3,FALSE),VLOOKUP(A265,ÜRÜNLER!A:B,2,FALSE)),"")</f>
        <v>iQ300 Düz Davlumbaz, 90cm, 649m3, Beyaz Cam</v>
      </c>
      <c r="C265" s="8">
        <v>16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2">
        <f t="shared" si="9"/>
        <v>16</v>
      </c>
      <c r="O265" s="9">
        <v>1</v>
      </c>
      <c r="P265" s="174"/>
      <c r="Q265" s="56">
        <v>22587.832224418456</v>
      </c>
      <c r="R265" s="25">
        <v>22136.075579930086</v>
      </c>
      <c r="S265" s="13">
        <v>23021.51860312729</v>
      </c>
      <c r="T265" s="14"/>
      <c r="U265" s="14"/>
      <c r="V265" s="18"/>
    </row>
    <row r="266" spans="1:22">
      <c r="A266" s="73" t="s">
        <v>260</v>
      </c>
      <c r="B266" s="55" t="str">
        <f>IFERROR(HYPERLINK(VLOOKUP(A266,ÜRÜNLER!A:C,3,FALSE),VLOOKUP(A266,ÜRÜNLER!A:B,2,FALSE)),"")</f>
        <v>iQ300 Düz Davlumbaz, 90cm, 649m3, Titanyum Gri Cam</v>
      </c>
      <c r="C266" s="8">
        <v>3</v>
      </c>
      <c r="D266" s="8"/>
      <c r="E266" s="9"/>
      <c r="F266" s="9"/>
      <c r="G266" s="10"/>
      <c r="H266" s="10"/>
      <c r="I266" s="11">
        <v>1</v>
      </c>
      <c r="J266" s="11"/>
      <c r="K266" s="10"/>
      <c r="L266" s="10"/>
      <c r="M266" s="11"/>
      <c r="N266" s="12">
        <f t="shared" si="9"/>
        <v>4</v>
      </c>
      <c r="O266" s="9"/>
      <c r="P266" s="174"/>
      <c r="Q266" s="107" t="s">
        <v>1335</v>
      </c>
      <c r="R266" s="20">
        <v>29999</v>
      </c>
      <c r="S266" s="13">
        <v>31198.959999999999</v>
      </c>
      <c r="T266" s="14"/>
      <c r="U266" s="14"/>
      <c r="V266" s="18"/>
    </row>
    <row r="267" spans="1:22">
      <c r="A267" s="61" t="s">
        <v>261</v>
      </c>
      <c r="B267" s="55" t="str">
        <f>IFERROR(HYPERLINK(VLOOKUP(A267,ÜRÜNLER!A:C,3,FALSE),VLOOKUP(A267,ÜRÜNLER!A:B,2,FALSE)),"")</f>
        <v>iQ300 Eğimli Davlumbaz, 90cm, 629m3, Beyaz Cam</v>
      </c>
      <c r="C267" s="8">
        <v>20</v>
      </c>
      <c r="D267" s="8"/>
      <c r="E267" s="9"/>
      <c r="F267" s="9">
        <v>1</v>
      </c>
      <c r="G267" s="10"/>
      <c r="H267" s="10"/>
      <c r="I267" s="11">
        <v>1</v>
      </c>
      <c r="J267" s="11">
        <v>1</v>
      </c>
      <c r="K267" s="10">
        <v>1</v>
      </c>
      <c r="L267" s="10"/>
      <c r="M267" s="11"/>
      <c r="N267" s="12">
        <f t="shared" si="9"/>
        <v>24</v>
      </c>
      <c r="O267" s="9"/>
      <c r="P267" s="174"/>
      <c r="Q267" s="107" t="s">
        <v>1335</v>
      </c>
      <c r="R267" s="51">
        <v>25000</v>
      </c>
      <c r="S267" s="160">
        <v>26000</v>
      </c>
      <c r="T267" s="14">
        <v>523.33187705630189</v>
      </c>
      <c r="U267" s="14"/>
      <c r="V267" s="119">
        <v>500</v>
      </c>
    </row>
    <row r="268" spans="1:22">
      <c r="A268" s="61" t="s">
        <v>262</v>
      </c>
      <c r="B268" s="55" t="str">
        <f>IFERROR(HYPERLINK(VLOOKUP(A268,ÜRÜNLER!A:C,3,FALSE),VLOOKUP(A268,ÜRÜNLER!A:B,2,FALSE)),"")</f>
        <v>iQ300 Düz Davlumbaz, 90cm, 468m3, Inox</v>
      </c>
      <c r="C268" s="8">
        <v>4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2">
        <f t="shared" si="9"/>
        <v>4</v>
      </c>
      <c r="O268" s="9">
        <v>1</v>
      </c>
      <c r="P268" s="174"/>
      <c r="Q268" s="56">
        <v>34187.397153510559</v>
      </c>
      <c r="R268" s="27">
        <v>34187.397153510559</v>
      </c>
      <c r="S268" s="13">
        <v>35554.893039650982</v>
      </c>
      <c r="T268" s="14"/>
      <c r="U268" s="14"/>
      <c r="V268" s="18"/>
    </row>
    <row r="269" spans="1:22">
      <c r="A269" s="61" t="s">
        <v>263</v>
      </c>
      <c r="B269" s="55" t="str">
        <f>IFERROR(HYPERLINK(VLOOKUP(A269,ÜRÜNLER!A:C,3,FALSE),VLOOKUP(A269,ÜRÜNLER!A:B,2,FALSE)),"")</f>
        <v>iQ500 Düz Davlumbaz, 90cm, 394m3, Siyah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2">
        <f t="shared" si="9"/>
        <v>4</v>
      </c>
      <c r="O269" s="9"/>
      <c r="P269" s="174"/>
      <c r="Q269" s="107" t="s">
        <v>1335</v>
      </c>
      <c r="R269" s="20">
        <v>51000</v>
      </c>
      <c r="S269" s="13">
        <v>53040</v>
      </c>
      <c r="T269" s="14"/>
      <c r="U269" s="14"/>
      <c r="V269" s="119">
        <v>1000</v>
      </c>
    </row>
    <row r="270" spans="1:22">
      <c r="A270" s="61" t="s">
        <v>264</v>
      </c>
      <c r="B270" s="55" t="str">
        <f>IFERROR(HYPERLINK(VLOOKUP(A270,ÜRÜNLER!A:C,3,FALSE),VLOOKUP(A270,ÜRÜNLER!A:B,2,FALSE)),"")</f>
        <v>iQ700 Düz Davlumbaz, 90cm, 394m3, Siyah Cam</v>
      </c>
      <c r="C270" s="8">
        <v>3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2">
        <f t="shared" si="9"/>
        <v>3</v>
      </c>
      <c r="O270" s="9"/>
      <c r="P270" s="174"/>
      <c r="Q270" s="107" t="s">
        <v>1335</v>
      </c>
      <c r="R270" s="20">
        <v>51000</v>
      </c>
      <c r="S270" s="13">
        <v>53040</v>
      </c>
      <c r="T270" s="14"/>
      <c r="U270" s="14"/>
      <c r="V270" s="119">
        <v>1000</v>
      </c>
    </row>
    <row r="271" spans="1:22">
      <c r="A271" s="61" t="s">
        <v>265</v>
      </c>
      <c r="B271" s="55" t="str">
        <f>IFERROR(HYPERLINK(VLOOKUP(A271,ÜRÜNLER!A:C,3,FALSE),VLOOKUP(A271,ÜRÜNLER!A:B,2,FALSE)),"")</f>
        <v>iQ700 Düz Davlumbaz, 90cm, 394m3, Siyah Cam</v>
      </c>
      <c r="C271" s="8"/>
      <c r="D271" s="8"/>
      <c r="E271" s="9"/>
      <c r="F271" s="9"/>
      <c r="G271" s="10"/>
      <c r="H271" s="10"/>
      <c r="I271" s="11"/>
      <c r="J271" s="11">
        <v>1</v>
      </c>
      <c r="K271" s="10"/>
      <c r="L271" s="10"/>
      <c r="M271" s="11"/>
      <c r="N271" s="12">
        <f t="shared" si="9"/>
        <v>1</v>
      </c>
      <c r="O271" s="9"/>
      <c r="P271" s="174"/>
      <c r="Q271" s="107" t="s">
        <v>1335</v>
      </c>
      <c r="R271" s="20">
        <v>51000</v>
      </c>
      <c r="S271" s="13">
        <v>53040</v>
      </c>
      <c r="T271" s="14"/>
      <c r="U271" s="14"/>
      <c r="V271" s="119">
        <v>1000</v>
      </c>
    </row>
    <row r="272" spans="1:22">
      <c r="A272" s="76" t="s">
        <v>266</v>
      </c>
      <c r="B272" s="55" t="str">
        <f>IFERROR(HYPERLINK(VLOOKUP(A272,ÜRÜNLER!A:C,3,FALSE),VLOOKUP(A272,ÜRÜNLER!A:B,2,FALSE)),"")</f>
        <v>iQ500 Eğimli Davlumbaz, 90cm, 510m3, Beyaz Cam</v>
      </c>
      <c r="C272" s="8">
        <v>3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2">
        <f t="shared" si="9"/>
        <v>3</v>
      </c>
      <c r="O272" s="9">
        <v>1</v>
      </c>
      <c r="P272" s="174"/>
      <c r="Q272" s="56">
        <v>27030.669753203663</v>
      </c>
      <c r="R272" s="27">
        <v>27030.669753203663</v>
      </c>
      <c r="S272" s="13">
        <v>28111.896543331808</v>
      </c>
      <c r="T272" s="14"/>
      <c r="U272" s="14"/>
      <c r="V272" s="18"/>
    </row>
    <row r="273" spans="1:22">
      <c r="A273" s="70" t="s">
        <v>267</v>
      </c>
      <c r="B273" s="55" t="str">
        <f>IFERROR(HYPERLINK(VLOOKUP(A273,ÜRÜNLER!A:C,3,FALSE),VLOOKUP(A273,ÜRÜNLER!A:B,2,FALSE)),"")</f>
        <v>iQ500 Eğimli Davlumbaz, 90cm, 510m3, Siyah Cam</v>
      </c>
      <c r="C273" s="8">
        <v>1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2">
        <f t="shared" si="9"/>
        <v>1</v>
      </c>
      <c r="O273" s="9">
        <v>1</v>
      </c>
      <c r="P273" s="174"/>
      <c r="Q273" s="56">
        <v>27030.669753203663</v>
      </c>
      <c r="R273" s="27">
        <v>27030.669753203663</v>
      </c>
      <c r="S273" s="13">
        <v>28111.896543331808</v>
      </c>
      <c r="T273" s="14"/>
      <c r="U273" s="14"/>
      <c r="V273" s="18"/>
    </row>
    <row r="274" spans="1:22">
      <c r="A274" s="73" t="s">
        <v>268</v>
      </c>
      <c r="B274" s="55" t="str">
        <f>IFERROR(HYPERLINK(VLOOKUP(A274,ÜRÜNLER!A:C,3,FALSE),VLOOKUP(A274,ÜRÜNLER!A:B,2,FALSE)),"")</f>
        <v>iQ500 Eğimli Davlumbaz, 90cm, 510m3, Antrasit Gri Cam</v>
      </c>
      <c r="C274" s="8">
        <v>6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2">
        <f t="shared" si="9"/>
        <v>6</v>
      </c>
      <c r="O274" s="9">
        <v>1</v>
      </c>
      <c r="P274" s="174"/>
      <c r="Q274" s="56">
        <v>27030.669753203663</v>
      </c>
      <c r="R274" s="27">
        <v>27030.669753203663</v>
      </c>
      <c r="S274" s="13">
        <v>28111.896543331808</v>
      </c>
      <c r="T274" s="14"/>
      <c r="U274" s="14"/>
      <c r="V274" s="18"/>
    </row>
    <row r="275" spans="1:22">
      <c r="A275" s="61" t="s">
        <v>269</v>
      </c>
      <c r="B275" s="55" t="str">
        <f>IFERROR(HYPERLINK(VLOOKUP(A275,ÜRÜNLER!A:C,3,FALSE),VLOOKUP(A275,ÜRÜNLER!A:B,2,FALSE)),"")</f>
        <v>iQ500 Düz Davlumbaz, 90cm, 430m3, Inox</v>
      </c>
      <c r="C275" s="8">
        <v>2</v>
      </c>
      <c r="D275" s="8"/>
      <c r="E275" s="9"/>
      <c r="F275" s="9"/>
      <c r="G275" s="10"/>
      <c r="H275" s="10"/>
      <c r="I275" s="11"/>
      <c r="J275" s="11"/>
      <c r="K275" s="10"/>
      <c r="L275" s="10"/>
      <c r="M275" s="11"/>
      <c r="N275" s="12">
        <f t="shared" si="9"/>
        <v>2</v>
      </c>
      <c r="O275" s="9"/>
      <c r="P275" s="174"/>
      <c r="Q275" s="107" t="s">
        <v>1335</v>
      </c>
      <c r="R275" s="20">
        <v>26000</v>
      </c>
      <c r="S275" s="13">
        <v>27040</v>
      </c>
      <c r="T275" s="14"/>
      <c r="U275" s="14"/>
      <c r="V275" s="152">
        <v>500</v>
      </c>
    </row>
    <row r="276" spans="1:22">
      <c r="A276" s="61" t="s">
        <v>270</v>
      </c>
      <c r="B276" s="55" t="str">
        <f>IFERROR(HYPERLINK(VLOOKUP(A276,ÜRÜNLER!A:C,3,FALSE),VLOOKUP(A276,ÜRÜNLER!A:B,2,FALSE)),"")</f>
        <v>iQ500 Eğimli Davlumbaz, 90cm, 370m3, Cam Dekorlu Inox</v>
      </c>
      <c r="C276" s="8">
        <v>7</v>
      </c>
      <c r="D276" s="8"/>
      <c r="E276" s="9"/>
      <c r="F276" s="9"/>
      <c r="G276" s="10"/>
      <c r="H276" s="10"/>
      <c r="I276" s="11"/>
      <c r="J276" s="11"/>
      <c r="K276" s="10"/>
      <c r="L276" s="10"/>
      <c r="M276" s="11"/>
      <c r="N276" s="12">
        <f t="shared" si="9"/>
        <v>7</v>
      </c>
      <c r="O276" s="9"/>
      <c r="P276" s="174"/>
      <c r="Q276" s="107" t="s">
        <v>1335</v>
      </c>
      <c r="R276" s="20">
        <v>26000</v>
      </c>
      <c r="S276" s="13">
        <v>27040</v>
      </c>
      <c r="T276" s="14"/>
      <c r="U276" s="14"/>
      <c r="V276" s="152">
        <v>500</v>
      </c>
    </row>
    <row r="277" spans="1:22">
      <c r="A277" s="70" t="s">
        <v>271</v>
      </c>
      <c r="B277" s="55" t="str">
        <f>IFERROR(HYPERLINK(VLOOKUP(A277,ÜRÜNLER!A:C,3,FALSE),VLOOKUP(A277,ÜRÜNLER!A:B,2,FALSE)),"")</f>
        <v>iQ500 Eğimli Davlumbaz, 90cm, 468m3, Siyah Cam</v>
      </c>
      <c r="C277" s="8"/>
      <c r="D277" s="8"/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2">
        <f t="shared" si="9"/>
        <v>1</v>
      </c>
      <c r="O277" s="9"/>
      <c r="P277" s="174"/>
      <c r="Q277" s="107" t="s">
        <v>1335</v>
      </c>
      <c r="R277" s="20">
        <v>149999</v>
      </c>
      <c r="S277" s="13">
        <v>155998.96</v>
      </c>
      <c r="T277" s="14"/>
      <c r="U277" s="14"/>
      <c r="V277" s="152">
        <v>500</v>
      </c>
    </row>
    <row r="278" spans="1:22">
      <c r="A278" s="70" t="s">
        <v>272</v>
      </c>
      <c r="B278" s="55" t="str">
        <f>IFERROR(HYPERLINK(VLOOKUP(A278,ÜRÜNLER!A:C,3,FALSE),VLOOKUP(A278,ÜRÜNLER!A:B,2,FALSE)),"")</f>
        <v>iQ700 studioLine Tavan Tipi Davlumbaz, 105cm, Siyah</v>
      </c>
      <c r="C278" s="8"/>
      <c r="D278" s="8">
        <v>7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2">
        <f t="shared" si="9"/>
        <v>8</v>
      </c>
      <c r="O278" s="9"/>
      <c r="P278" s="174"/>
      <c r="Q278" s="56">
        <v>259257.06697947497</v>
      </c>
      <c r="R278" s="26">
        <v>220368.50693255372</v>
      </c>
      <c r="S278" s="13">
        <v>229183.24720985588</v>
      </c>
      <c r="T278" s="14"/>
      <c r="U278" s="14"/>
      <c r="V278" s="152">
        <v>500</v>
      </c>
    </row>
    <row r="279" spans="1:22">
      <c r="A279" s="61" t="s">
        <v>273</v>
      </c>
      <c r="B279" s="55" t="str">
        <f>IFERROR(HYPERLINK(VLOOKUP(A279,ÜRÜNLER!A:C,3,FALSE),VLOOKUP(A279,ÜRÜNLER!A:B,2,FALSE)),"")</f>
        <v>iQ700 studioLine Tezgaha Entegre Davlumbaz, 80cm, Siyah/Cam</v>
      </c>
      <c r="C279" s="8"/>
      <c r="D279" s="8">
        <v>2</v>
      </c>
      <c r="E279" s="9"/>
      <c r="F279" s="9"/>
      <c r="G279" s="10"/>
      <c r="H279" s="10">
        <v>1</v>
      </c>
      <c r="I279" s="11"/>
      <c r="J279" s="11"/>
      <c r="K279" s="10"/>
      <c r="L279" s="10"/>
      <c r="M279" s="11"/>
      <c r="N279" s="12">
        <f t="shared" si="9"/>
        <v>3</v>
      </c>
      <c r="O279" s="9"/>
      <c r="P279" s="174"/>
      <c r="Q279" s="56">
        <v>143951.17233670229</v>
      </c>
      <c r="R279" s="26">
        <v>133874.59027313313</v>
      </c>
      <c r="S279" s="13">
        <v>139229.57388405845</v>
      </c>
      <c r="T279" s="14"/>
      <c r="U279" s="14"/>
      <c r="V279" s="152">
        <v>500</v>
      </c>
    </row>
    <row r="280" spans="1:22">
      <c r="A280" s="79" t="s">
        <v>275</v>
      </c>
      <c r="B280" s="55" t="str">
        <f>IFERROR(HYPERLINK(VLOOKUP(A280,ÜRÜNLER!A:C,3,FALSE),VLOOKUP(A280,ÜRÜNLER!A:B,2,FALSE)),"")</f>
        <v>iQ500 studioLine Ada Tipi Davlumbaz, 90cm, Inox</v>
      </c>
      <c r="C280" s="8"/>
      <c r="D280" s="8">
        <v>4</v>
      </c>
      <c r="E280" s="9"/>
      <c r="F280" s="9"/>
      <c r="G280" s="10"/>
      <c r="H280" s="10">
        <v>1</v>
      </c>
      <c r="I280" s="11"/>
      <c r="J280" s="11"/>
      <c r="K280" s="10"/>
      <c r="L280" s="10"/>
      <c r="M280" s="11"/>
      <c r="N280" s="12">
        <f t="shared" si="9"/>
        <v>5</v>
      </c>
      <c r="O280" s="9"/>
      <c r="P280" s="174"/>
      <c r="Q280" s="56">
        <v>84447.261491362675</v>
      </c>
      <c r="R280" s="26">
        <v>78535.953186967294</v>
      </c>
      <c r="S280" s="13">
        <v>81677.39131444598</v>
      </c>
      <c r="T280" s="14"/>
      <c r="U280" s="14"/>
      <c r="V280" s="152">
        <v>500</v>
      </c>
    </row>
    <row r="281" spans="1:22">
      <c r="A281" s="79" t="s">
        <v>274</v>
      </c>
      <c r="B281" s="55" t="str">
        <f>IFERROR(HYPERLINK(VLOOKUP(A281,ÜRÜNLER!A:C,3,FALSE),VLOOKUP(A281,ÜRÜNLER!A:B,2,FALSE)),"")</f>
        <v>iQ300 Ada Tipi Davlumbaz, 90cm, 438m3, Inox</v>
      </c>
      <c r="C281" s="8">
        <v>3</v>
      </c>
      <c r="D281" s="8"/>
      <c r="E281" s="9"/>
      <c r="F281" s="9"/>
      <c r="G281" s="10"/>
      <c r="H281" s="10"/>
      <c r="I281" s="11">
        <v>1</v>
      </c>
      <c r="J281" s="11"/>
      <c r="K281" s="10">
        <v>2</v>
      </c>
      <c r="L281" s="10"/>
      <c r="M281" s="11"/>
      <c r="N281" s="12">
        <f t="shared" si="9"/>
        <v>6</v>
      </c>
      <c r="O281" s="9">
        <v>1</v>
      </c>
      <c r="P281" s="174"/>
      <c r="Q281" s="56">
        <v>49770.49013123101</v>
      </c>
      <c r="R281" s="27">
        <v>49770.49013123101</v>
      </c>
      <c r="S281" s="13">
        <v>51761.309736480252</v>
      </c>
      <c r="T281" s="14"/>
      <c r="U281" s="14"/>
      <c r="V281" s="18"/>
    </row>
    <row r="282" spans="1:22">
      <c r="A282" s="62" t="s">
        <v>276</v>
      </c>
      <c r="B282" s="55" t="str">
        <f>IFERROR(HYPERLINK(VLOOKUP(A282,ÜRÜNLER!A:C,3,FALSE),VLOOKUP(A282,ÜRÜNLER!A:B,2,FALSE)),"")</f>
        <v>iQ100 Teleskopik Aspiratör, 60cm, 310m3, Gümüş</v>
      </c>
      <c r="C282" s="8">
        <v>9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2">
        <f t="shared" si="9"/>
        <v>9</v>
      </c>
      <c r="O282" s="9">
        <v>1</v>
      </c>
      <c r="P282" s="174"/>
      <c r="Q282" s="56">
        <v>6857.5955953248704</v>
      </c>
      <c r="R282" s="51">
        <v>6514.7158155586267</v>
      </c>
      <c r="S282" s="13">
        <v>6775.304448180972</v>
      </c>
      <c r="T282" s="14"/>
      <c r="U282" s="14"/>
      <c r="V282" s="18"/>
    </row>
    <row r="283" spans="1:22">
      <c r="A283" s="62" t="s">
        <v>277</v>
      </c>
      <c r="B283" s="55" t="str">
        <f>IFERROR(HYPERLINK(VLOOKUP(A283,ÜRÜNLER!A:C,3,FALSE),VLOOKUP(A283,ÜRÜNLER!A:B,2,FALSE)),"")</f>
        <v>iQ100 Teleskopik Aspiratör, 60cm, 310m3, Beyaz</v>
      </c>
      <c r="C283" s="8">
        <v>12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2">
        <f t="shared" si="9"/>
        <v>12</v>
      </c>
      <c r="O283" s="9">
        <v>1</v>
      </c>
      <c r="P283" s="174"/>
      <c r="Q283" s="56">
        <v>6859.5245524813126</v>
      </c>
      <c r="R283" s="51">
        <v>6516.5483248572473</v>
      </c>
      <c r="S283" s="13">
        <v>6777.2102578515369</v>
      </c>
      <c r="T283" s="14"/>
      <c r="U283" s="14"/>
      <c r="V283" s="18"/>
    </row>
    <row r="284" spans="1:22">
      <c r="A284" s="58" t="s">
        <v>278</v>
      </c>
      <c r="B284" s="55" t="str">
        <f>IFERROR(HYPERLINK(VLOOKUP(A284,ÜRÜNLER!A:C,3,FALSE),VLOOKUP(A284,ÜRÜNLER!A:B,2,FALSE)),"")</f>
        <v>iQ500 Gömme Aspiratör, 52cm, 570m3, Inox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2">
        <f t="shared" si="9"/>
        <v>2</v>
      </c>
      <c r="O284" s="9">
        <v>1</v>
      </c>
      <c r="P284" s="174"/>
      <c r="Q284" s="56">
        <v>26003.359401716672</v>
      </c>
      <c r="R284" s="51">
        <v>24703.191431630839</v>
      </c>
      <c r="S284" s="13">
        <v>25691.319088896074</v>
      </c>
      <c r="T284" s="14"/>
      <c r="U284" s="14"/>
      <c r="V284" s="18"/>
    </row>
    <row r="285" spans="1:22">
      <c r="A285" s="62" t="s">
        <v>279</v>
      </c>
      <c r="B285" s="55" t="str">
        <f>IFERROR(HYPERLINK(VLOOKUP(A285,ÜRÜNLER!A:C,3,FALSE),VLOOKUP(A285,ÜRÜNLER!A:B,2,FALSE)),"")</f>
        <v>iQ100 Gömme Aspiratör, 53cm, 302m3, Gri</v>
      </c>
      <c r="C285" s="8">
        <v>7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2">
        <f t="shared" si="9"/>
        <v>7</v>
      </c>
      <c r="O285" s="9">
        <v>1</v>
      </c>
      <c r="P285" s="174"/>
      <c r="Q285" s="56">
        <v>10305.513309504971</v>
      </c>
      <c r="R285" s="51">
        <v>9790.237644029723</v>
      </c>
      <c r="S285" s="13">
        <v>10181.847149790912</v>
      </c>
      <c r="T285" s="14"/>
      <c r="U285" s="14"/>
      <c r="V285" s="18"/>
    </row>
    <row r="286" spans="1:22">
      <c r="A286" s="59" t="s">
        <v>280</v>
      </c>
      <c r="B286" s="55" t="str">
        <f>IFERROR(HYPERLINK(VLOOKUP(A286,ÜRÜNLER!A:C,3,FALSE),VLOOKUP(A286,ÜRÜNLER!A:B,2,FALSE)),"")</f>
        <v>iQ700 Gömme Aspiratör, 86cm, 595m3, Siyah</v>
      </c>
      <c r="C286" s="8">
        <v>4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2">
        <f t="shared" si="9"/>
        <v>4</v>
      </c>
      <c r="O286" s="9">
        <v>1</v>
      </c>
      <c r="P286" s="174"/>
      <c r="Q286" s="56">
        <v>39605.303567268835</v>
      </c>
      <c r="R286" s="51">
        <v>37625.038388905392</v>
      </c>
      <c r="S286" s="13">
        <v>39130.039924461606</v>
      </c>
      <c r="T286" s="14"/>
      <c r="U286" s="14"/>
      <c r="V286" s="18"/>
    </row>
    <row r="287" spans="1:22">
      <c r="A287" s="62" t="s">
        <v>281</v>
      </c>
      <c r="B287" s="55" t="str">
        <f>IFERROR(HYPERLINK(VLOOKUP(A287,ÜRÜNLER!A:C,3,FALSE),VLOOKUP(A287,ÜRÜNLER!A:B,2,FALSE)),"")</f>
        <v>iQ500 Gömme Aspiratör, 86cm, 600m3, Inox</v>
      </c>
      <c r="C287" s="8">
        <v>3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2">
        <f t="shared" si="9"/>
        <v>3</v>
      </c>
      <c r="O287" s="9">
        <v>1</v>
      </c>
      <c r="P287" s="174"/>
      <c r="Q287" s="56">
        <v>35364.568786334676</v>
      </c>
      <c r="R287" s="51">
        <v>33596.34034701794</v>
      </c>
      <c r="S287" s="13">
        <v>34940.193960898658</v>
      </c>
      <c r="T287" s="14"/>
      <c r="U287" s="14"/>
      <c r="V287" s="18"/>
    </row>
    <row r="288" spans="1:22" ht="30">
      <c r="A288" s="33" t="s">
        <v>282</v>
      </c>
      <c r="B288" s="55" t="str">
        <f>IFERROR(HYPERLINK(VLOOKUP(A288,ÜRÜNLER!A:C,3,FALSE),VLOOKUP(A288,ÜRÜNLER!A:B,2,FALSE)),"")</f>
        <v/>
      </c>
      <c r="C288" s="8"/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2"/>
      <c r="O288" s="9"/>
      <c r="P288" s="9"/>
      <c r="Q288" s="107"/>
      <c r="R288" s="20"/>
      <c r="S288" s="13"/>
      <c r="T288" s="14"/>
      <c r="U288" s="14"/>
      <c r="V288" s="18"/>
    </row>
    <row r="289" spans="1:22">
      <c r="A289" s="139" t="s">
        <v>1498</v>
      </c>
      <c r="B289" s="55" t="str">
        <f>IFERROR(HYPERLINK(VLOOKUP(A289,ÜRÜNLER!A:C,3,FALSE),VLOOKUP(A289,ÜRÜNLER!A:B,2,FALSE)),"")</f>
        <v>iQ300 Gazlı Ocak, 67cm, Sert Cam, Beyaz</v>
      </c>
      <c r="C289" s="8"/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12">
        <f t="shared" ref="N289:N352" si="10">M289+L289+K289+J289+I289+H289+G289+F289+E289+D289+C289</f>
        <v>0</v>
      </c>
      <c r="O289" s="9">
        <v>1</v>
      </c>
      <c r="P289" s="9"/>
      <c r="Q289" s="56">
        <v>13167</v>
      </c>
      <c r="R289" s="20">
        <v>13167</v>
      </c>
      <c r="S289" s="13">
        <v>13693.68</v>
      </c>
      <c r="T289" s="14"/>
      <c r="U289" s="14"/>
      <c r="V289" s="18"/>
    </row>
    <row r="290" spans="1:22">
      <c r="A290" s="80" t="s">
        <v>283</v>
      </c>
      <c r="B290" s="55" t="str">
        <f>IFERROR(HYPERLINK(VLOOKUP(A290,ÜRÜNLER!A:C,3,FALSE),VLOOKUP(A290,ÜRÜNLER!A:B,2,FALSE)),"")</f>
        <v>iQ100 Set Üstü Gazlı Ocak, 60cm, Beyaz</v>
      </c>
      <c r="C290" s="8"/>
      <c r="D290" s="8"/>
      <c r="E290" s="9"/>
      <c r="F290" s="9"/>
      <c r="G290" s="10"/>
      <c r="H290" s="10"/>
      <c r="I290" s="11">
        <v>1</v>
      </c>
      <c r="J290" s="11"/>
      <c r="K290" s="10">
        <v>1</v>
      </c>
      <c r="L290" s="10"/>
      <c r="M290" s="11"/>
      <c r="N290" s="12">
        <f t="shared" si="10"/>
        <v>2</v>
      </c>
      <c r="O290" s="9"/>
      <c r="P290" s="174"/>
      <c r="Q290" s="107" t="s">
        <v>1335</v>
      </c>
      <c r="R290" s="20">
        <v>9000</v>
      </c>
      <c r="S290" s="13">
        <v>9360</v>
      </c>
      <c r="T290" s="14"/>
      <c r="U290" s="14"/>
      <c r="V290" s="31">
        <v>500</v>
      </c>
    </row>
    <row r="291" spans="1:22">
      <c r="A291" s="80" t="s">
        <v>284</v>
      </c>
      <c r="B291" s="55" t="str">
        <f>IFERROR(HYPERLINK(VLOOKUP(A291,ÜRÜNLER!A:C,3,FALSE),VLOOKUP(A291,ÜRÜNLER!A:B,2,FALSE)),"")</f>
        <v>iQ100 Set Üstü Gazlı Ocak, 60cm, Inox</v>
      </c>
      <c r="C291" s="8"/>
      <c r="D291" s="8"/>
      <c r="E291" s="9"/>
      <c r="F291" s="9"/>
      <c r="G291" s="10"/>
      <c r="H291" s="10"/>
      <c r="I291" s="11">
        <v>1</v>
      </c>
      <c r="J291" s="11"/>
      <c r="K291" s="10">
        <v>1</v>
      </c>
      <c r="L291" s="10"/>
      <c r="M291" s="11"/>
      <c r="N291" s="12">
        <f t="shared" si="10"/>
        <v>2</v>
      </c>
      <c r="O291" s="9"/>
      <c r="P291" s="174"/>
      <c r="Q291" s="107" t="s">
        <v>1335</v>
      </c>
      <c r="R291" s="20">
        <v>9000</v>
      </c>
      <c r="S291" s="13">
        <v>9360</v>
      </c>
      <c r="T291" s="14"/>
      <c r="U291" s="14"/>
      <c r="V291" s="31">
        <v>500</v>
      </c>
    </row>
    <row r="292" spans="1:22">
      <c r="A292" s="64" t="s">
        <v>285</v>
      </c>
      <c r="B292" s="55" t="str">
        <f>IFERROR(HYPERLINK(VLOOKUP(A292,ÜRÜNLER!A:C,3,FALSE),VLOOKUP(A292,ÜRÜNLER!A:B,2,FALSE)),"")</f>
        <v>iQ100 Gazlı Ocak, 60cm, Emaye, Beyaz</v>
      </c>
      <c r="C292" s="8"/>
      <c r="D292" s="8"/>
      <c r="E292" s="9"/>
      <c r="F292" s="9">
        <v>1</v>
      </c>
      <c r="G292" s="10"/>
      <c r="H292" s="10"/>
      <c r="I292" s="11">
        <v>1</v>
      </c>
      <c r="J292" s="11"/>
      <c r="K292" s="10">
        <v>1</v>
      </c>
      <c r="L292" s="10"/>
      <c r="M292" s="11"/>
      <c r="N292" s="12">
        <f t="shared" si="10"/>
        <v>3</v>
      </c>
      <c r="O292" s="9"/>
      <c r="P292" s="174"/>
      <c r="Q292" s="107" t="s">
        <v>1335</v>
      </c>
      <c r="R292" s="20">
        <v>9000</v>
      </c>
      <c r="S292" s="13">
        <v>9360</v>
      </c>
      <c r="T292" s="14"/>
      <c r="U292" s="14"/>
      <c r="V292" s="31">
        <v>500</v>
      </c>
    </row>
    <row r="293" spans="1:22">
      <c r="A293" s="64" t="s">
        <v>286</v>
      </c>
      <c r="B293" s="55" t="str">
        <f>IFERROR(HYPERLINK(VLOOKUP(A293,ÜRÜNLER!A:C,3,FALSE),VLOOKUP(A293,ÜRÜNLER!A:B,2,FALSE)),"")</f>
        <v>iQ100 Gazlı/Elektrikli Ocak, 60cm, Inox</v>
      </c>
      <c r="C293" s="8">
        <v>3</v>
      </c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12">
        <f t="shared" si="10"/>
        <v>3</v>
      </c>
      <c r="O293" s="9"/>
      <c r="P293" s="174"/>
      <c r="Q293" s="107" t="s">
        <v>1335</v>
      </c>
      <c r="R293" s="20">
        <v>9000</v>
      </c>
      <c r="S293" s="13">
        <v>9360</v>
      </c>
      <c r="T293" s="14"/>
      <c r="U293" s="14"/>
      <c r="V293" s="31">
        <v>500</v>
      </c>
    </row>
    <row r="294" spans="1:22">
      <c r="A294" s="64" t="s">
        <v>287</v>
      </c>
      <c r="B294" s="55" t="str">
        <f>IFERROR(HYPERLINK(VLOOKUP(A294,ÜRÜNLER!A:C,3,FALSE),VLOOKUP(A294,ÜRÜNLER!A:B,2,FALSE)),"")</f>
        <v>iQ100 Gazlı Ocak, 60cm, Emaye, Siyah</v>
      </c>
      <c r="C294" s="8"/>
      <c r="D294" s="8"/>
      <c r="E294" s="9"/>
      <c r="F294" s="9"/>
      <c r="G294" s="10"/>
      <c r="H294" s="10"/>
      <c r="I294" s="11"/>
      <c r="J294" s="11"/>
      <c r="K294" s="10">
        <v>1</v>
      </c>
      <c r="L294" s="10"/>
      <c r="M294" s="11"/>
      <c r="N294" s="12">
        <f t="shared" si="10"/>
        <v>1</v>
      </c>
      <c r="O294" s="9"/>
      <c r="P294" s="174"/>
      <c r="Q294" s="107" t="s">
        <v>1335</v>
      </c>
      <c r="R294" s="20">
        <v>9000</v>
      </c>
      <c r="S294" s="13">
        <v>9360</v>
      </c>
      <c r="T294" s="14"/>
      <c r="U294" s="14"/>
      <c r="V294" s="31">
        <v>500</v>
      </c>
    </row>
    <row r="295" spans="1:22">
      <c r="A295" s="80" t="s">
        <v>288</v>
      </c>
      <c r="B295" s="55" t="str">
        <f>IFERROR(HYPERLINK(VLOOKUP(A295,ÜRÜNLER!A:C,3,FALSE),VLOOKUP(A295,ÜRÜNLER!A:B,2,FALSE)),"")</f>
        <v>iQ500 Gazlı Ocak, 60cm, Inox, Döküm</v>
      </c>
      <c r="C295" s="8"/>
      <c r="D295" s="8"/>
      <c r="E295" s="9"/>
      <c r="F295" s="9"/>
      <c r="G295" s="10"/>
      <c r="H295" s="10"/>
      <c r="I295" s="11"/>
      <c r="J295" s="11"/>
      <c r="K295" s="10">
        <v>2</v>
      </c>
      <c r="L295" s="10"/>
      <c r="M295" s="11"/>
      <c r="N295" s="12">
        <f t="shared" si="10"/>
        <v>2</v>
      </c>
      <c r="O295" s="9"/>
      <c r="P295" s="174"/>
      <c r="Q295" s="107" t="s">
        <v>1335</v>
      </c>
      <c r="R295" s="20">
        <v>32000</v>
      </c>
      <c r="S295" s="13">
        <v>33280</v>
      </c>
      <c r="T295" s="14"/>
      <c r="U295" s="14"/>
      <c r="V295" s="31">
        <v>500</v>
      </c>
    </row>
    <row r="296" spans="1:22">
      <c r="A296" s="61" t="s">
        <v>290</v>
      </c>
      <c r="B296" s="55" t="str">
        <f>IFERROR(HYPERLINK(VLOOKUP(A296,ÜRÜNLER!A:C,3,FALSE),VLOOKUP(A296,ÜRÜNLER!A:B,2,FALSE)),"")</f>
        <v>iQ300 Gazlı Ocak, 60cm, Inox, Döküm</v>
      </c>
      <c r="C296" s="8"/>
      <c r="D296" s="8"/>
      <c r="E296" s="9"/>
      <c r="F296" s="9"/>
      <c r="G296" s="10"/>
      <c r="H296" s="10"/>
      <c r="I296" s="11">
        <v>1</v>
      </c>
      <c r="J296" s="11"/>
      <c r="K296" s="10"/>
      <c r="L296" s="10"/>
      <c r="M296" s="11"/>
      <c r="N296" s="12">
        <f t="shared" si="10"/>
        <v>1</v>
      </c>
      <c r="O296" s="9"/>
      <c r="P296" s="174"/>
      <c r="Q296" s="107" t="s">
        <v>1335</v>
      </c>
      <c r="R296" s="20">
        <v>20000</v>
      </c>
      <c r="S296" s="13">
        <v>20800</v>
      </c>
      <c r="T296" s="14"/>
      <c r="U296" s="14"/>
      <c r="V296" s="31">
        <v>500</v>
      </c>
    </row>
    <row r="297" spans="1:22">
      <c r="A297" s="61" t="s">
        <v>291</v>
      </c>
      <c r="B297" s="55" t="str">
        <f>IFERROR(HYPERLINK(VLOOKUP(A297,ÜRÜNLER!A:C,3,FALSE),VLOOKUP(A297,ÜRÜNLER!A:B,2,FALSE)),"")</f>
        <v>iQ300 Gazlı Ocak, 60cm, Sert Cam, Beyaz, Döküm</v>
      </c>
      <c r="C297" s="8">
        <v>3</v>
      </c>
      <c r="D297" s="8"/>
      <c r="E297" s="9"/>
      <c r="F297" s="9"/>
      <c r="G297" s="10"/>
      <c r="H297" s="10"/>
      <c r="I297" s="11"/>
      <c r="J297" s="11"/>
      <c r="K297" s="10"/>
      <c r="L297" s="10"/>
      <c r="M297" s="11"/>
      <c r="N297" s="12">
        <f t="shared" si="10"/>
        <v>3</v>
      </c>
      <c r="O297" s="9">
        <v>1</v>
      </c>
      <c r="P297" s="174"/>
      <c r="Q297" s="56">
        <v>19408.978174486561</v>
      </c>
      <c r="R297" s="20">
        <v>19408.978174486561</v>
      </c>
      <c r="S297" s="13">
        <v>20185.337301466025</v>
      </c>
      <c r="T297" s="14">
        <v>1404.3270116958629</v>
      </c>
      <c r="U297" s="14"/>
      <c r="V297" s="18"/>
    </row>
    <row r="298" spans="1:22">
      <c r="A298" s="70" t="s">
        <v>293</v>
      </c>
      <c r="B298" s="55" t="str">
        <f>IFERROR(HYPERLINK(VLOOKUP(A298,ÜRÜNLER!A:C,3,FALSE),VLOOKUP(A298,ÜRÜNLER!A:B,2,FALSE)),"")</f>
        <v>iQ100 Gazlı Ocak, 60cm, Sert Cam, Siyah, Wok</v>
      </c>
      <c r="C298" s="8"/>
      <c r="D298" s="8"/>
      <c r="E298" s="9"/>
      <c r="F298" s="9"/>
      <c r="G298" s="10"/>
      <c r="H298" s="10"/>
      <c r="I298" s="11"/>
      <c r="J298" s="11">
        <v>1</v>
      </c>
      <c r="K298" s="10"/>
      <c r="L298" s="10"/>
      <c r="M298" s="11"/>
      <c r="N298" s="12">
        <f t="shared" si="10"/>
        <v>1</v>
      </c>
      <c r="O298" s="9"/>
      <c r="P298" s="174"/>
      <c r="Q298" s="107" t="s">
        <v>1335</v>
      </c>
      <c r="R298" s="20">
        <v>20000</v>
      </c>
      <c r="S298" s="13">
        <v>20800</v>
      </c>
      <c r="T298" s="14"/>
      <c r="U298" s="14"/>
      <c r="V298" s="31">
        <v>500</v>
      </c>
    </row>
    <row r="299" spans="1:22">
      <c r="A299" s="73" t="s">
        <v>294</v>
      </c>
      <c r="B299" s="55" t="str">
        <f>IFERROR(HYPERLINK(VLOOKUP(A299,ÜRÜNLER!A:C,3,FALSE),VLOOKUP(A299,ÜRÜNLER!A:B,2,FALSE)),"")</f>
        <v>iQ100 Gazlı Ocak, 60cm, Sert Cam, Titanyum Gri</v>
      </c>
      <c r="C299" s="8"/>
      <c r="D299" s="8"/>
      <c r="E299" s="9"/>
      <c r="F299" s="9"/>
      <c r="G299" s="10"/>
      <c r="H299" s="10"/>
      <c r="I299" s="11"/>
      <c r="J299" s="11">
        <v>1</v>
      </c>
      <c r="K299" s="10"/>
      <c r="L299" s="10"/>
      <c r="M299" s="11"/>
      <c r="N299" s="12">
        <f t="shared" si="10"/>
        <v>1</v>
      </c>
      <c r="O299" s="9"/>
      <c r="P299" s="174"/>
      <c r="Q299" s="107" t="s">
        <v>1335</v>
      </c>
      <c r="R299" s="20">
        <v>20000</v>
      </c>
      <c r="S299" s="13">
        <v>20800</v>
      </c>
      <c r="T299" s="14"/>
      <c r="U299" s="14"/>
      <c r="V299" s="31">
        <v>500</v>
      </c>
    </row>
    <row r="300" spans="1:22">
      <c r="A300" s="73" t="s">
        <v>295</v>
      </c>
      <c r="B300" s="55" t="str">
        <f>IFERROR(HYPERLINK(VLOOKUP(A300,ÜRÜNLER!A:C,3,FALSE),VLOOKUP(A300,ÜRÜNLER!A:B,2,FALSE)),"")</f>
        <v>iQ100 Gazlı Ocak, 60cm, Sert Cam, Antrasit Gri</v>
      </c>
      <c r="C300" s="8">
        <v>19</v>
      </c>
      <c r="D300" s="8"/>
      <c r="E300" s="9"/>
      <c r="F300" s="9"/>
      <c r="G300" s="10"/>
      <c r="H300" s="10"/>
      <c r="I300" s="11">
        <v>1</v>
      </c>
      <c r="J300" s="11">
        <v>1</v>
      </c>
      <c r="K300" s="10">
        <v>2</v>
      </c>
      <c r="L300" s="10"/>
      <c r="M300" s="11"/>
      <c r="N300" s="12">
        <f t="shared" si="10"/>
        <v>23</v>
      </c>
      <c r="O300" s="9"/>
      <c r="P300" s="174"/>
      <c r="Q300" s="117" t="s">
        <v>1335</v>
      </c>
      <c r="R300" s="19">
        <v>15000</v>
      </c>
      <c r="S300" s="22">
        <v>15600</v>
      </c>
      <c r="T300" s="14">
        <v>833.02686289597671</v>
      </c>
      <c r="U300" s="14"/>
      <c r="V300" s="119">
        <v>500</v>
      </c>
    </row>
    <row r="301" spans="1:22">
      <c r="A301" s="81" t="s">
        <v>296</v>
      </c>
      <c r="B301" s="55" t="str">
        <f>IFERROR(HYPERLINK(VLOOKUP(A301,ÜRÜNLER!A:C,3,FALSE),VLOOKUP(A301,ÜRÜNLER!A:B,2,FALSE)),"")</f>
        <v>iQ300 Gazlı Ocak, 60cm, Sert Cam, Beyaz</v>
      </c>
      <c r="C301" s="8">
        <v>9</v>
      </c>
      <c r="D301" s="8"/>
      <c r="E301" s="9"/>
      <c r="F301" s="9"/>
      <c r="G301" s="10"/>
      <c r="H301" s="10"/>
      <c r="I301" s="11"/>
      <c r="J301" s="11"/>
      <c r="K301" s="10"/>
      <c r="L301" s="10"/>
      <c r="M301" s="11">
        <v>1</v>
      </c>
      <c r="N301" s="12">
        <f t="shared" si="10"/>
        <v>10</v>
      </c>
      <c r="O301" s="9"/>
      <c r="P301" s="174"/>
      <c r="Q301" s="107" t="s">
        <v>1335</v>
      </c>
      <c r="R301" s="20">
        <v>12000</v>
      </c>
      <c r="S301" s="13">
        <v>12480</v>
      </c>
      <c r="T301" s="14"/>
      <c r="U301" s="14"/>
      <c r="V301" s="18"/>
    </row>
    <row r="302" spans="1:22">
      <c r="A302" s="61" t="s">
        <v>297</v>
      </c>
      <c r="B302" s="55" t="str">
        <f>IFERROR(HYPERLINK(VLOOKUP(A302,ÜRÜNLER!A:C,3,FALSE),VLOOKUP(A302,ÜRÜNLER!A:B,2,FALSE)),"")</f>
        <v>iQ300 Gazlı Ocak, 60cm, Sert Cam, Beyaz</v>
      </c>
      <c r="C302" s="8">
        <v>2</v>
      </c>
      <c r="D302" s="8"/>
      <c r="E302" s="9"/>
      <c r="F302" s="9"/>
      <c r="G302" s="10"/>
      <c r="H302" s="10"/>
      <c r="I302" s="11"/>
      <c r="J302" s="11"/>
      <c r="K302" s="10"/>
      <c r="L302" s="10"/>
      <c r="M302" s="11"/>
      <c r="N302" s="12">
        <f t="shared" si="10"/>
        <v>2</v>
      </c>
      <c r="O302" s="9">
        <v>1</v>
      </c>
      <c r="P302" s="174"/>
      <c r="Q302" s="56">
        <v>12008.594099085203</v>
      </c>
      <c r="R302" s="27">
        <v>12008.594099085203</v>
      </c>
      <c r="S302" s="13">
        <v>12488.937863048612</v>
      </c>
      <c r="T302" s="14"/>
      <c r="U302" s="14"/>
      <c r="V302" s="18"/>
    </row>
    <row r="303" spans="1:22">
      <c r="A303" s="82" t="s">
        <v>298</v>
      </c>
      <c r="B303" s="55" t="str">
        <f>IFERROR(HYPERLINK(VLOOKUP(A303,ÜRÜNLER!A:C,3,FALSE),VLOOKUP(A303,ÜRÜNLER!A:B,2,FALSE)),"")</f>
        <v>iQ300 Gazlı Ocak, 60cm, Sert Cam, Siyah</v>
      </c>
      <c r="C303" s="8"/>
      <c r="D303" s="8"/>
      <c r="E303" s="9"/>
      <c r="F303" s="9"/>
      <c r="G303" s="10"/>
      <c r="H303" s="10"/>
      <c r="I303" s="11"/>
      <c r="J303" s="11">
        <v>1</v>
      </c>
      <c r="K303" s="10"/>
      <c r="L303" s="10"/>
      <c r="M303" s="11"/>
      <c r="N303" s="12">
        <f t="shared" si="10"/>
        <v>1</v>
      </c>
      <c r="O303" s="9"/>
      <c r="P303" s="174"/>
      <c r="Q303" s="107" t="s">
        <v>1335</v>
      </c>
      <c r="R303" s="20">
        <v>10000</v>
      </c>
      <c r="S303" s="13">
        <v>10400</v>
      </c>
      <c r="T303" s="14"/>
      <c r="U303" s="14"/>
      <c r="V303" s="18">
        <v>250</v>
      </c>
    </row>
    <row r="304" spans="1:22">
      <c r="A304" s="61" t="s">
        <v>299</v>
      </c>
      <c r="B304" s="55" t="str">
        <f>IFERROR(HYPERLINK(VLOOKUP(A304,ÜRÜNLER!A:C,3,FALSE),VLOOKUP(A304,ÜRÜNLER!A:B,2,FALSE)),"")</f>
        <v>iQ100 Gazlı Ocak, 60cm, Sert Cam, Siyah, Döküm</v>
      </c>
      <c r="C304" s="8"/>
      <c r="D304" s="8"/>
      <c r="E304" s="9"/>
      <c r="F304" s="9"/>
      <c r="G304" s="10"/>
      <c r="H304" s="10"/>
      <c r="I304" s="11">
        <v>1</v>
      </c>
      <c r="J304" s="11"/>
      <c r="K304" s="10">
        <v>1</v>
      </c>
      <c r="L304" s="10"/>
      <c r="M304" s="11"/>
      <c r="N304" s="12">
        <f t="shared" si="10"/>
        <v>2</v>
      </c>
      <c r="O304" s="9"/>
      <c r="P304" s="174"/>
      <c r="Q304" s="107" t="s">
        <v>1335</v>
      </c>
      <c r="R304" s="20">
        <v>10000</v>
      </c>
      <c r="S304" s="13">
        <v>10400</v>
      </c>
      <c r="T304" s="14"/>
      <c r="U304" s="14"/>
      <c r="V304" s="18">
        <v>250</v>
      </c>
    </row>
    <row r="305" spans="1:22">
      <c r="A305" s="61" t="s">
        <v>300</v>
      </c>
      <c r="B305" s="55" t="str">
        <f>IFERROR(HYPERLINK(VLOOKUP(A305,ÜRÜNLER!A:C,3,FALSE),VLOOKUP(A305,ÜRÜNLER!A:B,2,FALSE)),"")</f>
        <v>iQ100 Gazlı Ocak, 60cm, Sert Cam, Siyah, Döküm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12">
        <f t="shared" si="10"/>
        <v>1</v>
      </c>
      <c r="O305" s="9"/>
      <c r="P305" s="174"/>
      <c r="Q305" s="107" t="s">
        <v>1335</v>
      </c>
      <c r="R305" s="20">
        <v>10000</v>
      </c>
      <c r="S305" s="13">
        <v>10400</v>
      </c>
      <c r="T305" s="14"/>
      <c r="U305" s="14"/>
      <c r="V305" s="18">
        <v>250</v>
      </c>
    </row>
    <row r="306" spans="1:22">
      <c r="A306" s="70" t="s">
        <v>301</v>
      </c>
      <c r="B306" s="55" t="str">
        <f>IFERROR(HYPERLINK(VLOOKUP(A306,ÜRÜNLER!A:C,3,FALSE),VLOOKUP(A306,ÜRÜNLER!A:B,2,FALSE)),"")</f>
        <v>iQ300 Gazlı Ocak, 60cm, Sert Cam, Siyah</v>
      </c>
      <c r="C306" s="8">
        <v>10</v>
      </c>
      <c r="D306" s="8"/>
      <c r="E306" s="9"/>
      <c r="F306" s="9"/>
      <c r="G306" s="10"/>
      <c r="H306" s="10"/>
      <c r="I306" s="11">
        <v>1</v>
      </c>
      <c r="J306" s="11"/>
      <c r="K306" s="10"/>
      <c r="L306" s="10"/>
      <c r="M306" s="11">
        <v>1</v>
      </c>
      <c r="N306" s="12">
        <f t="shared" si="10"/>
        <v>12</v>
      </c>
      <c r="O306" s="9">
        <v>26</v>
      </c>
      <c r="P306" s="174"/>
      <c r="Q306" s="56">
        <v>12008.594099085203</v>
      </c>
      <c r="R306" s="27">
        <v>12008.594099085203</v>
      </c>
      <c r="S306" s="13">
        <v>12488.937863048612</v>
      </c>
      <c r="T306" s="14"/>
      <c r="U306" s="14"/>
      <c r="V306" s="18"/>
    </row>
    <row r="307" spans="1:22">
      <c r="A307" s="73" t="s">
        <v>302</v>
      </c>
      <c r="B307" s="55" t="str">
        <f>IFERROR(HYPERLINK(VLOOKUP(A307,ÜRÜNLER!A:C,3,FALSE),VLOOKUP(A307,ÜRÜNLER!A:B,2,FALSE)),"")</f>
        <v>iQ100 Gazlı Ocak, 60cm, Sert Cam, Titanyum Gri</v>
      </c>
      <c r="C307" s="8"/>
      <c r="D307" s="8"/>
      <c r="E307" s="9"/>
      <c r="F307" s="9"/>
      <c r="G307" s="10"/>
      <c r="H307" s="10"/>
      <c r="I307" s="11"/>
      <c r="J307" s="11"/>
      <c r="K307" s="10">
        <v>1</v>
      </c>
      <c r="L307" s="10"/>
      <c r="M307" s="11"/>
      <c r="N307" s="12">
        <f t="shared" si="10"/>
        <v>1</v>
      </c>
      <c r="O307" s="9"/>
      <c r="P307" s="174"/>
      <c r="Q307" s="107" t="s">
        <v>1335</v>
      </c>
      <c r="R307" s="20">
        <v>12000</v>
      </c>
      <c r="S307" s="13">
        <v>12480</v>
      </c>
      <c r="T307" s="14">
        <v>869.99881831833238</v>
      </c>
      <c r="U307" s="14"/>
      <c r="V307" s="18">
        <v>250</v>
      </c>
    </row>
    <row r="308" spans="1:22">
      <c r="A308" s="73" t="s">
        <v>303</v>
      </c>
      <c r="B308" s="55" t="str">
        <f>IFERROR(HYPERLINK(VLOOKUP(A308,ÜRÜNLER!A:C,3,FALSE),VLOOKUP(A308,ÜRÜNLER!A:B,2,FALSE)),"")</f>
        <v>iQ100 Gazlı Ocak, 60cm, Sert Cam, Titanyum Gri, Döküm</v>
      </c>
      <c r="C308" s="8">
        <v>5</v>
      </c>
      <c r="D308" s="8"/>
      <c r="E308" s="9"/>
      <c r="F308" s="9"/>
      <c r="G308" s="10"/>
      <c r="H308" s="10"/>
      <c r="I308" s="11"/>
      <c r="J308" s="11"/>
      <c r="K308" s="10"/>
      <c r="L308" s="10"/>
      <c r="M308" s="11"/>
      <c r="N308" s="12">
        <f t="shared" si="10"/>
        <v>5</v>
      </c>
      <c r="O308" s="9"/>
      <c r="P308" s="174"/>
      <c r="Q308" s="107" t="s">
        <v>1335</v>
      </c>
      <c r="R308" s="20">
        <v>17999</v>
      </c>
      <c r="S308" s="13">
        <v>18718.96</v>
      </c>
      <c r="T308" s="14"/>
      <c r="U308" s="14"/>
      <c r="V308" s="18">
        <v>250</v>
      </c>
    </row>
    <row r="309" spans="1:22">
      <c r="A309" s="73" t="s">
        <v>304</v>
      </c>
      <c r="B309" s="55" t="str">
        <f>IFERROR(HYPERLINK(VLOOKUP(A309,ÜRÜNLER!A:C,3,FALSE),VLOOKUP(A309,ÜRÜNLER!A:B,2,FALSE)),"")</f>
        <v>iQ300 Gazlı Ocak, 60cm, Sert Cam, Antrasit</v>
      </c>
      <c r="C309" s="8">
        <v>2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12">
        <f t="shared" si="10"/>
        <v>4</v>
      </c>
      <c r="O309" s="9">
        <v>21</v>
      </c>
      <c r="P309" s="174"/>
      <c r="Q309" s="56">
        <v>12008.594099085203</v>
      </c>
      <c r="R309" s="27">
        <v>12008.594099085203</v>
      </c>
      <c r="S309" s="13">
        <v>12488.937863048612</v>
      </c>
      <c r="T309" s="14"/>
      <c r="U309" s="14"/>
      <c r="V309" s="18"/>
    </row>
    <row r="310" spans="1:22">
      <c r="A310" s="73" t="s">
        <v>305</v>
      </c>
      <c r="B310" s="55" t="str">
        <f>IFERROR(HYPERLINK(VLOOKUP(A310,ÜRÜNLER!A:C,3,FALSE),VLOOKUP(A310,ÜRÜNLER!A:B,2,FALSE)),"")</f>
        <v>iQ300 Gazlı Ocak, 60cm, Sert Cam, Antrasit Gri</v>
      </c>
      <c r="C310" s="8">
        <v>19</v>
      </c>
      <c r="D310" s="8"/>
      <c r="E310" s="9"/>
      <c r="F310" s="9">
        <v>1</v>
      </c>
      <c r="G310" s="10"/>
      <c r="H310" s="10"/>
      <c r="I310" s="11">
        <v>1</v>
      </c>
      <c r="J310" s="11"/>
      <c r="K310" s="10"/>
      <c r="L310" s="10"/>
      <c r="M310" s="11">
        <v>1</v>
      </c>
      <c r="N310" s="12">
        <f t="shared" si="10"/>
        <v>22</v>
      </c>
      <c r="O310" s="9"/>
      <c r="P310" s="174"/>
      <c r="Q310" s="117" t="s">
        <v>1335</v>
      </c>
      <c r="R310" s="19">
        <v>12000</v>
      </c>
      <c r="S310" s="22">
        <v>12480</v>
      </c>
      <c r="T310" s="14"/>
      <c r="U310" s="14"/>
      <c r="V310" s="119">
        <v>500</v>
      </c>
    </row>
    <row r="311" spans="1:22">
      <c r="A311" s="62" t="s">
        <v>306</v>
      </c>
      <c r="B311" s="55" t="str">
        <f>IFERROR(HYPERLINK(VLOOKUP(A311,ÜRÜNLER!A:C,3,FALSE),VLOOKUP(A311,ÜRÜNLER!A:B,2,FALSE)),"")</f>
        <v>iQ300 Gazlı Ocak, 67cm, Sert Cam, Beyaz, Wok</v>
      </c>
      <c r="C311" s="8">
        <v>10</v>
      </c>
      <c r="D311" s="8"/>
      <c r="E311" s="9"/>
      <c r="F311" s="9"/>
      <c r="G311" s="10"/>
      <c r="H311" s="10"/>
      <c r="I311" s="11">
        <v>1</v>
      </c>
      <c r="J311" s="11">
        <v>1</v>
      </c>
      <c r="K311" s="10"/>
      <c r="L311" s="10"/>
      <c r="M311" s="11"/>
      <c r="N311" s="12">
        <f t="shared" si="10"/>
        <v>12</v>
      </c>
      <c r="O311" s="9">
        <v>1</v>
      </c>
      <c r="P311" s="174"/>
      <c r="Q311" s="56">
        <v>16468.157321697428</v>
      </c>
      <c r="R311" s="27">
        <v>16468.157321697428</v>
      </c>
      <c r="S311" s="13">
        <v>17126.883614565326</v>
      </c>
      <c r="T311" s="14"/>
      <c r="U311" s="14"/>
      <c r="V311" s="18"/>
    </row>
    <row r="312" spans="1:22">
      <c r="A312" s="62" t="s">
        <v>307</v>
      </c>
      <c r="B312" s="55" t="str">
        <f>IFERROR(HYPERLINK(VLOOKUP(A312,ÜRÜNLER!A:C,3,FALSE),VLOOKUP(A312,ÜRÜNLER!A:B,2,FALSE)),"")</f>
        <v>iQ300 Gazlı Ocak, 67cm, Sert Cam, Beyaz</v>
      </c>
      <c r="C312" s="8">
        <v>7</v>
      </c>
      <c r="D312" s="8"/>
      <c r="E312" s="9"/>
      <c r="F312" s="9"/>
      <c r="G312" s="10"/>
      <c r="H312" s="10"/>
      <c r="I312" s="11"/>
      <c r="J312" s="11"/>
      <c r="K312" s="10"/>
      <c r="L312" s="10"/>
      <c r="M312" s="11"/>
      <c r="N312" s="12">
        <f t="shared" si="10"/>
        <v>7</v>
      </c>
      <c r="O312" s="9">
        <v>1</v>
      </c>
      <c r="P312" s="174"/>
      <c r="Q312" s="56">
        <v>13167.477103400217</v>
      </c>
      <c r="R312" s="27">
        <v>13167.477103400217</v>
      </c>
      <c r="S312" s="13">
        <v>13694.176187536226</v>
      </c>
      <c r="T312" s="14"/>
      <c r="U312" s="14"/>
      <c r="V312" s="18"/>
    </row>
    <row r="313" spans="1:22">
      <c r="A313" s="62" t="s">
        <v>308</v>
      </c>
      <c r="B313" s="55" t="str">
        <f>IFERROR(HYPERLINK(VLOOKUP(A313,ÜRÜNLER!A:C,3,FALSE),VLOOKUP(A313,ÜRÜNLER!A:B,2,FALSE)),"")</f>
        <v>iQ100 Gazlı Ocak, 67cm, Sert Cam, Beyaz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12">
        <f t="shared" si="10"/>
        <v>1</v>
      </c>
      <c r="O313" s="9"/>
      <c r="P313" s="174"/>
      <c r="Q313" s="107" t="s">
        <v>1335</v>
      </c>
      <c r="R313" s="20">
        <v>15000</v>
      </c>
      <c r="S313" s="13">
        <v>15600</v>
      </c>
      <c r="T313" s="14"/>
      <c r="U313" s="14"/>
      <c r="V313" s="31">
        <v>500</v>
      </c>
    </row>
    <row r="314" spans="1:22">
      <c r="A314" s="83" t="s">
        <v>309</v>
      </c>
      <c r="B314" s="55" t="str">
        <f>IFERROR(HYPERLINK(VLOOKUP(A314,ÜRÜNLER!A:C,3,FALSE),VLOOKUP(A314,ÜRÜNLER!A:B,2,FALSE)),"")</f>
        <v>iQ300 Gazlı Ocak, 67cm, Sert Cam, Beyaz</v>
      </c>
      <c r="C314" s="8"/>
      <c r="D314" s="8"/>
      <c r="E314" s="9"/>
      <c r="F314" s="9"/>
      <c r="G314" s="10">
        <v>1</v>
      </c>
      <c r="H314" s="10"/>
      <c r="I314" s="11">
        <v>1</v>
      </c>
      <c r="J314" s="11"/>
      <c r="K314" s="10">
        <v>5</v>
      </c>
      <c r="L314" s="10"/>
      <c r="M314" s="11"/>
      <c r="N314" s="12">
        <f t="shared" si="10"/>
        <v>7</v>
      </c>
      <c r="O314" s="9"/>
      <c r="P314" s="174"/>
      <c r="Q314" s="107" t="s">
        <v>1335</v>
      </c>
      <c r="R314" s="20">
        <v>16000</v>
      </c>
      <c r="S314" s="13">
        <v>16640</v>
      </c>
      <c r="T314" s="14"/>
      <c r="U314" s="14"/>
      <c r="V314" s="31">
        <v>500</v>
      </c>
    </row>
    <row r="315" spans="1:22">
      <c r="A315" s="62" t="s">
        <v>310</v>
      </c>
      <c r="B315" s="55" t="str">
        <f>IFERROR(HYPERLINK(VLOOKUP(A315,ÜRÜNLER!A:C,3,FALSE),VLOOKUP(A315,ÜRÜNLER!A:B,2,FALSE)),"")</f>
        <v>iQ300 Gazlı Ocak, 67cm, Sert Cam, Siyah, Wok</v>
      </c>
      <c r="C315" s="8"/>
      <c r="D315" s="8"/>
      <c r="E315" s="9"/>
      <c r="F315" s="9"/>
      <c r="G315" s="10"/>
      <c r="H315" s="10"/>
      <c r="I315" s="11"/>
      <c r="J315" s="11"/>
      <c r="K315" s="10">
        <v>1</v>
      </c>
      <c r="L315" s="10"/>
      <c r="M315" s="11"/>
      <c r="N315" s="12">
        <f t="shared" si="10"/>
        <v>1</v>
      </c>
      <c r="O315" s="9"/>
      <c r="P315" s="174"/>
      <c r="Q315" s="107" t="s">
        <v>1335</v>
      </c>
      <c r="R315" s="20">
        <v>15000</v>
      </c>
      <c r="S315" s="13">
        <v>15600</v>
      </c>
      <c r="T315" s="14"/>
      <c r="U315" s="14"/>
      <c r="V315" s="31">
        <v>500</v>
      </c>
    </row>
    <row r="316" spans="1:22">
      <c r="A316" s="62" t="s">
        <v>311</v>
      </c>
      <c r="B316" s="55" t="str">
        <f>IFERROR(HYPERLINK(VLOOKUP(A316,ÜRÜNLER!A:C,3,FALSE),VLOOKUP(A316,ÜRÜNLER!A:B,2,FALSE)),"")</f>
        <v>iQ300 Gazlı Ocak, 67cm, Sert Cam, Siyah, Wok</v>
      </c>
      <c r="C316" s="8">
        <v>4</v>
      </c>
      <c r="D316" s="8"/>
      <c r="E316" s="9"/>
      <c r="F316" s="9"/>
      <c r="G316" s="10"/>
      <c r="H316" s="10"/>
      <c r="I316" s="11"/>
      <c r="J316" s="11"/>
      <c r="K316" s="10"/>
      <c r="L316" s="10"/>
      <c r="M316" s="11"/>
      <c r="N316" s="12">
        <f t="shared" si="10"/>
        <v>4</v>
      </c>
      <c r="O316" s="9">
        <v>1</v>
      </c>
      <c r="P316" s="174"/>
      <c r="Q316" s="56">
        <v>16468.157321697428</v>
      </c>
      <c r="R316" s="27">
        <v>16468.157321697428</v>
      </c>
      <c r="S316" s="13">
        <v>17126.883614565326</v>
      </c>
      <c r="T316" s="14"/>
      <c r="U316" s="14"/>
      <c r="V316" s="18"/>
    </row>
    <row r="317" spans="1:22">
      <c r="A317" s="62" t="s">
        <v>312</v>
      </c>
      <c r="B317" s="55" t="str">
        <f>IFERROR(HYPERLINK(VLOOKUP(A317,ÜRÜNLER!A:C,3,FALSE),VLOOKUP(A317,ÜRÜNLER!A:B,2,FALSE)),"")</f>
        <v>iQ300 Gazlı Ocak, 67cm, Sert Cam, Siyah</v>
      </c>
      <c r="C317" s="8"/>
      <c r="D317" s="8"/>
      <c r="E317" s="9"/>
      <c r="F317" s="9"/>
      <c r="G317" s="10"/>
      <c r="H317" s="10"/>
      <c r="I317" s="11"/>
      <c r="J317" s="11">
        <v>2</v>
      </c>
      <c r="K317" s="10">
        <v>3</v>
      </c>
      <c r="L317" s="10"/>
      <c r="M317" s="11"/>
      <c r="N317" s="12">
        <f t="shared" si="10"/>
        <v>5</v>
      </c>
      <c r="O317" s="9"/>
      <c r="P317" s="174"/>
      <c r="Q317" s="107" t="s">
        <v>1335</v>
      </c>
      <c r="R317" s="20">
        <v>14000</v>
      </c>
      <c r="S317" s="13">
        <v>14560</v>
      </c>
      <c r="T317" s="14"/>
      <c r="U317" s="14"/>
      <c r="V317" s="31">
        <v>500</v>
      </c>
    </row>
    <row r="318" spans="1:22">
      <c r="A318" s="62" t="s">
        <v>313</v>
      </c>
      <c r="B318" s="55" t="str">
        <f>IFERROR(HYPERLINK(VLOOKUP(A318,ÜRÜNLER!A:C,3,FALSE),VLOOKUP(A318,ÜRÜNLER!A:B,2,FALSE)),"")</f>
        <v>iQ300 Gazlı Ocak, 67cm, Sert Cam, Siyah</v>
      </c>
      <c r="C318" s="8"/>
      <c r="D318" s="8"/>
      <c r="E318" s="9"/>
      <c r="F318" s="9"/>
      <c r="G318" s="10"/>
      <c r="H318" s="10"/>
      <c r="I318" s="11">
        <v>2</v>
      </c>
      <c r="J318" s="11"/>
      <c r="K318" s="10">
        <v>1</v>
      </c>
      <c r="L318" s="10"/>
      <c r="M318" s="11">
        <v>1</v>
      </c>
      <c r="N318" s="12">
        <f t="shared" si="10"/>
        <v>4</v>
      </c>
      <c r="O318" s="9">
        <v>26</v>
      </c>
      <c r="P318" s="174"/>
      <c r="Q318" s="56">
        <v>13167.477103400217</v>
      </c>
      <c r="R318" s="27">
        <v>13167.477103400217</v>
      </c>
      <c r="S318" s="13">
        <v>13694.176187536226</v>
      </c>
      <c r="T318" s="14"/>
      <c r="U318" s="14"/>
      <c r="V318" s="18"/>
    </row>
    <row r="319" spans="1:22">
      <c r="A319" s="73" t="s">
        <v>314</v>
      </c>
      <c r="B319" s="55" t="str">
        <f>IFERROR(HYPERLINK(VLOOKUP(A319,ÜRÜNLER!A:C,3,FALSE),VLOOKUP(A319,ÜRÜNLER!A:B,2,FALSE)),"")</f>
        <v>iQ300 Gazlı Ocak, 67cm, Sert Cam, Antrasit Gri, Wok</v>
      </c>
      <c r="C319" s="8">
        <v>9</v>
      </c>
      <c r="D319" s="8"/>
      <c r="E319" s="9"/>
      <c r="F319" s="9"/>
      <c r="G319" s="10"/>
      <c r="H319" s="10"/>
      <c r="I319" s="11"/>
      <c r="J319" s="11"/>
      <c r="K319" s="10"/>
      <c r="L319" s="10"/>
      <c r="M319" s="11"/>
      <c r="N319" s="12">
        <f t="shared" si="10"/>
        <v>9</v>
      </c>
      <c r="O319" s="9">
        <v>1</v>
      </c>
      <c r="P319" s="174"/>
      <c r="Q319" s="56">
        <v>16468.157321697428</v>
      </c>
      <c r="R319" s="27">
        <v>16468.157321697428</v>
      </c>
      <c r="S319" s="13">
        <v>17126.883614565326</v>
      </c>
      <c r="T319" s="14"/>
      <c r="U319" s="14"/>
      <c r="V319" s="18"/>
    </row>
    <row r="320" spans="1:22">
      <c r="A320" s="73" t="s">
        <v>315</v>
      </c>
      <c r="B320" s="55" t="str">
        <f>IFERROR(HYPERLINK(VLOOKUP(A320,ÜRÜNLER!A:C,3,FALSE),VLOOKUP(A320,ÜRÜNLER!A:B,2,FALSE)),"")</f>
        <v>iQ100 Gazlı Ocak, 67cm, Sert Cam, Titanyum Gri</v>
      </c>
      <c r="C320" s="8">
        <v>13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/>
      <c r="N320" s="12">
        <f t="shared" si="10"/>
        <v>14</v>
      </c>
      <c r="O320" s="9"/>
      <c r="P320" s="174"/>
      <c r="Q320" s="107" t="s">
        <v>1335</v>
      </c>
      <c r="R320" s="20">
        <v>12500</v>
      </c>
      <c r="S320" s="13">
        <v>13000</v>
      </c>
      <c r="T320" s="14">
        <v>432.04407879822247</v>
      </c>
      <c r="U320" s="14"/>
      <c r="V320" s="31">
        <v>500</v>
      </c>
    </row>
    <row r="321" spans="1:22">
      <c r="A321" s="73" t="s">
        <v>316</v>
      </c>
      <c r="B321" s="55" t="str">
        <f>IFERROR(HYPERLINK(VLOOKUP(A321,ÜRÜNLER!A:C,3,FALSE),VLOOKUP(A321,ÜRÜNLER!A:B,2,FALSE)),"")</f>
        <v>iQ300 Gazlı Ocak, 67cm, Sert Cam, Antrasit Gri</v>
      </c>
      <c r="C321" s="8">
        <v>28</v>
      </c>
      <c r="D321" s="8"/>
      <c r="E321" s="9"/>
      <c r="F321" s="9"/>
      <c r="G321" s="10"/>
      <c r="H321" s="10"/>
      <c r="I321" s="11">
        <v>3</v>
      </c>
      <c r="J321" s="11"/>
      <c r="K321" s="10"/>
      <c r="L321" s="10"/>
      <c r="M321" s="11"/>
      <c r="N321" s="12">
        <f t="shared" si="10"/>
        <v>31</v>
      </c>
      <c r="O321" s="9">
        <v>1</v>
      </c>
      <c r="P321" s="174"/>
      <c r="Q321" s="56">
        <v>13167.477103400217</v>
      </c>
      <c r="R321" s="27">
        <v>13167.477103400217</v>
      </c>
      <c r="S321" s="13">
        <v>13694.176187536226</v>
      </c>
      <c r="T321" s="14"/>
      <c r="U321" s="14"/>
      <c r="V321" s="18"/>
    </row>
    <row r="322" spans="1:22">
      <c r="A322" s="73" t="s">
        <v>317</v>
      </c>
      <c r="B322" s="55" t="str">
        <f>IFERROR(HYPERLINK(VLOOKUP(A322,ÜRÜNLER!A:C,3,FALSE),VLOOKUP(A322,ÜRÜNLER!A:B,2,FALSE)),"")</f>
        <v>iQ300 Gazlı Ocak, 67cm, Sert Cam, Dark Silver</v>
      </c>
      <c r="C322" s="8">
        <v>1</v>
      </c>
      <c r="D322" s="8"/>
      <c r="E322" s="9"/>
      <c r="F322" s="9"/>
      <c r="G322" s="10"/>
      <c r="H322" s="10"/>
      <c r="I322" s="11"/>
      <c r="J322" s="11"/>
      <c r="K322" s="10">
        <v>1</v>
      </c>
      <c r="L322" s="10"/>
      <c r="M322" s="11">
        <v>1</v>
      </c>
      <c r="N322" s="12">
        <f t="shared" si="10"/>
        <v>3</v>
      </c>
      <c r="O322" s="9"/>
      <c r="P322" s="174"/>
      <c r="Q322" s="107" t="s">
        <v>1335</v>
      </c>
      <c r="R322" s="20">
        <v>15000</v>
      </c>
      <c r="S322" s="13">
        <v>15600</v>
      </c>
      <c r="T322" s="14"/>
      <c r="U322" s="14"/>
      <c r="V322" s="18"/>
    </row>
    <row r="323" spans="1:22">
      <c r="A323" s="59" t="s">
        <v>318</v>
      </c>
      <c r="B323" s="55" t="str">
        <f>IFERROR(HYPERLINK(VLOOKUP(A323,ÜRÜNLER!A:C,3,FALSE),VLOOKUP(A323,ÜRÜNLER!A:B,2,FALSE)),"")</f>
        <v>iQ500 Gazlı Ocak, 60cm, Sert Cam, Siyah, Döküm, Wok</v>
      </c>
      <c r="C323" s="8"/>
      <c r="D323" s="8"/>
      <c r="E323" s="9"/>
      <c r="F323" s="9"/>
      <c r="G323" s="10"/>
      <c r="H323" s="10"/>
      <c r="I323" s="11"/>
      <c r="J323" s="11"/>
      <c r="K323" s="10"/>
      <c r="L323" s="10"/>
      <c r="M323" s="11"/>
      <c r="N323" s="12">
        <f t="shared" si="10"/>
        <v>0</v>
      </c>
      <c r="O323" s="9">
        <v>1</v>
      </c>
      <c r="P323" s="174"/>
      <c r="Q323" s="56">
        <v>33236.503143205104</v>
      </c>
      <c r="R323" s="27">
        <v>33236.503143205104</v>
      </c>
      <c r="S323" s="13">
        <v>34565.963268933308</v>
      </c>
      <c r="T323" s="14"/>
      <c r="U323" s="14"/>
      <c r="V323" s="31">
        <v>500</v>
      </c>
    </row>
    <row r="324" spans="1:22">
      <c r="A324" s="59" t="s">
        <v>319</v>
      </c>
      <c r="B324" s="55" t="str">
        <f>IFERROR(HYPERLINK(VLOOKUP(A324,ÜRÜNLER!A:C,3,FALSE),VLOOKUP(A324,ÜRÜNLER!A:B,2,FALSE)),"")</f>
        <v>iQ500 Gazlı Ocak, 60cm, Sert Cam, Siyah, Döküm</v>
      </c>
      <c r="C324" s="8">
        <v>2</v>
      </c>
      <c r="D324" s="8"/>
      <c r="E324" s="9"/>
      <c r="F324" s="9"/>
      <c r="G324" s="10"/>
      <c r="H324" s="10"/>
      <c r="I324" s="11"/>
      <c r="J324" s="11"/>
      <c r="K324" s="10"/>
      <c r="L324" s="10"/>
      <c r="M324" s="11">
        <v>1</v>
      </c>
      <c r="N324" s="12">
        <f t="shared" si="10"/>
        <v>3</v>
      </c>
      <c r="O324" s="9">
        <v>1</v>
      </c>
      <c r="P324" s="174"/>
      <c r="Q324" s="56">
        <v>31720.519454802557</v>
      </c>
      <c r="R324" s="27">
        <v>31720.519454802557</v>
      </c>
      <c r="S324" s="13">
        <v>32989.340232994662</v>
      </c>
      <c r="T324" s="14"/>
      <c r="U324" s="14"/>
      <c r="V324" s="31">
        <v>500</v>
      </c>
    </row>
    <row r="325" spans="1:22">
      <c r="A325" s="61" t="s">
        <v>320</v>
      </c>
      <c r="B325" s="55" t="str">
        <f>IFERROR(HYPERLINK(VLOOKUP(A325,ÜRÜNLER!A:C,3,FALSE),VLOOKUP(A325,ÜRÜNLER!A:B,2,FALSE)),"")</f>
        <v>iQ500 Gazlı Ocak, 60cm, Sert Cam, Beyaz, Döküm</v>
      </c>
      <c r="C325" s="8">
        <v>3</v>
      </c>
      <c r="D325" s="8"/>
      <c r="E325" s="9"/>
      <c r="F325" s="9"/>
      <c r="G325" s="10"/>
      <c r="H325" s="10"/>
      <c r="I325" s="11"/>
      <c r="J325" s="11">
        <v>1</v>
      </c>
      <c r="K325" s="10">
        <v>2</v>
      </c>
      <c r="L325" s="10"/>
      <c r="M325" s="11"/>
      <c r="N325" s="12">
        <f t="shared" si="10"/>
        <v>6</v>
      </c>
      <c r="O325" s="9"/>
      <c r="P325" s="174"/>
      <c r="Q325" s="107" t="s">
        <v>1335</v>
      </c>
      <c r="R325" s="20">
        <v>35000</v>
      </c>
      <c r="S325" s="13">
        <v>36400</v>
      </c>
      <c r="T325" s="14"/>
      <c r="U325" s="14"/>
      <c r="V325" s="31">
        <v>500</v>
      </c>
    </row>
    <row r="326" spans="1:22">
      <c r="A326" s="61" t="s">
        <v>321</v>
      </c>
      <c r="B326" s="55" t="str">
        <f>IFERROR(HYPERLINK(VLOOKUP(A326,ÜRÜNLER!A:C,3,FALSE),VLOOKUP(A326,ÜRÜNLER!A:B,2,FALSE)),"")</f>
        <v>iQ500 Gazlı Ocak, 60cm, Sert Cam, Siyah, Döküm, Wok</v>
      </c>
      <c r="C326" s="8"/>
      <c r="D326" s="8"/>
      <c r="E326" s="9"/>
      <c r="F326" s="9">
        <v>2</v>
      </c>
      <c r="G326" s="10"/>
      <c r="H326" s="10"/>
      <c r="I326" s="11"/>
      <c r="J326" s="11"/>
      <c r="K326" s="10">
        <v>2</v>
      </c>
      <c r="L326" s="10"/>
      <c r="M326" s="11"/>
      <c r="N326" s="12">
        <f t="shared" si="10"/>
        <v>4</v>
      </c>
      <c r="O326" s="9"/>
      <c r="P326" s="174"/>
      <c r="Q326" s="107" t="s">
        <v>1335</v>
      </c>
      <c r="R326" s="20">
        <v>30000</v>
      </c>
      <c r="S326" s="13">
        <v>31200</v>
      </c>
      <c r="T326" s="14"/>
      <c r="U326" s="14"/>
      <c r="V326" s="31">
        <v>500</v>
      </c>
    </row>
    <row r="327" spans="1:22">
      <c r="A327" s="61" t="s">
        <v>322</v>
      </c>
      <c r="B327" s="55" t="str">
        <f>IFERROR(HYPERLINK(VLOOKUP(A327,ÜRÜNLER!A:C,3,FALSE),VLOOKUP(A327,ÜRÜNLER!A:B,2,FALSE)),"")</f>
        <v>iQ500 Gazlı Ocak, 60cm, Sert Cam, Siyah, Döküm</v>
      </c>
      <c r="C327" s="8">
        <v>1</v>
      </c>
      <c r="D327" s="8"/>
      <c r="E327" s="9"/>
      <c r="F327" s="9"/>
      <c r="G327" s="10"/>
      <c r="H327" s="10"/>
      <c r="I327" s="11"/>
      <c r="J327" s="11"/>
      <c r="K327" s="10">
        <v>1</v>
      </c>
      <c r="L327" s="10"/>
      <c r="M327" s="11"/>
      <c r="N327" s="12">
        <f t="shared" si="10"/>
        <v>2</v>
      </c>
      <c r="O327" s="9"/>
      <c r="P327" s="174"/>
      <c r="Q327" s="107" t="s">
        <v>1335</v>
      </c>
      <c r="R327" s="20">
        <v>30000</v>
      </c>
      <c r="S327" s="13">
        <v>31200</v>
      </c>
      <c r="T327" s="14"/>
      <c r="U327" s="14"/>
      <c r="V327" s="31">
        <v>500</v>
      </c>
    </row>
    <row r="328" spans="1:22">
      <c r="A328" s="73" t="s">
        <v>324</v>
      </c>
      <c r="B328" s="55" t="str">
        <f>IFERROR(HYPERLINK(VLOOKUP(A328,ÜRÜNLER!A:C,3,FALSE),VLOOKUP(A328,ÜRÜNLER!A:B,2,FALSE)),"")</f>
        <v>iQ500 Gazlı Ocak, 60cm, Sert Cam, Titanyum Gri, Döküm, Wok</v>
      </c>
      <c r="C328" s="8"/>
      <c r="D328" s="8"/>
      <c r="E328" s="9"/>
      <c r="F328" s="9"/>
      <c r="G328" s="10"/>
      <c r="H328" s="10"/>
      <c r="I328" s="11">
        <v>1</v>
      </c>
      <c r="J328" s="11"/>
      <c r="K328" s="10">
        <v>1</v>
      </c>
      <c r="L328" s="10"/>
      <c r="M328" s="11"/>
      <c r="N328" s="12">
        <f t="shared" si="10"/>
        <v>2</v>
      </c>
      <c r="O328" s="9"/>
      <c r="P328" s="174"/>
      <c r="Q328" s="107" t="s">
        <v>1335</v>
      </c>
      <c r="R328" s="20">
        <v>21000</v>
      </c>
      <c r="S328" s="13">
        <v>21840</v>
      </c>
      <c r="T328" s="14"/>
      <c r="U328" s="14"/>
      <c r="V328" s="31">
        <v>500</v>
      </c>
    </row>
    <row r="329" spans="1:22">
      <c r="A329" s="73" t="s">
        <v>1370</v>
      </c>
      <c r="B329" s="55" t="str">
        <f>IFERROR(HYPERLINK(VLOOKUP(A329,ÜRÜNLER!A:C,3,FALSE),VLOOKUP(A329,ÜRÜNLER!A:B,2,FALSE)),"")</f>
        <v>iQ100 Gazlı Ocak, 60cm, Sert Cam, Antrasit, Wok</v>
      </c>
      <c r="C329" s="8">
        <v>1</v>
      </c>
      <c r="D329" s="8"/>
      <c r="E329" s="9"/>
      <c r="F329" s="9"/>
      <c r="G329" s="10"/>
      <c r="H329" s="10"/>
      <c r="I329" s="11"/>
      <c r="J329" s="11"/>
      <c r="K329" s="10"/>
      <c r="L329" s="10"/>
      <c r="M329" s="11"/>
      <c r="N329" s="12">
        <f t="shared" si="10"/>
        <v>1</v>
      </c>
      <c r="O329" s="9"/>
      <c r="P329" s="174"/>
      <c r="Q329" s="107" t="s">
        <v>1335</v>
      </c>
      <c r="R329" s="20">
        <v>20000</v>
      </c>
      <c r="S329" s="13">
        <v>20800</v>
      </c>
      <c r="T329" s="14"/>
      <c r="U329" s="14"/>
      <c r="V329" s="31">
        <v>500</v>
      </c>
    </row>
    <row r="330" spans="1:22">
      <c r="A330" s="61" t="s">
        <v>325</v>
      </c>
      <c r="B330" s="55" t="str">
        <f>IFERROR(HYPERLINK(VLOOKUP(A330,ÜRÜNLER!A:C,3,FALSE),VLOOKUP(A330,ÜRÜNLER!A:B,2,FALSE)),"")</f>
        <v>iQ300 Gazlı Ocak, 60cm, Sert Cam, Siyah, Döküm</v>
      </c>
      <c r="C330" s="8"/>
      <c r="D330" s="8"/>
      <c r="E330" s="9"/>
      <c r="F330" s="9"/>
      <c r="G330" s="10"/>
      <c r="H330" s="10"/>
      <c r="I330" s="11"/>
      <c r="J330" s="11"/>
      <c r="K330" s="10"/>
      <c r="L330" s="10"/>
      <c r="M330" s="11"/>
      <c r="N330" s="12">
        <f t="shared" si="10"/>
        <v>0</v>
      </c>
      <c r="O330" s="9">
        <v>1</v>
      </c>
      <c r="P330" s="174"/>
      <c r="Q330" s="56">
        <v>19408.978174486561</v>
      </c>
      <c r="R330" s="27">
        <v>19408.978174486561</v>
      </c>
      <c r="S330" s="13">
        <v>20185.337301466025</v>
      </c>
      <c r="T330" s="14">
        <v>1404.3270116958629</v>
      </c>
      <c r="U330" s="14"/>
      <c r="V330" s="18"/>
    </row>
    <row r="331" spans="1:22">
      <c r="A331" s="61" t="s">
        <v>326</v>
      </c>
      <c r="B331" s="55" t="str">
        <f>IFERROR(HYPERLINK(VLOOKUP(A331,ÜRÜNLER!A:C,3,FALSE),VLOOKUP(A331,ÜRÜNLER!A:B,2,FALSE)),"")</f>
        <v>iQ300 Gazlı Ocak, 75cm, 4 Gözlü, Sert Cam, Beyaz</v>
      </c>
      <c r="C331" s="8">
        <v>2</v>
      </c>
      <c r="D331" s="8"/>
      <c r="E331" s="9"/>
      <c r="F331" s="9"/>
      <c r="G331" s="10"/>
      <c r="H331" s="10"/>
      <c r="I331" s="11">
        <v>1</v>
      </c>
      <c r="J331" s="11"/>
      <c r="K331" s="10"/>
      <c r="L331" s="10"/>
      <c r="M331" s="11"/>
      <c r="N331" s="12">
        <f t="shared" si="10"/>
        <v>3</v>
      </c>
      <c r="O331" s="9"/>
      <c r="P331" s="174"/>
      <c r="Q331" s="107" t="s">
        <v>1335</v>
      </c>
      <c r="R331" s="20">
        <v>16000</v>
      </c>
      <c r="S331" s="13">
        <v>16640</v>
      </c>
      <c r="T331" s="14"/>
      <c r="U331" s="14"/>
      <c r="V331" s="18"/>
    </row>
    <row r="332" spans="1:22">
      <c r="A332" s="61" t="s">
        <v>327</v>
      </c>
      <c r="B332" s="55" t="str">
        <f>IFERROR(HYPERLINK(VLOOKUP(A332,ÜRÜNLER!A:C,3,FALSE),VLOOKUP(A332,ÜRÜNLER!A:B,2,FALSE)),"")</f>
        <v>iQ300 Gazlı Ocak, 75cm, 5 Gözlü, Sert Cam, Beyaz, Wok</v>
      </c>
      <c r="C332" s="8">
        <v>1</v>
      </c>
      <c r="D332" s="8"/>
      <c r="E332" s="9"/>
      <c r="F332" s="9">
        <v>1</v>
      </c>
      <c r="G332" s="10"/>
      <c r="H332" s="10"/>
      <c r="I332" s="11"/>
      <c r="J332" s="11"/>
      <c r="K332" s="10"/>
      <c r="L332" s="10"/>
      <c r="M332" s="11"/>
      <c r="N332" s="12">
        <f t="shared" si="10"/>
        <v>2</v>
      </c>
      <c r="O332" s="9"/>
      <c r="P332" s="174"/>
      <c r="Q332" s="107" t="s">
        <v>1335</v>
      </c>
      <c r="R332" s="20">
        <v>16000</v>
      </c>
      <c r="S332" s="13">
        <v>16640</v>
      </c>
      <c r="T332" s="14"/>
      <c r="U332" s="14"/>
      <c r="V332" s="18"/>
    </row>
    <row r="333" spans="1:22">
      <c r="A333" s="62" t="s">
        <v>328</v>
      </c>
      <c r="B333" s="55" t="str">
        <f>IFERROR(HYPERLINK(VLOOKUP(A333,ÜRÜNLER!A:C,3,FALSE),VLOOKUP(A333,ÜRÜNLER!A:B,2,FALSE)),"")</f>
        <v>iQ300 Gazlı Ocak, 75cm, 5 Gözlü, Sert Cam, Beyaz, Wok</v>
      </c>
      <c r="C333" s="8">
        <v>1</v>
      </c>
      <c r="D333" s="8"/>
      <c r="E333" s="9"/>
      <c r="F333" s="9"/>
      <c r="G333" s="10"/>
      <c r="H333" s="10"/>
      <c r="I333" s="11"/>
      <c r="J333" s="11"/>
      <c r="K333" s="10"/>
      <c r="L333" s="10"/>
      <c r="M333" s="11">
        <v>1</v>
      </c>
      <c r="N333" s="12">
        <f t="shared" si="10"/>
        <v>2</v>
      </c>
      <c r="O333" s="9">
        <v>11</v>
      </c>
      <c r="P333" s="174"/>
      <c r="Q333" s="56">
        <v>21869.152496855248</v>
      </c>
      <c r="R333" s="27">
        <v>21869.152496855248</v>
      </c>
      <c r="S333" s="13">
        <v>22743.918596729458</v>
      </c>
      <c r="T333" s="14"/>
      <c r="U333" s="14"/>
      <c r="V333" s="18"/>
    </row>
    <row r="334" spans="1:22">
      <c r="A334" s="61" t="s">
        <v>329</v>
      </c>
      <c r="B334" s="55" t="str">
        <f>IFERROR(HYPERLINK(VLOOKUP(A334,ÜRÜNLER!A:C,3,FALSE),VLOOKUP(A334,ÜRÜNLER!A:B,2,FALSE)),"")</f>
        <v>iQ300 Gazlı Ocak, 75cm, 5 Gözlü, Sert Cam, Siyah, Wok</v>
      </c>
      <c r="C334" s="8"/>
      <c r="D334" s="8"/>
      <c r="E334" s="9"/>
      <c r="F334" s="9"/>
      <c r="G334" s="10"/>
      <c r="H334" s="10"/>
      <c r="I334" s="11"/>
      <c r="J334" s="11"/>
      <c r="K334" s="10">
        <v>1</v>
      </c>
      <c r="L334" s="10"/>
      <c r="M334" s="11"/>
      <c r="N334" s="12">
        <f t="shared" si="10"/>
        <v>1</v>
      </c>
      <c r="O334" s="9"/>
      <c r="P334" s="174"/>
      <c r="Q334" s="107" t="s">
        <v>1335</v>
      </c>
      <c r="R334" s="20">
        <v>20000</v>
      </c>
      <c r="S334" s="13">
        <v>20800</v>
      </c>
      <c r="T334" s="14"/>
      <c r="U334" s="14"/>
      <c r="V334" s="31">
        <v>500</v>
      </c>
    </row>
    <row r="335" spans="1:22">
      <c r="A335" s="59" t="s">
        <v>330</v>
      </c>
      <c r="B335" s="55" t="str">
        <f>IFERROR(HYPERLINK(VLOOKUP(A335,ÜRÜNLER!A:C,3,FALSE),VLOOKUP(A335,ÜRÜNLER!A:B,2,FALSE)),"")</f>
        <v>iQ300 Gazlı Ocak, 75cm, 5 Gözlü, Sert Cam, Siyah, Wok</v>
      </c>
      <c r="C335" s="8">
        <v>1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2">
        <f t="shared" si="10"/>
        <v>1</v>
      </c>
      <c r="O335" s="9">
        <v>1</v>
      </c>
      <c r="P335" s="174"/>
      <c r="Q335" s="56">
        <v>21869.152496855248</v>
      </c>
      <c r="R335" s="27">
        <v>21869.152496855248</v>
      </c>
      <c r="S335" s="13">
        <v>22743.918596729458</v>
      </c>
      <c r="T335" s="14"/>
      <c r="U335" s="14"/>
      <c r="V335" s="18"/>
    </row>
    <row r="336" spans="1:22">
      <c r="A336" s="73" t="s">
        <v>331</v>
      </c>
      <c r="B336" s="55" t="str">
        <f>IFERROR(HYPERLINK(VLOOKUP(A336,ÜRÜNLER!A:C,3,FALSE),VLOOKUP(A336,ÜRÜNLER!A:B,2,FALSE)),"")</f>
        <v>iQ300 Gazlı Ocak, 75cm, 5 Gözlü, Sert Cam, Titanyum Gri, Wok</v>
      </c>
      <c r="C336" s="8">
        <v>4</v>
      </c>
      <c r="D336" s="8"/>
      <c r="E336" s="9"/>
      <c r="F336" s="9">
        <v>1</v>
      </c>
      <c r="G336" s="10"/>
      <c r="H336" s="10"/>
      <c r="I336" s="11">
        <v>2</v>
      </c>
      <c r="J336" s="11"/>
      <c r="K336" s="10">
        <v>1</v>
      </c>
      <c r="L336" s="10"/>
      <c r="M336" s="11"/>
      <c r="N336" s="12">
        <f t="shared" si="10"/>
        <v>8</v>
      </c>
      <c r="O336" s="9"/>
      <c r="P336" s="174"/>
      <c r="Q336" s="107" t="s">
        <v>1335</v>
      </c>
      <c r="R336" s="20">
        <v>22000</v>
      </c>
      <c r="S336" s="13">
        <v>22880</v>
      </c>
      <c r="T336" s="14"/>
      <c r="U336" s="14"/>
      <c r="V336" s="31">
        <v>500</v>
      </c>
    </row>
    <row r="337" spans="1:22">
      <c r="A337" s="73" t="s">
        <v>468</v>
      </c>
      <c r="B337" s="55" t="str">
        <f>IFERROR(HYPERLINK(VLOOKUP(A337,ÜRÜNLER!A:C,3,FALSE),VLOOKUP(A337,ÜRÜNLER!A:B,2,FALSE)),"")</f>
        <v>iQ300 Gazlı Ocak, 75cm, Sert Cam, Antrasit, Wok</v>
      </c>
      <c r="C337" s="8">
        <v>2</v>
      </c>
      <c r="D337" s="8"/>
      <c r="E337" s="9"/>
      <c r="F337" s="9"/>
      <c r="G337" s="10"/>
      <c r="H337" s="10"/>
      <c r="I337" s="11"/>
      <c r="J337" s="11"/>
      <c r="K337" s="10"/>
      <c r="L337" s="10"/>
      <c r="M337" s="11"/>
      <c r="N337" s="12">
        <f t="shared" si="10"/>
        <v>2</v>
      </c>
      <c r="O337" s="9">
        <v>1</v>
      </c>
      <c r="P337" s="174"/>
      <c r="Q337" s="56">
        <v>21869.152496855248</v>
      </c>
      <c r="R337" s="27">
        <v>21869.152496855248</v>
      </c>
      <c r="S337" s="13">
        <v>22743.918596729458</v>
      </c>
      <c r="T337" s="14"/>
      <c r="U337" s="14"/>
      <c r="V337" s="18"/>
    </row>
    <row r="338" spans="1:22">
      <c r="A338" s="61" t="s">
        <v>1328</v>
      </c>
      <c r="B338" s="55" t="str">
        <f>IFERROR(HYPERLINK(VLOOKUP(A338,ÜRÜNLER!A:C,3,FALSE),VLOOKUP(A338,ÜRÜNLER!A:B,2,FALSE)),"")</f>
        <v>iQ500 Gazlı Ocak, 75cm, 5 Gözlü, Sert Cam, Beyaz, Wok</v>
      </c>
      <c r="C338" s="8">
        <v>2</v>
      </c>
      <c r="D338" s="8"/>
      <c r="E338" s="9"/>
      <c r="F338" s="9"/>
      <c r="G338" s="10"/>
      <c r="H338" s="10"/>
      <c r="I338" s="11"/>
      <c r="J338" s="11"/>
      <c r="K338" s="10"/>
      <c r="L338" s="10"/>
      <c r="M338" s="11"/>
      <c r="N338" s="12">
        <f t="shared" si="10"/>
        <v>2</v>
      </c>
      <c r="O338" s="9">
        <v>1</v>
      </c>
      <c r="P338" s="174"/>
      <c r="Q338" s="56">
        <v>42802.552113694554</v>
      </c>
      <c r="R338" s="27">
        <v>42802.552113694554</v>
      </c>
      <c r="S338" s="13">
        <v>44514.654198242337</v>
      </c>
      <c r="T338" s="14"/>
      <c r="U338" s="14"/>
      <c r="V338" s="31">
        <v>500</v>
      </c>
    </row>
    <row r="339" spans="1:22">
      <c r="A339" s="61" t="s">
        <v>332</v>
      </c>
      <c r="B339" s="55" t="str">
        <f>IFERROR(HYPERLINK(VLOOKUP(A339,ÜRÜNLER!A:C,3,FALSE),VLOOKUP(A339,ÜRÜNLER!A:B,2,FALSE)),"")</f>
        <v>iQ500 Gazlı Ocak, 75cm, 5 Gözlü, Sert Cam, Beyaz, Döküm, Wok</v>
      </c>
      <c r="C339" s="8"/>
      <c r="D339" s="8"/>
      <c r="E339" s="9"/>
      <c r="F339" s="9"/>
      <c r="G339" s="10"/>
      <c r="H339" s="10"/>
      <c r="I339" s="11">
        <v>2</v>
      </c>
      <c r="J339" s="11">
        <v>1</v>
      </c>
      <c r="K339" s="10">
        <v>2</v>
      </c>
      <c r="L339" s="10"/>
      <c r="M339" s="11">
        <v>1</v>
      </c>
      <c r="N339" s="12">
        <f t="shared" si="10"/>
        <v>6</v>
      </c>
      <c r="O339" s="9"/>
      <c r="P339" s="174"/>
      <c r="Q339" s="107" t="s">
        <v>1335</v>
      </c>
      <c r="R339" s="20">
        <v>42000</v>
      </c>
      <c r="S339" s="13">
        <v>43680</v>
      </c>
      <c r="T339" s="14"/>
      <c r="U339" s="14"/>
      <c r="V339" s="31">
        <v>500</v>
      </c>
    </row>
    <row r="340" spans="1:22">
      <c r="A340" s="61" t="s">
        <v>333</v>
      </c>
      <c r="B340" s="55" t="str">
        <f>IFERROR(HYPERLINK(VLOOKUP(A340,ÜRÜNLER!A:C,3,FALSE),VLOOKUP(A340,ÜRÜNLER!A:B,2,FALSE)),"")</f>
        <v>iQ500 Gazlı Ocak, 75cm, 5 Gözlü, Sert Cam, Siyah, Wok</v>
      </c>
      <c r="C340" s="8"/>
      <c r="D340" s="8"/>
      <c r="E340" s="9"/>
      <c r="F340" s="9"/>
      <c r="G340" s="10"/>
      <c r="H340" s="10"/>
      <c r="I340" s="11">
        <v>1</v>
      </c>
      <c r="J340" s="11">
        <v>1</v>
      </c>
      <c r="K340" s="10">
        <v>2</v>
      </c>
      <c r="L340" s="10"/>
      <c r="M340" s="11"/>
      <c r="N340" s="12">
        <f t="shared" si="10"/>
        <v>4</v>
      </c>
      <c r="O340" s="9"/>
      <c r="P340" s="174"/>
      <c r="Q340" s="107" t="s">
        <v>1335</v>
      </c>
      <c r="R340" s="20">
        <v>42000</v>
      </c>
      <c r="S340" s="13">
        <v>43680</v>
      </c>
      <c r="T340" s="14"/>
      <c r="U340" s="14"/>
      <c r="V340" s="31">
        <v>500</v>
      </c>
    </row>
    <row r="341" spans="1:22">
      <c r="A341" s="62" t="s">
        <v>334</v>
      </c>
      <c r="B341" s="55" t="str">
        <f>IFERROR(HYPERLINK(VLOOKUP(A341,ÜRÜNLER!A:C,3,FALSE),VLOOKUP(A341,ÜRÜNLER!A:B,2,FALSE)),"")</f>
        <v>iQ500 Gazlı Ocak, 75cm, 5 Gözlü, Sert Cam, Siyah,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12">
        <f t="shared" si="10"/>
        <v>1</v>
      </c>
      <c r="O341" s="9"/>
      <c r="P341" s="174"/>
      <c r="Q341" s="107" t="s">
        <v>1335</v>
      </c>
      <c r="R341" s="20">
        <v>42000</v>
      </c>
      <c r="S341" s="13">
        <v>43680</v>
      </c>
      <c r="T341" s="14"/>
      <c r="U341" s="14"/>
      <c r="V341" s="31">
        <v>500</v>
      </c>
    </row>
    <row r="342" spans="1:22">
      <c r="A342" s="62" t="s">
        <v>335</v>
      </c>
      <c r="B342" s="55" t="str">
        <f>IFERROR(HYPERLINK(VLOOKUP(A342,ÜRÜNLER!A:C,3,FALSE),VLOOKUP(A342,ÜRÜNLER!A:B,2,FALSE)),"")</f>
        <v>iQ500 Gazlı Ocak, 75cm, 5 Gözlü, Inox, Döküm, Wok</v>
      </c>
      <c r="C342" s="8">
        <v>1</v>
      </c>
      <c r="D342" s="8"/>
      <c r="E342" s="9"/>
      <c r="F342" s="9"/>
      <c r="G342" s="10"/>
      <c r="H342" s="10"/>
      <c r="I342" s="11"/>
      <c r="J342" s="11"/>
      <c r="K342" s="10"/>
      <c r="L342" s="10"/>
      <c r="M342" s="11"/>
      <c r="N342" s="12">
        <f t="shared" si="10"/>
        <v>1</v>
      </c>
      <c r="O342" s="9">
        <v>1</v>
      </c>
      <c r="P342" s="174"/>
      <c r="Q342" s="56">
        <v>39281.248229873469</v>
      </c>
      <c r="R342" s="27">
        <v>39281.248229873469</v>
      </c>
      <c r="S342" s="13">
        <v>40852.498159068404</v>
      </c>
      <c r="T342" s="14"/>
      <c r="U342" s="14"/>
      <c r="V342" s="31"/>
    </row>
    <row r="343" spans="1:22">
      <c r="A343" s="61" t="s">
        <v>336</v>
      </c>
      <c r="B343" s="55" t="str">
        <f>IFERROR(HYPERLINK(VLOOKUP(A343,ÜRÜNLER!A:C,3,FALSE),VLOOKUP(A343,ÜRÜNLER!A:B,2,FALSE)),"")</f>
        <v>iQ500 Gazlı Ocak, 75cm, 5 Gözlü, Inox, Döküm, Wok</v>
      </c>
      <c r="C343" s="8"/>
      <c r="D343" s="8"/>
      <c r="E343" s="9"/>
      <c r="F343" s="9"/>
      <c r="G343" s="10"/>
      <c r="H343" s="10"/>
      <c r="I343" s="11">
        <v>1</v>
      </c>
      <c r="J343" s="11"/>
      <c r="K343" s="10"/>
      <c r="L343" s="10"/>
      <c r="M343" s="11"/>
      <c r="N343" s="12">
        <f t="shared" si="10"/>
        <v>1</v>
      </c>
      <c r="O343" s="9"/>
      <c r="P343" s="174"/>
      <c r="Q343" s="107" t="s">
        <v>1335</v>
      </c>
      <c r="R343" s="20">
        <v>40000</v>
      </c>
      <c r="S343" s="13">
        <v>41600</v>
      </c>
      <c r="T343" s="14"/>
      <c r="U343" s="14"/>
      <c r="V343" s="31">
        <v>500</v>
      </c>
    </row>
    <row r="344" spans="1:22">
      <c r="A344" s="84" t="s">
        <v>337</v>
      </c>
      <c r="B344" s="55" t="str">
        <f>IFERROR(HYPERLINK(VLOOKUP(A344,ÜRÜNLER!A:C,3,FALSE),VLOOKUP(A344,ÜRÜNLER!A:B,2,FALSE)),"")</f>
        <v>iQ500 Gazlı Ocak, 90cm, 5 Gözlü, Sert Cam, Siyah, Döküm, Wok</v>
      </c>
      <c r="C344" s="8"/>
      <c r="D344" s="8"/>
      <c r="E344" s="9"/>
      <c r="F344" s="9"/>
      <c r="G344" s="10"/>
      <c r="H344" s="10"/>
      <c r="I344" s="11"/>
      <c r="J344" s="11"/>
      <c r="K344" s="10">
        <v>1</v>
      </c>
      <c r="L344" s="10"/>
      <c r="M344" s="11"/>
      <c r="N344" s="12">
        <f t="shared" si="10"/>
        <v>1</v>
      </c>
      <c r="O344" s="9"/>
      <c r="P344" s="174"/>
      <c r="Q344" s="107" t="s">
        <v>1335</v>
      </c>
      <c r="R344" s="20">
        <v>45000</v>
      </c>
      <c r="S344" s="13">
        <v>46800</v>
      </c>
      <c r="T344" s="14"/>
      <c r="U344" s="14"/>
      <c r="V344" s="31">
        <v>500</v>
      </c>
    </row>
    <row r="345" spans="1:22">
      <c r="A345" s="85" t="s">
        <v>338</v>
      </c>
      <c r="B345" s="55" t="str">
        <f>IFERROR(HYPERLINK(VLOOKUP(A345,ÜRÜNLER!A:C,3,FALSE),VLOOKUP(A345,ÜRÜNLER!A:B,2,FALSE)),"")</f>
        <v>iQ500 Gazlı Ocak, 90cm, 5 Gözlü, Sert Cam, Siyah, Döküm, Wok</v>
      </c>
      <c r="C345" s="8">
        <v>2</v>
      </c>
      <c r="D345" s="8"/>
      <c r="E345" s="9"/>
      <c r="F345" s="9">
        <v>2</v>
      </c>
      <c r="G345" s="10"/>
      <c r="H345" s="10"/>
      <c r="I345" s="11"/>
      <c r="J345" s="11">
        <v>1</v>
      </c>
      <c r="K345" s="10"/>
      <c r="L345" s="10"/>
      <c r="M345" s="11"/>
      <c r="N345" s="12">
        <f t="shared" si="10"/>
        <v>5</v>
      </c>
      <c r="O345" s="9">
        <v>1</v>
      </c>
      <c r="P345" s="174"/>
      <c r="Q345" s="56">
        <v>53395.248265570553</v>
      </c>
      <c r="R345" s="27">
        <v>53395.248265570553</v>
      </c>
      <c r="S345" s="13">
        <v>55531.058196193379</v>
      </c>
      <c r="T345" s="14"/>
      <c r="U345" s="14"/>
      <c r="V345" s="31">
        <v>500</v>
      </c>
    </row>
    <row r="346" spans="1:22">
      <c r="A346" s="62" t="s">
        <v>340</v>
      </c>
      <c r="B346" s="55" t="str">
        <f>IFERROR(HYPERLINK(VLOOKUP(A346,ÜRÜNLER!A:C,3,FALSE),VLOOKUP(A346,ÜRÜNLER!A:B,2,FALSE)),"")</f>
        <v>iQ500 Gazlı Ocak, 67cm, Sert Cam, Siyah, Wok, Döküm</v>
      </c>
      <c r="C346" s="8"/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2">
        <f t="shared" si="10"/>
        <v>0</v>
      </c>
      <c r="O346" s="9">
        <v>3</v>
      </c>
      <c r="P346" s="174"/>
      <c r="Q346" s="56">
        <v>42802.552113694554</v>
      </c>
      <c r="R346" s="27">
        <v>42802.552113694554</v>
      </c>
      <c r="S346" s="13">
        <v>44514.654198242337</v>
      </c>
      <c r="T346" s="14"/>
      <c r="U346" s="14"/>
      <c r="V346" s="31"/>
    </row>
    <row r="347" spans="1:22">
      <c r="A347" s="84" t="s">
        <v>1324</v>
      </c>
      <c r="B347" s="55" t="str">
        <f>IFERROR(HYPERLINK(VLOOKUP(A347,ÜRÜNLER!A:C,3,FALSE),VLOOKUP(A347,ÜRÜNLER!A:B,2,FALSE)),"")</f>
        <v>iQ700 studioLine Gazlı Ocak, 90cm, 5 Gözlü, Sert Cam, Siyah, Döküm, Wok</v>
      </c>
      <c r="C347" s="8"/>
      <c r="D347" s="8">
        <v>1</v>
      </c>
      <c r="E347" s="9"/>
      <c r="F347" s="9"/>
      <c r="G347" s="10"/>
      <c r="H347" s="10"/>
      <c r="I347" s="11"/>
      <c r="J347" s="11"/>
      <c r="K347" s="10"/>
      <c r="L347" s="10"/>
      <c r="M347" s="11"/>
      <c r="N347" s="12">
        <f t="shared" si="10"/>
        <v>1</v>
      </c>
      <c r="O347" s="9"/>
      <c r="P347" s="174"/>
      <c r="Q347" s="56">
        <v>77888.798076923093</v>
      </c>
      <c r="R347" s="26">
        <v>72436.58221153848</v>
      </c>
      <c r="S347" s="13">
        <v>75334.045500000022</v>
      </c>
      <c r="T347" s="14"/>
      <c r="U347" s="14"/>
      <c r="V347" s="31"/>
    </row>
    <row r="348" spans="1:22">
      <c r="A348" s="84" t="s">
        <v>342</v>
      </c>
      <c r="B348" s="55" t="str">
        <f>IFERROR(HYPERLINK(VLOOKUP(A348,ÜRÜNLER!A:C,3,FALSE),VLOOKUP(A348,ÜRÜNLER!A:B,2,FALSE)),"")</f>
        <v>iQ700 Gazlı Ocak, 60cm, Seramik, Siyah, Döküm</v>
      </c>
      <c r="C348" s="8"/>
      <c r="D348" s="8"/>
      <c r="E348" s="9"/>
      <c r="F348" s="9"/>
      <c r="G348" s="10"/>
      <c r="H348" s="10"/>
      <c r="I348" s="11">
        <v>1</v>
      </c>
      <c r="J348" s="11"/>
      <c r="K348" s="10">
        <v>3</v>
      </c>
      <c r="L348" s="10"/>
      <c r="M348" s="11"/>
      <c r="N348" s="12">
        <f t="shared" si="10"/>
        <v>4</v>
      </c>
      <c r="O348" s="9"/>
      <c r="P348" s="174"/>
      <c r="Q348" s="107" t="s">
        <v>1335</v>
      </c>
      <c r="R348" s="20">
        <v>40000</v>
      </c>
      <c r="S348" s="13">
        <v>41600</v>
      </c>
      <c r="T348" s="14"/>
      <c r="U348" s="14"/>
      <c r="V348" s="31">
        <v>1000</v>
      </c>
    </row>
    <row r="349" spans="1:22">
      <c r="A349" s="62" t="s">
        <v>343</v>
      </c>
      <c r="B349" s="55" t="str">
        <f>IFERROR(HYPERLINK(VLOOKUP(A349,ÜRÜNLER!A:C,3,FALSE),VLOOKUP(A349,ÜRÜNLER!A:B,2,FALSE)),"")</f>
        <v>iQ500 Moduler Teppanyaki, 40cm, Inox</v>
      </c>
      <c r="C349" s="8">
        <v>2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2">
        <f t="shared" si="10"/>
        <v>2</v>
      </c>
      <c r="O349" s="9"/>
      <c r="P349" s="174"/>
      <c r="Q349" s="107" t="s">
        <v>1335</v>
      </c>
      <c r="R349" s="20">
        <v>120000</v>
      </c>
      <c r="S349" s="13">
        <v>124800</v>
      </c>
      <c r="T349" s="14"/>
      <c r="U349" s="14"/>
      <c r="V349" s="31">
        <v>1000</v>
      </c>
    </row>
    <row r="350" spans="1:22">
      <c r="A350" s="62" t="s">
        <v>341</v>
      </c>
      <c r="B350" s="55" t="str">
        <f>IFERROR(HYPERLINK(VLOOKUP(A350,ÜRÜNLER!A:C,3,FALSE),VLOOKUP(A350,ÜRÜNLER!A:B,2,FALSE)),"")</f>
        <v>iQ700 Gazlı Domino Ocak, 30cm, 2 Gözlü, Seramik, Siyah</v>
      </c>
      <c r="C350" s="8">
        <v>2</v>
      </c>
      <c r="D350" s="8"/>
      <c r="E350" s="9"/>
      <c r="F350" s="9">
        <v>1</v>
      </c>
      <c r="G350" s="10"/>
      <c r="H350" s="10"/>
      <c r="I350" s="11"/>
      <c r="J350" s="11"/>
      <c r="K350" s="10"/>
      <c r="L350" s="10"/>
      <c r="M350" s="11"/>
      <c r="N350" s="12">
        <f t="shared" si="10"/>
        <v>3</v>
      </c>
      <c r="O350" s="9"/>
      <c r="P350" s="174"/>
      <c r="Q350" s="107" t="s">
        <v>1335</v>
      </c>
      <c r="R350" s="20">
        <v>40000</v>
      </c>
      <c r="S350" s="13">
        <v>41600</v>
      </c>
      <c r="T350" s="14"/>
      <c r="U350" s="14"/>
      <c r="V350" s="31">
        <v>500</v>
      </c>
    </row>
    <row r="351" spans="1:22">
      <c r="A351" s="62" t="s">
        <v>339</v>
      </c>
      <c r="B351" s="55" t="str">
        <f>IFERROR(HYPERLINK(VLOOKUP(A351,ÜRÜNLER!A:C,3,FALSE),VLOOKUP(A351,ÜRÜNLER!A:B,2,FALSE)),"")</f>
        <v>iQ700 Gazlı Domino Ocak, 30cm, Tek Gözlü, Seramik, Siyah, Wok</v>
      </c>
      <c r="C351" s="8">
        <v>5</v>
      </c>
      <c r="D351" s="8"/>
      <c r="E351" s="9"/>
      <c r="F351" s="9"/>
      <c r="G351" s="10"/>
      <c r="H351" s="10"/>
      <c r="I351" s="11"/>
      <c r="J351" s="11"/>
      <c r="K351" s="10"/>
      <c r="L351" s="10"/>
      <c r="M351" s="11"/>
      <c r="N351" s="12">
        <f t="shared" si="10"/>
        <v>5</v>
      </c>
      <c r="O351" s="9"/>
      <c r="P351" s="174"/>
      <c r="Q351" s="107" t="s">
        <v>1335</v>
      </c>
      <c r="R351" s="20">
        <v>35000</v>
      </c>
      <c r="S351" s="13">
        <v>36400</v>
      </c>
      <c r="T351" s="14"/>
      <c r="U351" s="14"/>
      <c r="V351" s="31">
        <v>500</v>
      </c>
    </row>
    <row r="352" spans="1:22" ht="27.75" customHeight="1">
      <c r="A352" s="86" t="s">
        <v>344</v>
      </c>
      <c r="B352" s="55" t="str">
        <f>IFERROR(HYPERLINK(VLOOKUP(A352,ÜRÜNLER!A:C,3,FALSE),VLOOKUP(A352,ÜRÜNLER!A:B,2,FALSE)),"")</f>
        <v/>
      </c>
      <c r="C352" s="8"/>
      <c r="D352" s="8"/>
      <c r="E352" s="9"/>
      <c r="F352" s="9"/>
      <c r="G352" s="10"/>
      <c r="H352" s="10"/>
      <c r="I352" s="11"/>
      <c r="J352" s="11"/>
      <c r="K352" s="10"/>
      <c r="L352" s="10"/>
      <c r="M352" s="11"/>
      <c r="N352" s="12">
        <f t="shared" si="10"/>
        <v>0</v>
      </c>
      <c r="O352" s="9"/>
      <c r="P352" s="9"/>
      <c r="Q352" s="107"/>
      <c r="R352" s="20"/>
      <c r="S352" s="13"/>
      <c r="T352" s="14"/>
      <c r="U352" s="14"/>
      <c r="V352" s="18"/>
    </row>
    <row r="353" spans="1:22">
      <c r="A353" s="61" t="s">
        <v>345</v>
      </c>
      <c r="B353" s="55" t="str">
        <f>IFERROR(HYPERLINK(VLOOKUP(A353,ÜRÜNLER!A:C,3,FALSE),VLOOKUP(A353,ÜRÜNLER!A:B,2,FALSE)),"")</f>
        <v>iQ100 Elektrikli Ocak, 60cm, Çerçevesiz, Siyah</v>
      </c>
      <c r="C353" s="8">
        <v>16</v>
      </c>
      <c r="D353" s="8"/>
      <c r="E353" s="9"/>
      <c r="F353" s="9"/>
      <c r="G353" s="10"/>
      <c r="H353" s="10"/>
      <c r="I353" s="11">
        <v>1</v>
      </c>
      <c r="J353" s="11">
        <v>1</v>
      </c>
      <c r="K353" s="10">
        <v>1</v>
      </c>
      <c r="L353" s="10"/>
      <c r="M353" s="11">
        <v>1</v>
      </c>
      <c r="N353" s="12">
        <f t="shared" ref="N353:N357" si="11">M353+L353+K353+J353+I353+H353+G353+F353+E353+D353+C353</f>
        <v>20</v>
      </c>
      <c r="O353" s="9">
        <v>1</v>
      </c>
      <c r="P353" s="174"/>
      <c r="Q353" s="56">
        <v>21507.561282624778</v>
      </c>
      <c r="R353" s="27">
        <v>21507.561282624778</v>
      </c>
      <c r="S353" s="13">
        <v>22367.863733929767</v>
      </c>
      <c r="T353" s="14"/>
      <c r="U353" s="14"/>
      <c r="V353" s="18"/>
    </row>
    <row r="354" spans="1:22">
      <c r="A354" s="61" t="s">
        <v>346</v>
      </c>
      <c r="B354" s="55" t="str">
        <f>IFERROR(HYPERLINK(VLOOKUP(A354,ÜRÜNLER!A:C,3,FALSE),VLOOKUP(A354,ÜRÜNLER!A:B,2,FALSE)),"")</f>
        <v>iQ100 Elektrikli Ocak, 60cm, Çerçevesiz, Beyaz</v>
      </c>
      <c r="C354" s="8">
        <v>10</v>
      </c>
      <c r="D354" s="8"/>
      <c r="E354" s="9"/>
      <c r="F354" s="9"/>
      <c r="G354" s="10"/>
      <c r="H354" s="10"/>
      <c r="I354" s="11">
        <v>2</v>
      </c>
      <c r="J354" s="11"/>
      <c r="K354" s="10"/>
      <c r="L354" s="10"/>
      <c r="M354" s="11"/>
      <c r="N354" s="12">
        <f t="shared" si="11"/>
        <v>12</v>
      </c>
      <c r="O354" s="9">
        <v>1</v>
      </c>
      <c r="P354" s="174"/>
      <c r="Q354" s="56">
        <v>26291.599234666766</v>
      </c>
      <c r="R354" s="27">
        <v>26291.599234666766</v>
      </c>
      <c r="S354" s="13">
        <v>27343.263204053437</v>
      </c>
      <c r="T354" s="14"/>
      <c r="U354" s="14"/>
      <c r="V354" s="18"/>
    </row>
    <row r="355" spans="1:22">
      <c r="A355" s="61" t="s">
        <v>347</v>
      </c>
      <c r="B355" s="55" t="str">
        <f>IFERROR(HYPERLINK(VLOOKUP(A355,ÜRÜNLER!A:C,3,FALSE),VLOOKUP(A355,ÜRÜNLER!A:B,2,FALSE)),"")</f>
        <v>iQ300 Elektrikli Ocak, 60cm, Çerçevesiz, Siyah</v>
      </c>
      <c r="C355" s="8">
        <v>8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2">
        <f t="shared" si="11"/>
        <v>8</v>
      </c>
      <c r="O355" s="9">
        <v>6</v>
      </c>
      <c r="P355" s="174"/>
      <c r="Q355" s="56">
        <v>26066.701829397189</v>
      </c>
      <c r="R355" s="27">
        <v>26066.701829397189</v>
      </c>
      <c r="S355" s="13">
        <v>27109.369902573075</v>
      </c>
      <c r="T355" s="14"/>
      <c r="U355" s="14"/>
      <c r="V355" s="18"/>
    </row>
    <row r="356" spans="1:22">
      <c r="A356" s="61" t="s">
        <v>348</v>
      </c>
      <c r="B356" s="55" t="str">
        <f>IFERROR(HYPERLINK(VLOOKUP(A356,ÜRÜNLER!A:C,3,FALSE),VLOOKUP(A356,ÜRÜNLER!A:B,2,FALSE)),"")</f>
        <v>iQ300 Elektrikli Ocak, 70cm, Çerçeveli, Siyah</v>
      </c>
      <c r="C356" s="8">
        <v>2</v>
      </c>
      <c r="D356" s="8"/>
      <c r="E356" s="9"/>
      <c r="F356" s="9">
        <v>1</v>
      </c>
      <c r="G356" s="10"/>
      <c r="H356" s="10"/>
      <c r="I356" s="11">
        <v>1</v>
      </c>
      <c r="J356" s="11"/>
      <c r="K356" s="10"/>
      <c r="L356" s="10"/>
      <c r="M356" s="11"/>
      <c r="N356" s="12">
        <f t="shared" si="11"/>
        <v>4</v>
      </c>
      <c r="O356" s="9"/>
      <c r="P356" s="174"/>
      <c r="Q356" s="107" t="s">
        <v>1335</v>
      </c>
      <c r="R356" s="113">
        <v>50000</v>
      </c>
      <c r="S356" s="13">
        <v>52000</v>
      </c>
      <c r="T356" s="14"/>
      <c r="U356" s="14"/>
      <c r="V356" s="31">
        <v>1000</v>
      </c>
    </row>
    <row r="357" spans="1:22">
      <c r="A357" s="61" t="s">
        <v>349</v>
      </c>
      <c r="B357" s="55" t="str">
        <f>IFERROR(HYPERLINK(VLOOKUP(A357,ÜRÜNLER!A:C,3,FALSE),VLOOKUP(A357,ÜRÜNLER!A:B,2,FALSE)),"")</f>
        <v>iQ500 Elektrikli Ocak, 80cm, Çerçeveli, Siyah</v>
      </c>
      <c r="C357" s="8">
        <v>4</v>
      </c>
      <c r="D357" s="8"/>
      <c r="E357" s="9"/>
      <c r="F357" s="9"/>
      <c r="G357" s="10"/>
      <c r="H357" s="10"/>
      <c r="I357" s="11"/>
      <c r="J357" s="11"/>
      <c r="K357" s="10"/>
      <c r="L357" s="10"/>
      <c r="M357" s="11"/>
      <c r="N357" s="12">
        <f t="shared" si="11"/>
        <v>4</v>
      </c>
      <c r="O357" s="9">
        <v>3</v>
      </c>
      <c r="P357" s="174"/>
      <c r="Q357" s="56">
        <v>51595.778829346098</v>
      </c>
      <c r="R357" s="27">
        <v>51595.778829346098</v>
      </c>
      <c r="S357" s="13">
        <v>53659.609982519942</v>
      </c>
      <c r="T357" s="14"/>
      <c r="U357" s="14"/>
      <c r="V357" s="18"/>
    </row>
    <row r="358" spans="1:22" ht="30">
      <c r="A358" s="86" t="s">
        <v>350</v>
      </c>
      <c r="B358" s="55" t="str">
        <f>IFERROR(HYPERLINK(VLOOKUP(A358,ÜRÜNLER!A:C,3,FALSE),VLOOKUP(A358,ÜRÜNLER!A:B,2,FALSE)),"")</f>
        <v/>
      </c>
      <c r="C358" s="8"/>
      <c r="D358" s="8"/>
      <c r="E358" s="9"/>
      <c r="F358" s="9"/>
      <c r="G358" s="10"/>
      <c r="H358" s="10"/>
      <c r="I358" s="11"/>
      <c r="J358" s="11"/>
      <c r="K358" s="10"/>
      <c r="L358" s="10"/>
      <c r="M358" s="11"/>
      <c r="N358" s="12"/>
      <c r="O358" s="9"/>
      <c r="P358" s="9"/>
      <c r="Q358" s="107"/>
      <c r="R358" s="20"/>
      <c r="S358" s="13"/>
      <c r="T358" s="14"/>
      <c r="U358" s="14"/>
      <c r="V358" s="18"/>
    </row>
    <row r="359" spans="1:22">
      <c r="A359" s="61" t="s">
        <v>351</v>
      </c>
      <c r="B359" s="55" t="str">
        <f>IFERROR(HYPERLINK(VLOOKUP(A359,ÜRÜNLER!A:C,3,FALSE),VLOOKUP(A359,ÜRÜNLER!A:B,2,FALSE)),"")</f>
        <v>iQ100 İndüksiyonlu Ocak, 60cm, Çerçevesiz, Siyah</v>
      </c>
      <c r="C359" s="8">
        <v>10</v>
      </c>
      <c r="D359" s="8"/>
      <c r="E359" s="9">
        <v>1</v>
      </c>
      <c r="F359" s="9"/>
      <c r="G359" s="10"/>
      <c r="H359" s="10"/>
      <c r="I359" s="11">
        <v>1</v>
      </c>
      <c r="J359" s="11">
        <v>1</v>
      </c>
      <c r="K359" s="10"/>
      <c r="L359" s="10"/>
      <c r="M359" s="11">
        <v>1</v>
      </c>
      <c r="N359" s="12">
        <f t="shared" ref="N359:N370" si="12">M359+L359+K359+J359+I359+H359+G359+F359+E359+D359+C359</f>
        <v>14</v>
      </c>
      <c r="O359" s="9">
        <v>16</v>
      </c>
      <c r="P359" s="174"/>
      <c r="Q359" s="56">
        <v>21320.242246304522</v>
      </c>
      <c r="R359" s="27">
        <v>21320.242246304522</v>
      </c>
      <c r="S359" s="13">
        <v>22173.051936156702</v>
      </c>
      <c r="T359" s="14"/>
      <c r="U359" s="14"/>
      <c r="V359" s="18"/>
    </row>
    <row r="360" spans="1:22">
      <c r="A360" s="58" t="s">
        <v>352</v>
      </c>
      <c r="B360" s="55" t="str">
        <f>IFERROR(HYPERLINK(VLOOKUP(A360,ÜRÜNLER!A:C,3,FALSE),VLOOKUP(A360,ÜRÜNLER!A:B,2,FALSE)),"")</f>
        <v>iQ700 İndüksiyonlu Ocak, 60cm, Çerçeveli, Siyah</v>
      </c>
      <c r="C360" s="8"/>
      <c r="D360" s="8"/>
      <c r="E360" s="9"/>
      <c r="F360" s="9"/>
      <c r="G360" s="10"/>
      <c r="H360" s="10"/>
      <c r="I360" s="11"/>
      <c r="J360" s="11">
        <v>1</v>
      </c>
      <c r="K360" s="10"/>
      <c r="L360" s="10"/>
      <c r="M360" s="11"/>
      <c r="N360" s="12">
        <f t="shared" si="12"/>
        <v>1</v>
      </c>
      <c r="O360" s="9">
        <v>4</v>
      </c>
      <c r="P360" s="174"/>
      <c r="Q360" s="56">
        <v>69658.958581571889</v>
      </c>
      <c r="R360" s="27">
        <v>69658.958581571889</v>
      </c>
      <c r="S360" s="13">
        <v>72445.316924834769</v>
      </c>
      <c r="T360" s="14"/>
      <c r="U360" s="14"/>
      <c r="V360" s="31">
        <v>500</v>
      </c>
    </row>
    <row r="361" spans="1:22">
      <c r="A361" s="58" t="s">
        <v>353</v>
      </c>
      <c r="B361" s="55" t="str">
        <f>IFERROR(HYPERLINK(VLOOKUP(A361,ÜRÜNLER!A:C,3,FALSE),VLOOKUP(A361,ÜRÜNLER!A:B,2,FALSE)),"")</f>
        <v>iQ700 studioLine İndüksiyonlu Ocak, 80cm, FlushMount, Siyah</v>
      </c>
      <c r="C361" s="8"/>
      <c r="D361" s="8">
        <v>3</v>
      </c>
      <c r="E361" s="9"/>
      <c r="F361" s="9"/>
      <c r="G361" s="10"/>
      <c r="H361" s="10"/>
      <c r="I361" s="11"/>
      <c r="J361" s="11"/>
      <c r="K361" s="10"/>
      <c r="L361" s="10"/>
      <c r="M361" s="11"/>
      <c r="N361" s="12">
        <f t="shared" si="12"/>
        <v>3</v>
      </c>
      <c r="O361" s="9"/>
      <c r="P361" s="174"/>
      <c r="Q361" s="56">
        <v>79689.739420189508</v>
      </c>
      <c r="R361" s="26">
        <v>74111.457660776243</v>
      </c>
      <c r="S361" s="13">
        <v>77075.915967207286</v>
      </c>
      <c r="T361" s="14"/>
      <c r="U361" s="14"/>
      <c r="V361" s="31">
        <v>500</v>
      </c>
    </row>
    <row r="362" spans="1:22">
      <c r="A362" s="58" t="s">
        <v>354</v>
      </c>
      <c r="B362" s="55" t="str">
        <f>IFERROR(HYPERLINK(VLOOKUP(A362,ÜRÜNLER!A:C,3,FALSE),VLOOKUP(A362,ÜRÜNLER!A:B,2,FALSE)),"")</f>
        <v>iQ700 studioLine İndüksiyonlu Ocak, 80cm, FlushMount, Siyah</v>
      </c>
      <c r="C362" s="8"/>
      <c r="D362" s="8">
        <v>2</v>
      </c>
      <c r="E362" s="9"/>
      <c r="F362" s="9"/>
      <c r="G362" s="10"/>
      <c r="H362" s="10">
        <v>1</v>
      </c>
      <c r="I362" s="11"/>
      <c r="J362" s="11"/>
      <c r="K362" s="10"/>
      <c r="L362" s="10"/>
      <c r="M362" s="11"/>
      <c r="N362" s="12">
        <f t="shared" si="12"/>
        <v>3</v>
      </c>
      <c r="O362" s="9"/>
      <c r="P362" s="174"/>
      <c r="Q362" s="107" t="s">
        <v>1335</v>
      </c>
      <c r="R362" s="26">
        <v>110000</v>
      </c>
      <c r="S362" s="13">
        <v>114400</v>
      </c>
      <c r="T362" s="14"/>
      <c r="U362" s="14"/>
      <c r="V362" s="31">
        <v>500</v>
      </c>
    </row>
    <row r="363" spans="1:22">
      <c r="A363" s="61" t="s">
        <v>358</v>
      </c>
      <c r="B363" s="55" t="str">
        <f>IFERROR(HYPERLINK(VLOOKUP(A363,ÜRÜNLER!A:C,3,FALSE),VLOOKUP(A363,ÜRÜNLER!A:B,2,FALSE)),"")</f>
        <v>iQ300 İndüksiyonlu Ocak, 90cm, Çerçeveli, Siyah</v>
      </c>
      <c r="C363" s="8">
        <v>3</v>
      </c>
      <c r="D363" s="8"/>
      <c r="E363" s="9"/>
      <c r="F363" s="9"/>
      <c r="G363" s="10"/>
      <c r="H363" s="10"/>
      <c r="I363" s="11"/>
      <c r="J363" s="11">
        <v>1</v>
      </c>
      <c r="K363" s="10">
        <v>1</v>
      </c>
      <c r="L363" s="10"/>
      <c r="M363" s="11"/>
      <c r="N363" s="12">
        <f t="shared" si="12"/>
        <v>5</v>
      </c>
      <c r="O363" s="9"/>
      <c r="P363" s="174"/>
      <c r="Q363" s="56">
        <v>92543.660669007018</v>
      </c>
      <c r="R363" s="27">
        <v>92543.660669007018</v>
      </c>
      <c r="S363" s="13">
        <v>96245.407095767296</v>
      </c>
      <c r="T363" s="14"/>
      <c r="U363" s="14"/>
      <c r="V363" s="31">
        <v>1000</v>
      </c>
    </row>
    <row r="364" spans="1:22">
      <c r="A364" s="61" t="s">
        <v>1542</v>
      </c>
      <c r="B364" s="55" t="str">
        <f>IFERROR(HYPERLINK(VLOOKUP(A364,ÜRÜNLER!A:C,3,FALSE),VLOOKUP(A364,ÜRÜNLER!A:B,2,FALSE)),"")</f>
        <v>iQ700 studioLine İndüksiyonlu Ocak, 90cm, FlushMount, Siyah</v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2">
        <f t="shared" si="12"/>
        <v>0</v>
      </c>
      <c r="O364" s="9"/>
      <c r="P364" s="174"/>
      <c r="Q364" s="56">
        <v>118263</v>
      </c>
      <c r="R364" s="26">
        <v>109984.59</v>
      </c>
      <c r="S364" s="13">
        <v>114383.9736</v>
      </c>
      <c r="T364" s="14"/>
      <c r="U364" s="14"/>
      <c r="V364" s="31"/>
    </row>
    <row r="365" spans="1:22">
      <c r="A365" s="58" t="s">
        <v>359</v>
      </c>
      <c r="B365" s="55" t="str">
        <f>IFERROR(HYPERLINK(VLOOKUP(A365,ÜRÜNLER!A:C,3,FALSE),VLOOKUP(A365,ÜRÜNLER!A:B,2,FALSE)),"")</f>
        <v>iQ700 İndüksiyonlu Ocak, 90cm, Çerçeveli, Siyah</v>
      </c>
      <c r="C365" s="8">
        <v>4</v>
      </c>
      <c r="D365" s="8"/>
      <c r="E365" s="9"/>
      <c r="F365" s="9">
        <v>1</v>
      </c>
      <c r="G365" s="10"/>
      <c r="H365" s="10"/>
      <c r="I365" s="11"/>
      <c r="J365" s="11"/>
      <c r="K365" s="10"/>
      <c r="L365" s="10"/>
      <c r="M365" s="11"/>
      <c r="N365" s="12">
        <f t="shared" si="12"/>
        <v>5</v>
      </c>
      <c r="O365" s="9"/>
      <c r="P365" s="174"/>
      <c r="Q365" s="56">
        <v>101255.87662379886</v>
      </c>
      <c r="R365" s="27">
        <v>101255.87662379886</v>
      </c>
      <c r="S365" s="13">
        <v>105306.11168875081</v>
      </c>
      <c r="T365" s="14"/>
      <c r="U365" s="14"/>
      <c r="V365" s="31">
        <v>1000</v>
      </c>
    </row>
    <row r="366" spans="1:22" ht="33.75">
      <c r="A366" s="87" t="s">
        <v>476</v>
      </c>
      <c r="B366" s="55" t="str">
        <f>IFERROR(HYPERLINK(VLOOKUP(A366,ÜRÜNLER!A:C,3,FALSE),VLOOKUP(A366,ÜRÜNLER!A:B,2,FALSE)),"")</f>
        <v/>
      </c>
      <c r="C366" s="8"/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2">
        <f t="shared" si="12"/>
        <v>0</v>
      </c>
      <c r="O366" s="9"/>
      <c r="P366" s="9"/>
      <c r="Q366" s="107"/>
      <c r="R366" s="20"/>
      <c r="S366" s="13"/>
      <c r="T366" s="14"/>
      <c r="U366" s="14"/>
      <c r="V366" s="18"/>
    </row>
    <row r="367" spans="1:22">
      <c r="A367" s="61" t="s">
        <v>466</v>
      </c>
      <c r="B367" s="55" t="str">
        <f>IFERROR(HYPERLINK(VLOOKUP(A367,ÜRÜNLER!A:C,3,FALSE),VLOOKUP(A367,ÜRÜNLER!A:B,2,FALSE)),"")</f>
        <v>iQ300 Davlumbaz Entegreli İndüksiyonlu Ocak, 80cm, Çerçevesiz, Siyah</v>
      </c>
      <c r="C367" s="8">
        <v>2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2">
        <f t="shared" si="12"/>
        <v>2</v>
      </c>
      <c r="O367" s="9">
        <v>1</v>
      </c>
      <c r="P367" s="174"/>
      <c r="Q367" s="56">
        <v>79420.931511754403</v>
      </c>
      <c r="R367" s="27">
        <v>80000</v>
      </c>
      <c r="S367" s="13">
        <v>83200</v>
      </c>
      <c r="T367" s="14"/>
      <c r="U367" s="14"/>
      <c r="V367" s="31">
        <v>500</v>
      </c>
    </row>
    <row r="368" spans="1:22">
      <c r="A368" s="61" t="s">
        <v>357</v>
      </c>
      <c r="B368" s="55" t="str">
        <f>IFERROR(HYPERLINK(VLOOKUP(A368,ÜRÜNLER!A:C,3,FALSE),VLOOKUP(A368,ÜRÜNLER!A:B,2,FALSE)),"")</f>
        <v>iQ300 Davlumbaz Entegreli İndüksiyonlu Ocak, 80cm, Çerçevesiz, Siyah</v>
      </c>
      <c r="C368" s="8"/>
      <c r="D368" s="8"/>
      <c r="E368" s="9"/>
      <c r="F368" s="9">
        <v>1</v>
      </c>
      <c r="G368" s="10"/>
      <c r="H368" s="10"/>
      <c r="I368" s="11"/>
      <c r="J368" s="11"/>
      <c r="K368" s="10"/>
      <c r="L368" s="10"/>
      <c r="M368" s="11"/>
      <c r="N368" s="12">
        <f t="shared" si="12"/>
        <v>1</v>
      </c>
      <c r="O368" s="9"/>
      <c r="P368" s="174"/>
      <c r="Q368" s="107" t="s">
        <v>1335</v>
      </c>
      <c r="R368" s="20">
        <v>80000</v>
      </c>
      <c r="S368" s="13">
        <v>83200</v>
      </c>
      <c r="T368" s="14"/>
      <c r="U368" s="14"/>
      <c r="V368" s="31">
        <v>1000</v>
      </c>
    </row>
    <row r="369" spans="1:25">
      <c r="A369" s="61" t="s">
        <v>465</v>
      </c>
      <c r="B369" s="55" t="str">
        <f>IFERROR(HYPERLINK(VLOOKUP(A369,ÜRÜNLER!A:C,3,FALSE),VLOOKUP(A369,ÜRÜNLER!A:B,2,FALSE)),"")</f>
        <v>iQ700 Davlumbaz Entegreli İndüksiyonlu Ocak, 80cm, Çerçeveli, Siyah</v>
      </c>
      <c r="C369" s="8">
        <v>1</v>
      </c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2">
        <f t="shared" si="12"/>
        <v>1</v>
      </c>
      <c r="O369" s="9">
        <v>1</v>
      </c>
      <c r="P369" s="174"/>
      <c r="Q369" s="56">
        <v>92349.508566818578</v>
      </c>
      <c r="R369" s="27">
        <v>93000</v>
      </c>
      <c r="S369" s="13">
        <v>96720</v>
      </c>
      <c r="T369" s="14"/>
      <c r="U369" s="14"/>
      <c r="V369" s="31">
        <v>500</v>
      </c>
    </row>
    <row r="370" spans="1:25">
      <c r="A370" s="61" t="s">
        <v>356</v>
      </c>
      <c r="B370" s="55" t="str">
        <f>IFERROR(HYPERLINK(VLOOKUP(A370,ÜRÜNLER!A:C,3,FALSE),VLOOKUP(A370,ÜRÜNLER!A:B,2,FALSE)),"")</f>
        <v>iQ700 studioLine Davlumbaz Entegreli İndüksiyonlu Ocak, 80cm, Çerçeveli, Siyah</v>
      </c>
      <c r="C370" s="8"/>
      <c r="D370" s="8">
        <v>4</v>
      </c>
      <c r="E370" s="9"/>
      <c r="F370" s="9"/>
      <c r="G370" s="10"/>
      <c r="H370" s="10">
        <v>1</v>
      </c>
      <c r="I370" s="11"/>
      <c r="J370" s="11"/>
      <c r="K370" s="10"/>
      <c r="L370" s="10"/>
      <c r="M370" s="11"/>
      <c r="N370" s="12">
        <f t="shared" si="12"/>
        <v>5</v>
      </c>
      <c r="O370" s="9"/>
      <c r="P370" s="174"/>
      <c r="Q370" s="56">
        <v>121937.08168357836</v>
      </c>
      <c r="R370" s="27">
        <v>121937.08168357836</v>
      </c>
      <c r="S370" s="13">
        <v>126814.5649509215</v>
      </c>
      <c r="T370" s="14"/>
      <c r="U370" s="14"/>
      <c r="V370" s="31">
        <v>500</v>
      </c>
    </row>
    <row r="371" spans="1:25" s="34" customFormat="1" ht="31.5">
      <c r="A371" s="36" t="s">
        <v>360</v>
      </c>
      <c r="B371" s="55" t="str">
        <f>IFERROR(HYPERLINK(VLOOKUP(A371,ÜRÜNLER!A:C,3,FALSE),VLOOKUP(A371,ÜRÜNLER!A:B,2,FALSE)),"")</f>
        <v/>
      </c>
      <c r="C371" s="8"/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2"/>
      <c r="O371" s="9"/>
      <c r="P371" s="9"/>
      <c r="Q371" s="107"/>
      <c r="R371" s="20"/>
      <c r="S371" s="13"/>
      <c r="V371" s="18"/>
      <c r="W371" s="111"/>
    </row>
    <row r="372" spans="1:25">
      <c r="A372" s="58" t="s">
        <v>361</v>
      </c>
      <c r="B372" s="55" t="str">
        <f>IFERROR(HYPERLINK(VLOOKUP(A372,ÜRÜNLER!A:C,3,FALSE),VLOOKUP(A372,ÜRÜNLER!A:B,2,FALSE)),"")</f>
        <v>iQ700 Ankastre Tam Otomatik Kahve Makinesi, Siyah/Inox</v>
      </c>
      <c r="C372" s="8"/>
      <c r="D372" s="8"/>
      <c r="E372" s="9"/>
      <c r="F372" s="9"/>
      <c r="G372" s="10"/>
      <c r="H372" s="10"/>
      <c r="I372" s="11"/>
      <c r="J372" s="11"/>
      <c r="K372" s="10">
        <v>1</v>
      </c>
      <c r="L372" s="10"/>
      <c r="M372" s="11"/>
      <c r="N372" s="12">
        <f t="shared" ref="N372:N402" si="13">M372+L372+K372+J372+I372+H372+G372+F372+E372+D372+C372</f>
        <v>1</v>
      </c>
      <c r="O372" s="9"/>
      <c r="P372" s="174"/>
      <c r="Q372" s="107" t="s">
        <v>1335</v>
      </c>
      <c r="R372" s="20">
        <v>100000</v>
      </c>
      <c r="S372" s="13">
        <v>104000</v>
      </c>
      <c r="T372" s="14"/>
      <c r="V372" s="29">
        <v>1000</v>
      </c>
    </row>
    <row r="373" spans="1:25">
      <c r="A373" s="58" t="s">
        <v>362</v>
      </c>
      <c r="B373" s="55" t="str">
        <f>IFERROR(HYPERLINK(VLOOKUP(A373,ÜRÜNLER!A:C,3,FALSE),VLOOKUP(A373,ÜRÜNLER!A:B,2,FALSE)),"")</f>
        <v>iQ700 Ankastre Tam Otomatik Kahve Makinesi, Siyah</v>
      </c>
      <c r="C373" s="8">
        <v>2</v>
      </c>
      <c r="D373" s="8"/>
      <c r="E373" s="9"/>
      <c r="F373" s="9"/>
      <c r="G373" s="10"/>
      <c r="H373" s="10"/>
      <c r="I373" s="11"/>
      <c r="J373" s="11"/>
      <c r="K373" s="10"/>
      <c r="L373" s="10"/>
      <c r="M373" s="11"/>
      <c r="N373" s="12">
        <f t="shared" si="13"/>
        <v>2</v>
      </c>
      <c r="O373" s="9">
        <v>1</v>
      </c>
      <c r="P373" s="174"/>
      <c r="Q373" s="56">
        <v>156223.26391127042</v>
      </c>
      <c r="R373" s="27">
        <v>156223.26391127042</v>
      </c>
      <c r="S373" s="13">
        <v>162472.19446772125</v>
      </c>
      <c r="T373" s="14"/>
      <c r="V373" s="29">
        <v>500</v>
      </c>
    </row>
    <row r="374" spans="1:25">
      <c r="A374" s="58" t="s">
        <v>363</v>
      </c>
      <c r="B374" s="55" t="str">
        <f>IFERROR(HYPERLINK(VLOOKUP(A374,ÜRÜNLER!A:C,3,FALSE),VLOOKUP(A374,ÜRÜNLER!A:B,2,FALSE)),"")</f>
        <v>iQ700 studioLine Ankastre Tam Otomatik Kahve Makinesi, Siyah</v>
      </c>
      <c r="C374" s="8"/>
      <c r="D374" s="8">
        <v>5</v>
      </c>
      <c r="E374" s="9"/>
      <c r="F374" s="9"/>
      <c r="G374" s="10"/>
      <c r="H374" s="10">
        <v>1</v>
      </c>
      <c r="I374" s="11"/>
      <c r="J374" s="11"/>
      <c r="K374" s="10"/>
      <c r="L374" s="10"/>
      <c r="M374" s="11"/>
      <c r="N374" s="12">
        <f t="shared" si="13"/>
        <v>6</v>
      </c>
      <c r="O374" s="9"/>
      <c r="P374" s="174"/>
      <c r="Q374" s="56">
        <v>175670.34580559586</v>
      </c>
      <c r="R374" s="26">
        <v>163373.42159920416</v>
      </c>
      <c r="S374" s="13">
        <v>169908.35846317234</v>
      </c>
      <c r="T374" s="14"/>
      <c r="V374" s="29">
        <v>500</v>
      </c>
    </row>
    <row r="375" spans="1:25">
      <c r="A375" s="62" t="s">
        <v>364</v>
      </c>
      <c r="B375" s="55" t="str">
        <f>IFERROR(HYPERLINK(VLOOKUP(A375,ÜRÜNLER!A:C,3,FALSE),VLOOKUP(A375,ÜRÜNLER!A:B,2,FALSE)),"")</f>
        <v>EQ6 plus s100 Tam Otomatik Kahve Makinesi, Metalik Elmas Titanyum</v>
      </c>
      <c r="C375" s="8">
        <v>12</v>
      </c>
      <c r="D375" s="8"/>
      <c r="E375" s="9"/>
      <c r="F375" s="9"/>
      <c r="G375" s="10"/>
      <c r="H375" s="10"/>
      <c r="I375" s="11"/>
      <c r="J375" s="11"/>
      <c r="K375" s="10">
        <v>2</v>
      </c>
      <c r="L375" s="10"/>
      <c r="M375" s="11">
        <v>2</v>
      </c>
      <c r="N375" s="12">
        <f t="shared" si="13"/>
        <v>16</v>
      </c>
      <c r="O375" s="9">
        <v>12</v>
      </c>
      <c r="P375" s="174"/>
      <c r="Q375" s="56">
        <v>29076.337558441104</v>
      </c>
      <c r="R375" s="27">
        <v>29076.337558441104</v>
      </c>
      <c r="S375" s="13">
        <v>30239.391060778747</v>
      </c>
      <c r="V375" s="18">
        <v>250</v>
      </c>
      <c r="Y375" s="181">
        <v>5804</v>
      </c>
    </row>
    <row r="376" spans="1:25">
      <c r="A376" s="62" t="s">
        <v>365</v>
      </c>
      <c r="B376" s="55" t="str">
        <f>IFERROR(HYPERLINK(VLOOKUP(A376,ÜRÜNLER!A:C,3,FALSE),VLOOKUP(A376,ÜRÜNLER!A:B,2,FALSE)),"")</f>
        <v>EQ6 plus s100 Tam Otomatik Kahve Makinesi, Metalik Safir Siyahı</v>
      </c>
      <c r="C376" s="8"/>
      <c r="D376" s="8"/>
      <c r="E376" s="9"/>
      <c r="F376" s="9">
        <v>2</v>
      </c>
      <c r="G376" s="10"/>
      <c r="H376" s="10"/>
      <c r="I376" s="11"/>
      <c r="J376" s="11">
        <v>1</v>
      </c>
      <c r="K376" s="10"/>
      <c r="L376" s="10"/>
      <c r="M376" s="11"/>
      <c r="N376" s="12">
        <f t="shared" si="13"/>
        <v>3</v>
      </c>
      <c r="O376" s="9"/>
      <c r="P376" s="174"/>
      <c r="Q376" s="107" t="s">
        <v>1335</v>
      </c>
      <c r="R376" s="20">
        <v>22999</v>
      </c>
      <c r="S376" s="13">
        <v>23918.959999999999</v>
      </c>
      <c r="V376" s="18">
        <v>250</v>
      </c>
      <c r="Y376" s="14"/>
    </row>
    <row r="377" spans="1:25">
      <c r="A377" s="62" t="s">
        <v>366</v>
      </c>
      <c r="B377" s="55" t="str">
        <f>IFERROR(HYPERLINK(VLOOKUP(A377,ÜRÜNLER!A:C,3,FALSE),VLOOKUP(A377,ÜRÜNLER!A:B,2,FALSE)),"")</f>
        <v>EQ6 plus s300 Tam Otomatik Kahve Makinesi, Gümüş</v>
      </c>
      <c r="C377" s="8"/>
      <c r="D377" s="8"/>
      <c r="E377" s="9"/>
      <c r="F377" s="9">
        <v>1</v>
      </c>
      <c r="G377" s="10"/>
      <c r="H377" s="10"/>
      <c r="I377" s="11"/>
      <c r="J377" s="11">
        <v>1</v>
      </c>
      <c r="K377" s="10"/>
      <c r="L377" s="10"/>
      <c r="M377" s="11">
        <v>1</v>
      </c>
      <c r="N377" s="12">
        <f t="shared" si="13"/>
        <v>3</v>
      </c>
      <c r="O377" s="9"/>
      <c r="P377" s="174"/>
      <c r="Q377" s="107" t="s">
        <v>1335</v>
      </c>
      <c r="R377" s="19">
        <v>29000</v>
      </c>
      <c r="S377" s="13">
        <v>30160</v>
      </c>
      <c r="V377" s="18">
        <v>250</v>
      </c>
      <c r="Y377" s="14"/>
    </row>
    <row r="378" spans="1:25">
      <c r="A378" s="62" t="s">
        <v>367</v>
      </c>
      <c r="B378" s="55" t="str">
        <f>IFERROR(HYPERLINK(VLOOKUP(A378,ÜRÜNLER!A:C,3,FALSE),VLOOKUP(A378,ÜRÜNLER!A:B,2,FALSE)),"")</f>
        <v>EQ6 plus s500 Tam Otomatik Kahve Makinesi, Sabah Sisi Grisi</v>
      </c>
      <c r="C378" s="8">
        <v>51</v>
      </c>
      <c r="D378" s="8"/>
      <c r="E378" s="9"/>
      <c r="F378" s="9">
        <v>5</v>
      </c>
      <c r="G378" s="10"/>
      <c r="H378" s="10"/>
      <c r="I378" s="11">
        <v>6</v>
      </c>
      <c r="J378" s="11"/>
      <c r="K378" s="10">
        <v>2</v>
      </c>
      <c r="L378" s="10"/>
      <c r="M378" s="11">
        <v>2</v>
      </c>
      <c r="N378" s="12">
        <f t="shared" si="13"/>
        <v>66</v>
      </c>
      <c r="O378" s="9">
        <v>5</v>
      </c>
      <c r="P378" s="174"/>
      <c r="Q378" s="56">
        <v>43538.239389450049</v>
      </c>
      <c r="R378" s="49">
        <v>43538.239389450049</v>
      </c>
      <c r="S378" s="13">
        <v>45279.768965028052</v>
      </c>
      <c r="V378" s="18">
        <v>250</v>
      </c>
      <c r="Y378" s="181">
        <v>5014</v>
      </c>
    </row>
    <row r="379" spans="1:25">
      <c r="A379" s="62" t="s">
        <v>368</v>
      </c>
      <c r="B379" s="55" t="str">
        <f>IFERROR(HYPERLINK(VLOOKUP(A379,ÜRÜNLER!A:C,3,FALSE),VLOOKUP(A379,ÜRÜNLER!A:B,2,FALSE)),"")</f>
        <v>EQ6 plus s700 Tam Otomatik Kahve Makinesi, DarkInox/Siyah</v>
      </c>
      <c r="C379" s="8">
        <v>64</v>
      </c>
      <c r="D379" s="8"/>
      <c r="E379" s="9"/>
      <c r="F379" s="9">
        <v>6</v>
      </c>
      <c r="G379" s="10"/>
      <c r="H379" s="10"/>
      <c r="I379" s="11">
        <v>1</v>
      </c>
      <c r="J379" s="11"/>
      <c r="K379" s="10">
        <v>1</v>
      </c>
      <c r="L379" s="10"/>
      <c r="M379" s="11">
        <v>4</v>
      </c>
      <c r="N379" s="12">
        <f t="shared" si="13"/>
        <v>76</v>
      </c>
      <c r="O379" s="9">
        <v>5</v>
      </c>
      <c r="P379" s="174"/>
      <c r="Q379" s="56">
        <v>47135.971069032945</v>
      </c>
      <c r="R379" s="27">
        <v>47135.971069032945</v>
      </c>
      <c r="S379" s="13">
        <v>49021.409911794261</v>
      </c>
      <c r="V379" s="18">
        <v>250</v>
      </c>
      <c r="Y379" s="181">
        <v>7006</v>
      </c>
    </row>
    <row r="380" spans="1:25">
      <c r="A380" s="61" t="s">
        <v>369</v>
      </c>
      <c r="B380" s="55" t="str">
        <f>IFERROR(HYPERLINK(VLOOKUP(A380,ÜRÜNLER!A:C,3,FALSE),VLOOKUP(A380,ÜRÜNLER!A:B,2,FALSE)),"")</f>
        <v>EQ300 Tam Otomatik Kahve Makinesi, Siyah</v>
      </c>
      <c r="C380" s="8"/>
      <c r="D380" s="8"/>
      <c r="E380" s="9"/>
      <c r="F380" s="9">
        <v>3</v>
      </c>
      <c r="G380" s="10"/>
      <c r="H380" s="10"/>
      <c r="I380" s="11">
        <v>3</v>
      </c>
      <c r="J380" s="11">
        <v>1</v>
      </c>
      <c r="K380" s="10">
        <v>2</v>
      </c>
      <c r="L380" s="10"/>
      <c r="M380" s="11"/>
      <c r="N380" s="12">
        <f t="shared" si="13"/>
        <v>9</v>
      </c>
      <c r="O380" s="9"/>
      <c r="P380" s="174"/>
      <c r="Q380" s="107" t="s">
        <v>1335</v>
      </c>
      <c r="R380" s="20">
        <v>15999</v>
      </c>
      <c r="S380" s="13">
        <v>16638.96</v>
      </c>
      <c r="V380" s="18">
        <v>250</v>
      </c>
      <c r="Y380" s="14"/>
    </row>
    <row r="381" spans="1:25">
      <c r="A381" s="61" t="s">
        <v>370</v>
      </c>
      <c r="B381" s="55" t="str">
        <f>IFERROR(HYPERLINK(VLOOKUP(A381,ÜRÜNLER!A:C,3,FALSE),VLOOKUP(A381,ÜRÜNLER!A:B,2,FALSE)),"")</f>
        <v>EQ300 Tam Otomatik Kahve Makinesi, Şampanya/Siyah</v>
      </c>
      <c r="C381" s="8"/>
      <c r="D381" s="8"/>
      <c r="E381" s="9"/>
      <c r="F381" s="9">
        <v>1</v>
      </c>
      <c r="G381" s="10"/>
      <c r="H381" s="10"/>
      <c r="I381" s="11">
        <v>1</v>
      </c>
      <c r="J381" s="11">
        <v>1</v>
      </c>
      <c r="K381" s="10">
        <v>2</v>
      </c>
      <c r="L381" s="10"/>
      <c r="M381" s="11">
        <v>1</v>
      </c>
      <c r="N381" s="12">
        <f t="shared" si="13"/>
        <v>6</v>
      </c>
      <c r="O381" s="9"/>
      <c r="P381" s="174"/>
      <c r="Q381" s="107" t="s">
        <v>1335</v>
      </c>
      <c r="R381" s="20">
        <v>15999</v>
      </c>
      <c r="S381" s="13">
        <v>16638.96</v>
      </c>
      <c r="V381" s="18">
        <v>250</v>
      </c>
      <c r="Y381" s="14"/>
    </row>
    <row r="382" spans="1:25">
      <c r="A382" s="61" t="s">
        <v>371</v>
      </c>
      <c r="B382" s="55" t="str">
        <f>IFERROR(HYPERLINK(VLOOKUP(A382,ÜRÜNLER!A:C,3,FALSE),VLOOKUP(A382,ÜRÜNLER!A:B,2,FALSE)),"")</f>
        <v>EQ9 s300 Tam Otomatik Kahve Makinesi, Siyah</v>
      </c>
      <c r="C382" s="8"/>
      <c r="D382" s="8"/>
      <c r="E382" s="9"/>
      <c r="F382" s="9">
        <v>7</v>
      </c>
      <c r="G382" s="10"/>
      <c r="H382" s="10"/>
      <c r="I382" s="11">
        <v>1</v>
      </c>
      <c r="J382" s="11"/>
      <c r="K382" s="10">
        <v>5</v>
      </c>
      <c r="L382" s="10"/>
      <c r="M382" s="11">
        <v>1</v>
      </c>
      <c r="N382" s="12">
        <f t="shared" si="13"/>
        <v>14</v>
      </c>
      <c r="O382" s="9"/>
      <c r="P382" s="174"/>
      <c r="Q382" s="107" t="s">
        <v>1335</v>
      </c>
      <c r="R382" s="20">
        <v>49999</v>
      </c>
      <c r="S382" s="13">
        <v>51998.96</v>
      </c>
      <c r="V382" s="18">
        <v>250</v>
      </c>
      <c r="Y382" s="14"/>
    </row>
    <row r="383" spans="1:25">
      <c r="A383" s="61" t="s">
        <v>372</v>
      </c>
      <c r="B383" s="55" t="str">
        <f>IFERROR(HYPERLINK(VLOOKUP(A383,ÜRÜNLER!A:C,3,FALSE),VLOOKUP(A383,ÜRÜNLER!A:B,2,FALSE)),"")</f>
        <v>EQ9 plus connect s500 Tam Otomatik Kahve Makinesi, Siyah</v>
      </c>
      <c r="C383" s="8"/>
      <c r="D383" s="8"/>
      <c r="E383" s="9"/>
      <c r="F383" s="9">
        <v>2</v>
      </c>
      <c r="G383" s="10"/>
      <c r="H383" s="10"/>
      <c r="I383" s="11">
        <v>2</v>
      </c>
      <c r="J383" s="11">
        <v>1</v>
      </c>
      <c r="K383" s="10">
        <v>2</v>
      </c>
      <c r="L383" s="10"/>
      <c r="M383" s="11">
        <v>1</v>
      </c>
      <c r="N383" s="12">
        <f t="shared" si="13"/>
        <v>8</v>
      </c>
      <c r="O383" s="9"/>
      <c r="P383" s="174"/>
      <c r="Q383" s="107" t="s">
        <v>1335</v>
      </c>
      <c r="R383" s="20">
        <v>59999</v>
      </c>
      <c r="S383" s="13">
        <v>62398.96</v>
      </c>
      <c r="V383" s="18">
        <v>250</v>
      </c>
      <c r="Y383" s="14"/>
    </row>
    <row r="384" spans="1:25">
      <c r="A384" s="65" t="s">
        <v>373</v>
      </c>
      <c r="B384" s="55" t="str">
        <f>IFERROR(HYPERLINK(VLOOKUP(A384,ÜRÜNLER!A:C,3,FALSE),VLOOKUP(A384,ÜRÜNLER!A:B,2,FALSE)),"")</f>
        <v>EQ500 classic Tam Otomatik Kahve Makinesi, Piyano Siyahı</v>
      </c>
      <c r="C384" s="8"/>
      <c r="D384" s="8"/>
      <c r="E384" s="9"/>
      <c r="F384" s="9">
        <v>9</v>
      </c>
      <c r="G384" s="10"/>
      <c r="H384" s="10"/>
      <c r="I384" s="11">
        <v>4</v>
      </c>
      <c r="J384" s="11">
        <v>2</v>
      </c>
      <c r="K384" s="10">
        <v>1</v>
      </c>
      <c r="L384" s="10"/>
      <c r="M384" s="11"/>
      <c r="N384" s="12">
        <f t="shared" si="13"/>
        <v>16</v>
      </c>
      <c r="O384" s="9"/>
      <c r="P384" s="174"/>
      <c r="Q384" s="107" t="s">
        <v>1335</v>
      </c>
      <c r="R384" s="20">
        <v>19999</v>
      </c>
      <c r="S384" s="13">
        <v>20798.96</v>
      </c>
      <c r="V384" s="18">
        <v>250</v>
      </c>
      <c r="Y384" s="14"/>
    </row>
    <row r="385" spans="1:25">
      <c r="A385" s="65" t="s">
        <v>374</v>
      </c>
      <c r="B385" s="55" t="str">
        <f>IFERROR(HYPERLINK(VLOOKUP(A385,ÜRÜNLER!A:C,3,FALSE),VLOOKUP(A385,ÜRÜNLER!A:B,2,FALSE)),"")</f>
        <v>EQ500 classic Tam Otomatik Kahve Makinesi, Piyano Siyahı</v>
      </c>
      <c r="C385" s="8"/>
      <c r="D385" s="8"/>
      <c r="E385" s="9"/>
      <c r="F385" s="9">
        <v>4</v>
      </c>
      <c r="G385" s="10"/>
      <c r="H385" s="10"/>
      <c r="I385" s="11"/>
      <c r="J385" s="11">
        <v>1</v>
      </c>
      <c r="K385" s="10"/>
      <c r="L385" s="10"/>
      <c r="M385" s="11">
        <v>1</v>
      </c>
      <c r="N385" s="12">
        <f t="shared" si="13"/>
        <v>6</v>
      </c>
      <c r="O385" s="9"/>
      <c r="P385" s="174"/>
      <c r="Q385" s="107" t="s">
        <v>1335</v>
      </c>
      <c r="R385" s="20">
        <v>19999</v>
      </c>
      <c r="S385" s="13">
        <v>20798.96</v>
      </c>
      <c r="V385" s="18">
        <v>250</v>
      </c>
      <c r="Y385" s="14"/>
    </row>
    <row r="386" spans="1:25">
      <c r="A386" s="88" t="s">
        <v>375</v>
      </c>
      <c r="B386" s="55" t="str">
        <f>IFERROR(HYPERLINK(VLOOKUP(A386,ÜRÜNLER!A:C,3,FALSE),VLOOKUP(A386,ÜRÜNLER!A:B,2,FALSE)),"")</f>
        <v>EQ500 classic Tam Otomatik Kahve Makinesi, Metalik Inox/Gümüş</v>
      </c>
      <c r="C386" s="8"/>
      <c r="D386" s="8"/>
      <c r="E386" s="9"/>
      <c r="F386" s="9">
        <v>3</v>
      </c>
      <c r="G386" s="10"/>
      <c r="H386" s="10"/>
      <c r="I386" s="11">
        <v>1</v>
      </c>
      <c r="J386" s="11"/>
      <c r="K386" s="10">
        <v>1</v>
      </c>
      <c r="L386" s="10"/>
      <c r="M386" s="11"/>
      <c r="N386" s="12">
        <f t="shared" si="13"/>
        <v>5</v>
      </c>
      <c r="O386" s="9"/>
      <c r="P386" s="174"/>
      <c r="Q386" s="107" t="s">
        <v>1335</v>
      </c>
      <c r="R386" s="20">
        <v>19999</v>
      </c>
      <c r="S386" s="13">
        <v>20798.96</v>
      </c>
      <c r="V386" s="18">
        <v>250</v>
      </c>
      <c r="Y386" s="14"/>
    </row>
    <row r="387" spans="1:25">
      <c r="A387" s="88" t="s">
        <v>376</v>
      </c>
      <c r="B387" s="55" t="str">
        <f>IFERROR(HYPERLINK(VLOOKUP(A387,ÜRÜNLER!A:C,3,FALSE),VLOOKUP(A387,ÜRÜNLER!A:B,2,FALSE)),"")</f>
        <v>EQ500 classic Tam Otomatik Kahve Makinesi, Sabah Sisi Grisi</v>
      </c>
      <c r="C387" s="8"/>
      <c r="D387" s="8"/>
      <c r="E387" s="9"/>
      <c r="F387" s="9">
        <v>1</v>
      </c>
      <c r="G387" s="10"/>
      <c r="H387" s="10"/>
      <c r="I387" s="11"/>
      <c r="J387" s="11"/>
      <c r="K387" s="10"/>
      <c r="L387" s="10"/>
      <c r="M387" s="11">
        <v>1</v>
      </c>
      <c r="N387" s="12">
        <f t="shared" si="13"/>
        <v>2</v>
      </c>
      <c r="O387" s="9"/>
      <c r="P387" s="174"/>
      <c r="Q387" s="107" t="s">
        <v>1335</v>
      </c>
      <c r="R387" s="20">
        <v>24999</v>
      </c>
      <c r="S387" s="13">
        <v>25998.959999999999</v>
      </c>
      <c r="V387" s="18">
        <v>250</v>
      </c>
      <c r="Y387" s="14"/>
    </row>
    <row r="388" spans="1:25">
      <c r="A388" s="89" t="s">
        <v>377</v>
      </c>
      <c r="B388" s="55" t="str">
        <f>IFERROR(HYPERLINK(VLOOKUP(A388,ÜRÜNLER!A:C,3,FALSE),VLOOKUP(A388,ÜRÜNLER!A:B,2,FALSE)),"")</f>
        <v>EQ500 classic connect Tam Otomatik Kahve Makinesi, Inox/Siyah</v>
      </c>
      <c r="C388" s="8">
        <v>12</v>
      </c>
      <c r="D388" s="8"/>
      <c r="E388" s="9"/>
      <c r="F388" s="9">
        <v>10</v>
      </c>
      <c r="G388" s="10"/>
      <c r="H388" s="10"/>
      <c r="I388" s="11">
        <v>3</v>
      </c>
      <c r="J388" s="11"/>
      <c r="K388" s="10">
        <v>1</v>
      </c>
      <c r="L388" s="10"/>
      <c r="M388" s="11">
        <v>1</v>
      </c>
      <c r="N388" s="12">
        <f t="shared" si="13"/>
        <v>27</v>
      </c>
      <c r="O388" s="9">
        <v>1</v>
      </c>
      <c r="P388" s="174"/>
      <c r="Q388" s="56">
        <v>38484.25199305846</v>
      </c>
      <c r="R388" s="27">
        <v>38484.25199305846</v>
      </c>
      <c r="S388" s="13">
        <v>40023.622072780796</v>
      </c>
      <c r="V388" s="18">
        <v>250</v>
      </c>
      <c r="Y388" s="181">
        <v>6382</v>
      </c>
    </row>
    <row r="389" spans="1:25">
      <c r="A389" s="89" t="s">
        <v>378</v>
      </c>
      <c r="B389" s="55" t="str">
        <f>IFERROR(HYPERLINK(VLOOKUP(A389,ÜRÜNLER!A:C,3,FALSE),VLOOKUP(A389,ÜRÜNLER!A:B,2,FALSE)),"")</f>
        <v>EQ500 classic Tam Otomatik Kahve Makinesi, Inox/Siyah</v>
      </c>
      <c r="C389" s="8">
        <v>90</v>
      </c>
      <c r="D389" s="8"/>
      <c r="E389" s="9"/>
      <c r="F389" s="9">
        <v>4</v>
      </c>
      <c r="G389" s="10"/>
      <c r="H389" s="10"/>
      <c r="I389" s="11">
        <v>1</v>
      </c>
      <c r="J389" s="11">
        <v>2</v>
      </c>
      <c r="K389" s="10">
        <v>1</v>
      </c>
      <c r="L389" s="10"/>
      <c r="M389" s="11">
        <v>3</v>
      </c>
      <c r="N389" s="12">
        <f t="shared" si="13"/>
        <v>101</v>
      </c>
      <c r="O389" s="9">
        <v>19</v>
      </c>
      <c r="P389" s="174"/>
      <c r="Q389" s="56">
        <v>30282.690092898465</v>
      </c>
      <c r="R389" s="189">
        <v>27000</v>
      </c>
      <c r="S389" s="22">
        <v>28080</v>
      </c>
      <c r="V389" s="18">
        <v>250</v>
      </c>
      <c r="Y389" s="181">
        <v>4602</v>
      </c>
    </row>
    <row r="390" spans="1:25">
      <c r="A390" s="65" t="s">
        <v>379</v>
      </c>
      <c r="B390" s="55" t="str">
        <f>IFERROR(HYPERLINK(VLOOKUP(A390,ÜRÜNLER!A:C,3,FALSE),VLOOKUP(A390,ÜRÜNLER!A:B,2,FALSE)),"")</f>
        <v>EQ700 classic Tam Otomatik Kahve Makinesi, Piyano Siyahı</v>
      </c>
      <c r="C390" s="8"/>
      <c r="D390" s="8"/>
      <c r="E390" s="9"/>
      <c r="F390" s="9">
        <v>1</v>
      </c>
      <c r="G390" s="10"/>
      <c r="H390" s="10"/>
      <c r="I390" s="11"/>
      <c r="J390" s="11"/>
      <c r="K390" s="10"/>
      <c r="L390" s="10"/>
      <c r="M390" s="11"/>
      <c r="N390" s="12">
        <f t="shared" si="13"/>
        <v>1</v>
      </c>
      <c r="O390" s="9"/>
      <c r="P390" s="174"/>
      <c r="Q390" s="107" t="s">
        <v>1335</v>
      </c>
      <c r="R390" s="20">
        <v>45000</v>
      </c>
      <c r="S390" s="13">
        <v>46800</v>
      </c>
      <c r="T390" s="14"/>
      <c r="V390" s="18">
        <v>250</v>
      </c>
    </row>
    <row r="391" spans="1:25">
      <c r="A391" s="88" t="s">
        <v>380</v>
      </c>
      <c r="B391" s="55" t="str">
        <f>IFERROR(HYPERLINK(VLOOKUP(A391,ÜRÜNLER!A:C,3,FALSE),VLOOKUP(A391,ÜRÜNLER!A:B,2,FALSE)),"")</f>
        <v>EQ700 classic Tam Otomatik Kahve Makinesi, Piyano Siyahı</v>
      </c>
      <c r="C391" s="8"/>
      <c r="D391" s="8"/>
      <c r="E391" s="9"/>
      <c r="F391" s="9"/>
      <c r="G391" s="10"/>
      <c r="H391" s="10"/>
      <c r="I391" s="11">
        <v>1</v>
      </c>
      <c r="J391" s="11"/>
      <c r="K391" s="10"/>
      <c r="L391" s="10"/>
      <c r="M391" s="11"/>
      <c r="N391" s="12">
        <f t="shared" si="13"/>
        <v>1</v>
      </c>
      <c r="O391" s="9"/>
      <c r="P391" s="174"/>
      <c r="Q391" s="107" t="s">
        <v>1335</v>
      </c>
      <c r="R391" s="20">
        <v>40000</v>
      </c>
      <c r="S391" s="13">
        <v>41600</v>
      </c>
      <c r="T391" s="14"/>
      <c r="V391" s="18">
        <v>250</v>
      </c>
    </row>
    <row r="392" spans="1:25">
      <c r="A392" s="88" t="s">
        <v>381</v>
      </c>
      <c r="B392" s="55" t="str">
        <f>IFERROR(HYPERLINK(VLOOKUP(A392,ÜRÜNLER!A:C,3,FALSE),VLOOKUP(A392,ÜRÜNLER!A:B,2,FALSE)),"")</f>
        <v>EQ700 classic Tam Otomatik Kahve Makinesi, Piyano Siyahı</v>
      </c>
      <c r="C392" s="8">
        <v>21</v>
      </c>
      <c r="D392" s="8"/>
      <c r="E392" s="9"/>
      <c r="F392" s="9"/>
      <c r="G392" s="10"/>
      <c r="H392" s="10"/>
      <c r="I392" s="11"/>
      <c r="J392" s="11">
        <v>1</v>
      </c>
      <c r="K392" s="10"/>
      <c r="L392" s="10"/>
      <c r="M392" s="11">
        <v>3</v>
      </c>
      <c r="N392" s="12">
        <f t="shared" si="13"/>
        <v>25</v>
      </c>
      <c r="O392" s="9"/>
      <c r="P392" s="174"/>
      <c r="Q392" s="56">
        <v>52494.176938714467</v>
      </c>
      <c r="R392" s="20">
        <v>52494.176938714467</v>
      </c>
      <c r="S392" s="13">
        <v>54593.944016263049</v>
      </c>
      <c r="V392" s="18">
        <v>250</v>
      </c>
      <c r="Y392" s="181">
        <v>4337</v>
      </c>
    </row>
    <row r="393" spans="1:25">
      <c r="A393" s="61" t="s">
        <v>382</v>
      </c>
      <c r="B393" s="55" t="str">
        <f>IFERROR(HYPERLINK(VLOOKUP(A393,ÜRÜNLER!A:C,3,FALSE),VLOOKUP(A393,ÜRÜNLER!A:B,2,FALSE)),"")</f>
        <v>EQ500 integral Tam Otomatik Kahve Makinesi, Metalik Safir Siyahı</v>
      </c>
      <c r="C393" s="8"/>
      <c r="D393" s="8"/>
      <c r="E393" s="9"/>
      <c r="F393" s="9"/>
      <c r="G393" s="10"/>
      <c r="H393" s="10"/>
      <c r="I393" s="11">
        <v>3</v>
      </c>
      <c r="J393" s="11">
        <v>1</v>
      </c>
      <c r="K393" s="10">
        <v>1</v>
      </c>
      <c r="L393" s="10"/>
      <c r="M393" s="11">
        <v>2</v>
      </c>
      <c r="N393" s="12">
        <f t="shared" si="13"/>
        <v>7</v>
      </c>
      <c r="O393" s="9"/>
      <c r="P393" s="174"/>
      <c r="Q393" s="107" t="s">
        <v>1335</v>
      </c>
      <c r="R393" s="20">
        <v>24000</v>
      </c>
      <c r="S393" s="13">
        <v>24960</v>
      </c>
      <c r="V393" s="18">
        <v>250</v>
      </c>
      <c r="Y393" s="14"/>
    </row>
    <row r="394" spans="1:25">
      <c r="A394" s="70" t="s">
        <v>383</v>
      </c>
      <c r="B394" s="55" t="str">
        <f>IFERROR(HYPERLINK(VLOOKUP(A394,ÜRÜNLER!A:C,3,FALSE),VLOOKUP(A394,ÜRÜNLER!A:B,2,FALSE)),"")</f>
        <v>EQ500 integral Tam Otomatik Kahve Makinesi, Inox</v>
      </c>
      <c r="C394" s="8"/>
      <c r="D394" s="8"/>
      <c r="E394" s="9"/>
      <c r="F394" s="9">
        <v>4</v>
      </c>
      <c r="G394" s="10"/>
      <c r="H394" s="10"/>
      <c r="I394" s="11">
        <v>1</v>
      </c>
      <c r="J394" s="11">
        <v>1</v>
      </c>
      <c r="K394" s="10">
        <v>1</v>
      </c>
      <c r="L394" s="10"/>
      <c r="M394" s="11">
        <v>1</v>
      </c>
      <c r="N394" s="12">
        <f t="shared" si="13"/>
        <v>8</v>
      </c>
      <c r="O394" s="9"/>
      <c r="P394" s="174"/>
      <c r="Q394" s="107" t="s">
        <v>1335</v>
      </c>
      <c r="R394" s="20">
        <v>23000</v>
      </c>
      <c r="S394" s="13">
        <v>23920</v>
      </c>
      <c r="V394" s="18">
        <v>250</v>
      </c>
      <c r="Y394" s="14"/>
    </row>
    <row r="395" spans="1:25">
      <c r="A395" s="90" t="s">
        <v>384</v>
      </c>
      <c r="B395" s="55" t="str">
        <f>IFERROR(HYPERLINK(VLOOKUP(A395,ÜRÜNLER!A:C,3,FALSE),VLOOKUP(A395,ÜRÜNLER!A:B,2,FALSE)),"")</f>
        <v>EQ700 integral Tam Otomatik Kahve Makinesi, Metalik Inox/Gümüş</v>
      </c>
      <c r="C395" s="8"/>
      <c r="D395" s="8"/>
      <c r="E395" s="9"/>
      <c r="F395" s="9">
        <v>1</v>
      </c>
      <c r="G395" s="10"/>
      <c r="H395" s="10"/>
      <c r="I395" s="11">
        <v>1</v>
      </c>
      <c r="J395" s="11">
        <v>1</v>
      </c>
      <c r="K395" s="10"/>
      <c r="L395" s="10"/>
      <c r="M395" s="11"/>
      <c r="N395" s="12">
        <f t="shared" si="13"/>
        <v>3</v>
      </c>
      <c r="O395" s="9"/>
      <c r="P395" s="174"/>
      <c r="Q395" s="107" t="s">
        <v>1335</v>
      </c>
      <c r="R395" s="20">
        <v>39999</v>
      </c>
      <c r="S395" s="13">
        <v>41598.959999999999</v>
      </c>
      <c r="V395" s="18">
        <v>250</v>
      </c>
      <c r="Y395" s="14"/>
    </row>
    <row r="396" spans="1:25">
      <c r="A396" s="90" t="s">
        <v>385</v>
      </c>
      <c r="B396" s="55" t="str">
        <f>IFERROR(HYPERLINK(VLOOKUP(A396,ÜRÜNLER!A:C,3,FALSE),VLOOKUP(A396,ÜRÜNLER!A:B,2,FALSE)),"")</f>
        <v>EQ700 Tam Otomatik Kahve Makinesi, Paslanmaz Çelik</v>
      </c>
      <c r="C396" s="8">
        <v>5</v>
      </c>
      <c r="D396" s="8"/>
      <c r="E396" s="9"/>
      <c r="F396" s="9">
        <v>4</v>
      </c>
      <c r="G396" s="10"/>
      <c r="H396" s="10"/>
      <c r="I396" s="11"/>
      <c r="J396" s="11"/>
      <c r="K396" s="10"/>
      <c r="L396" s="10"/>
      <c r="M396" s="11">
        <v>1</v>
      </c>
      <c r="N396" s="12">
        <f t="shared" si="13"/>
        <v>10</v>
      </c>
      <c r="O396" s="9"/>
      <c r="P396" s="174"/>
      <c r="Q396" s="56">
        <v>56989.324165687103</v>
      </c>
      <c r="R396" s="27">
        <v>56989.324165687103</v>
      </c>
      <c r="S396" s="13">
        <v>59268.897132314589</v>
      </c>
      <c r="V396" s="18">
        <v>250</v>
      </c>
      <c r="Y396" s="181">
        <v>6423</v>
      </c>
    </row>
    <row r="397" spans="1:25">
      <c r="A397" s="61" t="s">
        <v>386</v>
      </c>
      <c r="B397" s="55" t="str">
        <f>IFERROR(HYPERLINK(VLOOKUP(A397,ÜRÜNLER!A:C,3,FALSE),VLOOKUP(A397,ÜRÜNLER!A:B,2,FALSE)),"")</f>
        <v>EQ900 Tam Otomatik Kahve Makinesi, Paslanmaz Çelik</v>
      </c>
      <c r="C397" s="8">
        <v>18</v>
      </c>
      <c r="D397" s="8"/>
      <c r="E397" s="9"/>
      <c r="F397" s="9"/>
      <c r="G397" s="10"/>
      <c r="H397" s="10"/>
      <c r="I397" s="11">
        <v>1</v>
      </c>
      <c r="J397" s="11"/>
      <c r="K397" s="10">
        <v>1</v>
      </c>
      <c r="L397" s="10"/>
      <c r="M397" s="11">
        <v>1</v>
      </c>
      <c r="N397" s="12">
        <f t="shared" si="13"/>
        <v>21</v>
      </c>
      <c r="O397" s="9">
        <v>1</v>
      </c>
      <c r="P397" s="174"/>
      <c r="Q397" s="56">
        <v>80886.471339026728</v>
      </c>
      <c r="R397" s="27">
        <v>80886.471339026728</v>
      </c>
      <c r="S397" s="13">
        <v>84121.930192587795</v>
      </c>
      <c r="V397" s="18">
        <v>250</v>
      </c>
      <c r="Y397" s="181">
        <v>8646</v>
      </c>
    </row>
    <row r="398" spans="1:25">
      <c r="A398" s="61" t="s">
        <v>387</v>
      </c>
      <c r="B398" s="55" t="str">
        <f>IFERROR(HYPERLINK(VLOOKUP(A398,ÜRÜNLER!A:C,3,FALSE),VLOOKUP(A398,ÜRÜNLER!A:B,2,FALSE)),"")</f>
        <v>EQ900 plus Tam Otomatik Kahve Makinesi, Inox</v>
      </c>
      <c r="C398" s="8">
        <v>10</v>
      </c>
      <c r="D398" s="8"/>
      <c r="E398" s="9"/>
      <c r="F398" s="9"/>
      <c r="G398" s="10"/>
      <c r="H398" s="10"/>
      <c r="I398" s="11"/>
      <c r="J398" s="11"/>
      <c r="K398" s="10"/>
      <c r="L398" s="10"/>
      <c r="M398" s="11">
        <v>1</v>
      </c>
      <c r="N398" s="12">
        <f t="shared" si="13"/>
        <v>11</v>
      </c>
      <c r="O398" s="9">
        <v>1</v>
      </c>
      <c r="P398" s="174"/>
      <c r="Q398" s="56">
        <v>101776.37741443558</v>
      </c>
      <c r="R398" s="27">
        <v>101776.37741443558</v>
      </c>
      <c r="S398" s="13">
        <v>105847.432511013</v>
      </c>
      <c r="V398" s="18">
        <v>250</v>
      </c>
      <c r="Y398" s="181">
        <v>13481</v>
      </c>
    </row>
    <row r="399" spans="1:25">
      <c r="A399" s="70" t="s">
        <v>388</v>
      </c>
      <c r="B399" s="55" t="str">
        <f>IFERROR(HYPERLINK(VLOOKUP(A399,ÜRÜNLER!A:C,3,FALSE),VLOOKUP(A399,ÜRÜNLER!A:B,2,FALSE)),"")</f>
        <v>iQ700 Sıcak Tutma Çekmecesi, 60x14cm, Siyah</v>
      </c>
      <c r="C399" s="8">
        <v>1</v>
      </c>
      <c r="D399" s="8"/>
      <c r="E399" s="9"/>
      <c r="F399" s="9">
        <v>1</v>
      </c>
      <c r="G399" s="10"/>
      <c r="H399" s="10"/>
      <c r="I399" s="11">
        <v>1</v>
      </c>
      <c r="J399" s="11">
        <v>1</v>
      </c>
      <c r="K399" s="10">
        <v>1</v>
      </c>
      <c r="L399" s="10"/>
      <c r="M399" s="11"/>
      <c r="N399" s="12">
        <f t="shared" si="13"/>
        <v>5</v>
      </c>
      <c r="O399" s="9"/>
      <c r="P399" s="174"/>
      <c r="Q399" s="107" t="s">
        <v>1335</v>
      </c>
      <c r="R399" s="20">
        <v>49999</v>
      </c>
      <c r="S399" s="13">
        <v>51998.96</v>
      </c>
      <c r="T399" s="14"/>
      <c r="V399" s="18">
        <v>250</v>
      </c>
    </row>
    <row r="400" spans="1:25">
      <c r="A400" s="70" t="s">
        <v>1535</v>
      </c>
      <c r="B400" s="55" t="str">
        <f>IFERROR(HYPERLINK(VLOOKUP(A400,ÜRÜNLER!A:C,3,FALSE),VLOOKUP(A400,ÜRÜNLER!A:B,2,FALSE)),"")</f>
        <v>iQ700 studioLine Sıcak Tutma Çekmecesi, 60x14cm, Siyah</v>
      </c>
      <c r="C400" s="8"/>
      <c r="D400" s="8"/>
      <c r="E400" s="9"/>
      <c r="F400" s="9"/>
      <c r="G400" s="10"/>
      <c r="H400" s="10"/>
      <c r="I400" s="11"/>
      <c r="J400" s="11"/>
      <c r="K400" s="10"/>
      <c r="L400" s="10"/>
      <c r="M400" s="11"/>
      <c r="N400" s="12">
        <f t="shared" si="13"/>
        <v>0</v>
      </c>
      <c r="O400" s="9"/>
      <c r="P400" s="174"/>
      <c r="Q400" s="56">
        <v>51351</v>
      </c>
      <c r="R400" s="20">
        <v>52000</v>
      </c>
      <c r="S400" s="13">
        <v>54080</v>
      </c>
      <c r="T400" s="14"/>
      <c r="U400" s="14"/>
      <c r="V400" s="18"/>
    </row>
    <row r="401" spans="1:22">
      <c r="A401" s="64" t="s">
        <v>389</v>
      </c>
      <c r="B401" s="55" t="str">
        <f>IFERROR(HYPERLINK(VLOOKUP(A401,ÜRÜNLER!A:C,3,FALSE),VLOOKUP(A401,ÜRÜNLER!A:B,2,FALSE)),"")</f>
        <v>iQ700 Sıcak Tutma Çekmecesi, 60x14cm, Beyaz</v>
      </c>
      <c r="C401" s="8">
        <v>1</v>
      </c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12">
        <f t="shared" si="13"/>
        <v>1</v>
      </c>
      <c r="O401" s="9"/>
      <c r="P401" s="174"/>
      <c r="Q401" s="107" t="s">
        <v>1335</v>
      </c>
      <c r="R401" s="20">
        <v>49999</v>
      </c>
      <c r="S401" s="13">
        <v>51998.96</v>
      </c>
      <c r="T401" s="14"/>
      <c r="U401" s="14"/>
      <c r="V401" s="18">
        <v>250</v>
      </c>
    </row>
    <row r="402" spans="1:22">
      <c r="A402" s="64" t="s">
        <v>390</v>
      </c>
      <c r="B402" s="55" t="str">
        <f>IFERROR(HYPERLINK(VLOOKUP(A402,ÜRÜNLER!A:C,3,FALSE),VLOOKUP(A402,ÜRÜNLER!A:B,2,FALSE)),"")</f>
        <v>iQ700 studioLine Sıcak Tutma Çekmecesi, 60x14cm, Siyah</v>
      </c>
      <c r="C402" s="8"/>
      <c r="D402" s="8">
        <v>1</v>
      </c>
      <c r="E402" s="9"/>
      <c r="F402" s="9"/>
      <c r="G402" s="10"/>
      <c r="H402" s="10">
        <v>1</v>
      </c>
      <c r="I402" s="11"/>
      <c r="J402" s="11"/>
      <c r="K402" s="10"/>
      <c r="L402" s="10"/>
      <c r="M402" s="11"/>
      <c r="N402" s="12">
        <f t="shared" si="13"/>
        <v>2</v>
      </c>
      <c r="O402" s="9"/>
      <c r="P402" s="174"/>
      <c r="Q402" s="107" t="s">
        <v>1335</v>
      </c>
      <c r="R402" s="26">
        <v>49999</v>
      </c>
      <c r="S402" s="13">
        <v>51998.96</v>
      </c>
      <c r="T402" s="14"/>
      <c r="U402" s="14"/>
      <c r="V402" s="15">
        <v>500</v>
      </c>
    </row>
    <row r="403" spans="1:22" ht="21">
      <c r="A403" s="37" t="s">
        <v>393</v>
      </c>
      <c r="B403" s="55" t="str">
        <f>IFERROR(HYPERLINK(VLOOKUP(A403,ÜRÜNLER!A:C,3,FALSE),VLOOKUP(A403,ÜRÜNLER!A:B,2,FALSE)),"")</f>
        <v/>
      </c>
      <c r="C403" s="8"/>
      <c r="D403" s="8"/>
      <c r="E403" s="9"/>
      <c r="F403" s="9"/>
      <c r="G403" s="10"/>
      <c r="H403" s="10"/>
      <c r="I403" s="11"/>
      <c r="J403" s="11"/>
      <c r="K403" s="10"/>
      <c r="L403" s="10"/>
      <c r="M403" s="11"/>
      <c r="N403" s="12"/>
      <c r="O403" s="9"/>
      <c r="P403" s="174"/>
      <c r="R403" s="16"/>
      <c r="S403" s="13"/>
      <c r="T403" s="156"/>
      <c r="U403" s="14"/>
      <c r="V403" s="54"/>
    </row>
    <row r="404" spans="1:22">
      <c r="A404" s="62" t="s">
        <v>394</v>
      </c>
      <c r="B404" s="55" t="str">
        <f>IFERROR(HYPERLINK(VLOOKUP(A404,ÜRÜNLER!A:C,3,FALSE),VLOOKUP(A404,ÜRÜNLER!A:B,2,FALSE)),"")</f>
        <v>iQ500 Dik Şarjlı Elektrik Süpürgesi</v>
      </c>
      <c r="C404" s="8">
        <v>11</v>
      </c>
      <c r="D404" s="8"/>
      <c r="E404" s="9"/>
      <c r="F404" s="9"/>
      <c r="G404" s="10"/>
      <c r="H404" s="10"/>
      <c r="I404" s="11">
        <v>2</v>
      </c>
      <c r="J404" s="11">
        <v>4</v>
      </c>
      <c r="K404" s="10">
        <v>1</v>
      </c>
      <c r="L404" s="10"/>
      <c r="M404" s="11">
        <v>6</v>
      </c>
      <c r="N404" s="12">
        <f t="shared" ref="N404:N467" si="14">M404+L404+K404+J404+I404+H404+G404+F404+E404+D404+C404</f>
        <v>24</v>
      </c>
      <c r="O404" s="9">
        <v>1</v>
      </c>
      <c r="P404" s="174"/>
      <c r="Q404" s="56">
        <v>15127.921517402399</v>
      </c>
      <c r="R404" s="27">
        <v>15127.921517402399</v>
      </c>
      <c r="S404" s="13">
        <v>15733.038378098496</v>
      </c>
      <c r="T404" s="51"/>
      <c r="U404" s="14"/>
      <c r="V404" s="15">
        <v>250</v>
      </c>
    </row>
    <row r="405" spans="1:22">
      <c r="A405" s="62" t="s">
        <v>395</v>
      </c>
      <c r="B405" s="55" t="str">
        <f>IFERROR(HYPERLINK(VLOOKUP(A405,ÜRÜNLER!A:C,3,FALSE),VLOOKUP(A405,ÜRÜNLER!A:B,2,FALSE)),"")</f>
        <v>iQ500 Dik Şarjlı Elektrik Süpürgesi, Çift Bataryalı</v>
      </c>
      <c r="C405" s="8">
        <v>28</v>
      </c>
      <c r="D405" s="8"/>
      <c r="E405" s="9"/>
      <c r="F405" s="9"/>
      <c r="G405" s="10"/>
      <c r="H405" s="10"/>
      <c r="I405" s="11">
        <v>5</v>
      </c>
      <c r="J405" s="11">
        <v>3</v>
      </c>
      <c r="K405" s="10">
        <v>2</v>
      </c>
      <c r="L405" s="10"/>
      <c r="M405" s="11">
        <v>2</v>
      </c>
      <c r="N405" s="12">
        <f t="shared" si="14"/>
        <v>40</v>
      </c>
      <c r="O405" s="9">
        <v>1</v>
      </c>
      <c r="P405" s="174"/>
      <c r="Q405" s="56">
        <v>20676.612007837331</v>
      </c>
      <c r="R405" s="27">
        <v>20676.612007837331</v>
      </c>
      <c r="S405" s="13">
        <v>21503.676488150824</v>
      </c>
      <c r="T405" s="51"/>
      <c r="U405" s="14"/>
      <c r="V405" s="15">
        <v>250</v>
      </c>
    </row>
    <row r="406" spans="1:22">
      <c r="A406" s="62" t="s">
        <v>396</v>
      </c>
      <c r="B406" s="55" t="str">
        <f>IFERROR(HYPERLINK(VLOOKUP(A406,ÜRÜNLER!A:C,3,FALSE),VLOOKUP(A406,ÜRÜNLER!A:B,2,FALSE)),"")</f>
        <v>iQ500 Dik Şarjlı 2'li Süpürme&amp;Silme Elektrik Süpürgesi</v>
      </c>
      <c r="C406" s="8">
        <v>26</v>
      </c>
      <c r="D406" s="8"/>
      <c r="E406" s="9"/>
      <c r="F406" s="9"/>
      <c r="G406" s="10"/>
      <c r="H406" s="10"/>
      <c r="I406" s="11">
        <v>9</v>
      </c>
      <c r="J406" s="11">
        <v>4</v>
      </c>
      <c r="K406" s="10">
        <v>2</v>
      </c>
      <c r="L406" s="10"/>
      <c r="M406" s="11">
        <v>2</v>
      </c>
      <c r="N406" s="12">
        <f t="shared" si="14"/>
        <v>43</v>
      </c>
      <c r="O406" s="9">
        <v>1</v>
      </c>
      <c r="P406" s="174"/>
      <c r="Q406" s="56">
        <v>21392.065710530664</v>
      </c>
      <c r="R406" s="27">
        <v>21392.065710530664</v>
      </c>
      <c r="S406" s="13">
        <v>22247.748338951889</v>
      </c>
      <c r="T406" s="51"/>
      <c r="U406" s="14"/>
      <c r="V406" s="15">
        <v>250</v>
      </c>
    </row>
    <row r="407" spans="1:22">
      <c r="A407" s="62" t="s">
        <v>397</v>
      </c>
      <c r="B407" s="55" t="str">
        <f>IFERROR(HYPERLINK(VLOOKUP(A407,ÜRÜNLER!A:C,3,FALSE),VLOOKUP(A407,ÜRÜNLER!A:B,2,FALSE)),"")</f>
        <v>Toz torbalı Süpürge synchropower, 600w, Mavi</v>
      </c>
      <c r="C407" s="8"/>
      <c r="D407" s="8"/>
      <c r="E407" s="9"/>
      <c r="F407" s="9">
        <v>1</v>
      </c>
      <c r="G407" s="10"/>
      <c r="H407" s="10"/>
      <c r="I407" s="11">
        <v>1</v>
      </c>
      <c r="J407" s="11"/>
      <c r="K407" s="10">
        <v>1</v>
      </c>
      <c r="L407" s="10"/>
      <c r="M407" s="11"/>
      <c r="N407" s="12">
        <f t="shared" si="14"/>
        <v>3</v>
      </c>
      <c r="O407" s="9"/>
      <c r="P407" s="174"/>
      <c r="Q407" s="56">
        <v>6792.3783293638653</v>
      </c>
      <c r="R407" s="27">
        <v>6792.3783293638653</v>
      </c>
      <c r="S407" s="13">
        <v>7064.0734625384202</v>
      </c>
      <c r="T407" s="14"/>
      <c r="U407" s="14"/>
      <c r="V407" s="15">
        <v>250</v>
      </c>
    </row>
    <row r="408" spans="1:22">
      <c r="A408" s="62" t="s">
        <v>398</v>
      </c>
      <c r="B408" s="55" t="str">
        <f>IFERROR(HYPERLINK(VLOOKUP(A408,ÜRÜNLER!A:C,3,FALSE),VLOOKUP(A408,ÜRÜNLER!A:B,2,FALSE)),"")</f>
        <v>iQ300 Toz Torbalı Süpürge, 600w, Kırmızı</v>
      </c>
      <c r="C408" s="8"/>
      <c r="D408" s="8"/>
      <c r="E408" s="9"/>
      <c r="F408" s="9">
        <v>3</v>
      </c>
      <c r="G408" s="10"/>
      <c r="H408" s="10"/>
      <c r="I408" s="11">
        <v>1</v>
      </c>
      <c r="J408" s="11"/>
      <c r="K408" s="10"/>
      <c r="L408" s="10"/>
      <c r="M408" s="11"/>
      <c r="N408" s="12">
        <f t="shared" si="14"/>
        <v>4</v>
      </c>
      <c r="O408" s="9"/>
      <c r="P408" s="174"/>
      <c r="Q408" s="56">
        <v>7443.4323494792798</v>
      </c>
      <c r="R408" s="27">
        <v>7443.4323494792798</v>
      </c>
      <c r="S408" s="13">
        <v>7741.169643458451</v>
      </c>
      <c r="T408" s="14"/>
      <c r="U408" s="14"/>
      <c r="V408" s="15">
        <v>250</v>
      </c>
    </row>
    <row r="409" spans="1:22">
      <c r="A409" s="63" t="s">
        <v>399</v>
      </c>
      <c r="B409" s="55" t="str">
        <f>IFERROR(HYPERLINK(VLOOKUP(A409,ÜRÜNLER!A:C,3,FALSE),VLOOKUP(A409,ÜRÜNLER!A:B,2,FALSE)),"")</f>
        <v>iQ300 Toz Torbalı Süpürge, 600w, Mavi</v>
      </c>
      <c r="C409" s="8"/>
      <c r="D409" s="8"/>
      <c r="E409" s="9"/>
      <c r="F409" s="9"/>
      <c r="G409" s="10"/>
      <c r="H409" s="10"/>
      <c r="I409" s="11">
        <v>1</v>
      </c>
      <c r="J409" s="11">
        <v>1</v>
      </c>
      <c r="K409" s="10">
        <v>2</v>
      </c>
      <c r="L409" s="10"/>
      <c r="M409" s="11">
        <v>1</v>
      </c>
      <c r="N409" s="12">
        <f t="shared" si="14"/>
        <v>5</v>
      </c>
      <c r="O409" s="9"/>
      <c r="P409" s="174"/>
      <c r="Q409" s="107" t="s">
        <v>1335</v>
      </c>
      <c r="R409" s="16">
        <v>6599</v>
      </c>
      <c r="S409" s="13">
        <v>6862.96</v>
      </c>
      <c r="T409" s="14"/>
      <c r="U409" s="14"/>
      <c r="V409" s="15">
        <v>250</v>
      </c>
    </row>
    <row r="410" spans="1:22">
      <c r="A410" s="63" t="s">
        <v>400</v>
      </c>
      <c r="B410" s="55" t="str">
        <f>IFERROR(HYPERLINK(VLOOKUP(A410,ÜRÜNLER!A:C,3,FALSE),VLOOKUP(A410,ÜRÜNLER!A:B,2,FALSE)),"")</f>
        <v>iQ300 Toz Torbalı Süpürge, 600w, Açık Mavi</v>
      </c>
      <c r="C410" s="8"/>
      <c r="D410" s="8"/>
      <c r="E410" s="9"/>
      <c r="F410" s="9"/>
      <c r="G410" s="10"/>
      <c r="H410" s="10"/>
      <c r="I410" s="11"/>
      <c r="J410" s="11"/>
      <c r="K410" s="10"/>
      <c r="L410" s="10"/>
      <c r="M410" s="11">
        <v>1</v>
      </c>
      <c r="N410" s="12">
        <f t="shared" si="14"/>
        <v>1</v>
      </c>
      <c r="O410" s="9"/>
      <c r="P410" s="174"/>
      <c r="Q410" s="107" t="s">
        <v>1335</v>
      </c>
      <c r="R410" s="20">
        <v>5999</v>
      </c>
      <c r="S410" s="13">
        <v>6238.96</v>
      </c>
      <c r="T410" s="14"/>
      <c r="U410" s="14"/>
      <c r="V410" s="15">
        <v>250</v>
      </c>
    </row>
    <row r="411" spans="1:22">
      <c r="A411" s="62" t="s">
        <v>401</v>
      </c>
      <c r="B411" s="55" t="str">
        <f>IFERROR(HYPERLINK(VLOOKUP(A411,ÜRÜNLER!A:C,3,FALSE),VLOOKUP(A411,ÜRÜNLER!A:B,2,FALSE)),"")</f>
        <v>iQ700 Toz Torbalı Süpürge, 650w, Beyaz</v>
      </c>
      <c r="C411" s="8"/>
      <c r="D411" s="8"/>
      <c r="E411" s="9"/>
      <c r="F411" s="9">
        <v>12</v>
      </c>
      <c r="G411" s="10"/>
      <c r="H411" s="10"/>
      <c r="I411" s="11">
        <v>7</v>
      </c>
      <c r="J411" s="11">
        <v>2</v>
      </c>
      <c r="K411" s="10">
        <v>2</v>
      </c>
      <c r="L411" s="10"/>
      <c r="M411" s="11">
        <v>3</v>
      </c>
      <c r="N411" s="12">
        <f t="shared" si="14"/>
        <v>26</v>
      </c>
      <c r="O411" s="9">
        <v>2</v>
      </c>
      <c r="P411" s="174"/>
      <c r="Q411" s="56">
        <v>17385.606197683526</v>
      </c>
      <c r="R411" s="27">
        <v>17385.606197683526</v>
      </c>
      <c r="S411" s="13">
        <v>18081.030445590866</v>
      </c>
      <c r="T411" s="14"/>
      <c r="U411" s="14"/>
      <c r="V411" s="15">
        <v>250</v>
      </c>
    </row>
    <row r="412" spans="1:22">
      <c r="A412" s="62" t="s">
        <v>402</v>
      </c>
      <c r="B412" s="55" t="str">
        <f>IFERROR(HYPERLINK(VLOOKUP(A412,ÜRÜNLER!A:C,3,FALSE),VLOOKUP(A412,ÜRÜNLER!A:B,2,FALSE)),"")</f>
        <v>iQ700 Toz Torbalı Süpürge, 650w, Kırmızı</v>
      </c>
      <c r="C412" s="8"/>
      <c r="D412" s="8"/>
      <c r="E412" s="9"/>
      <c r="F412" s="9"/>
      <c r="G412" s="10"/>
      <c r="H412" s="10"/>
      <c r="I412" s="11">
        <v>1</v>
      </c>
      <c r="J412" s="11"/>
      <c r="K412" s="10"/>
      <c r="L412" s="10"/>
      <c r="M412" s="11">
        <v>1</v>
      </c>
      <c r="N412" s="12">
        <f t="shared" si="14"/>
        <v>2</v>
      </c>
      <c r="O412" s="9"/>
      <c r="P412" s="174"/>
      <c r="Q412" s="107" t="s">
        <v>1335</v>
      </c>
      <c r="R412" s="20">
        <v>10999</v>
      </c>
      <c r="S412" s="13">
        <v>11438.96</v>
      </c>
      <c r="T412" s="14"/>
      <c r="U412" s="14"/>
      <c r="V412" s="15">
        <v>250</v>
      </c>
    </row>
    <row r="413" spans="1:22">
      <c r="A413" s="62" t="s">
        <v>403</v>
      </c>
      <c r="B413" s="55" t="str">
        <f>IFERROR(HYPERLINK(VLOOKUP(A413,ÜRÜNLER!A:C,3,FALSE),VLOOKUP(A413,ÜRÜNLER!A:B,2,FALSE)),"")</f>
        <v>iQ300 Plus Limited Edition Toz Torbalı Elektrik Süpürgesi, 750w, Kırmızı</v>
      </c>
      <c r="C413" s="8">
        <v>7</v>
      </c>
      <c r="D413" s="8"/>
      <c r="E413" s="9"/>
      <c r="F413" s="9"/>
      <c r="G413" s="10"/>
      <c r="H413" s="10"/>
      <c r="I413" s="11">
        <v>2</v>
      </c>
      <c r="J413" s="11">
        <v>1</v>
      </c>
      <c r="K413" s="10"/>
      <c r="L413" s="10"/>
      <c r="M413" s="11">
        <v>4</v>
      </c>
      <c r="N413" s="12">
        <f t="shared" si="14"/>
        <v>14</v>
      </c>
      <c r="O413" s="9">
        <v>1</v>
      </c>
      <c r="P413" s="174"/>
      <c r="Q413" s="56">
        <v>11767.523492193133</v>
      </c>
      <c r="R413" s="27">
        <v>11767.523492193133</v>
      </c>
      <c r="S413" s="13">
        <v>12238.224431880859</v>
      </c>
      <c r="T413" s="14"/>
      <c r="U413" s="14"/>
      <c r="V413" s="15">
        <v>250</v>
      </c>
    </row>
    <row r="414" spans="1:22">
      <c r="A414" s="61" t="s">
        <v>404</v>
      </c>
      <c r="B414" s="55" t="str">
        <f>IFERROR(HYPERLINK(VLOOKUP(A414,ÜRÜNLER!A:C,3,FALSE),VLOOKUP(A414,ÜRÜNLER!A:B,2,FALSE)),"")</f>
        <v>iQ300 Toz Torbasız Süpürge, 550w, Kırmızı</v>
      </c>
      <c r="C414" s="8">
        <v>1</v>
      </c>
      <c r="D414" s="8"/>
      <c r="E414" s="9"/>
      <c r="F414" s="9">
        <v>13</v>
      </c>
      <c r="G414" s="10"/>
      <c r="H414" s="10"/>
      <c r="I414" s="11">
        <v>6</v>
      </c>
      <c r="J414" s="11">
        <v>1</v>
      </c>
      <c r="K414" s="10">
        <v>24</v>
      </c>
      <c r="L414" s="10"/>
      <c r="M414" s="11">
        <v>2</v>
      </c>
      <c r="N414" s="12">
        <f t="shared" si="14"/>
        <v>47</v>
      </c>
      <c r="O414" s="9">
        <v>1</v>
      </c>
      <c r="P414" s="174"/>
      <c r="Q414" s="56">
        <v>8503.8640100416742</v>
      </c>
      <c r="R414" s="27">
        <v>8503.8640100416742</v>
      </c>
      <c r="S414" s="13">
        <v>8844.0185704433406</v>
      </c>
      <c r="T414" s="14"/>
      <c r="U414" s="14"/>
      <c r="V414" s="15">
        <v>250</v>
      </c>
    </row>
    <row r="415" spans="1:22">
      <c r="A415" s="61" t="s">
        <v>405</v>
      </c>
      <c r="B415" s="55" t="str">
        <f>IFERROR(HYPERLINK(VLOOKUP(A415,ÜRÜNLER!A:C,3,FALSE),VLOOKUP(A415,ÜRÜNLER!A:B,2,FALSE)),"")</f>
        <v>iQ300 Toz Torbasız Süpürge, 750w, Mavi</v>
      </c>
      <c r="C415" s="8">
        <v>9</v>
      </c>
      <c r="D415" s="8"/>
      <c r="E415" s="9"/>
      <c r="F415" s="9">
        <v>5</v>
      </c>
      <c r="G415" s="10"/>
      <c r="H415" s="10"/>
      <c r="I415" s="11">
        <v>1</v>
      </c>
      <c r="J415" s="11">
        <v>4</v>
      </c>
      <c r="K415" s="10">
        <v>4</v>
      </c>
      <c r="L415" s="10"/>
      <c r="M415" s="11">
        <v>1</v>
      </c>
      <c r="N415" s="12">
        <f t="shared" si="14"/>
        <v>24</v>
      </c>
      <c r="O415" s="9"/>
      <c r="P415" s="174"/>
      <c r="Q415" s="56">
        <v>10698.894345902496</v>
      </c>
      <c r="R415" s="27">
        <v>10698.894345902496</v>
      </c>
      <c r="S415" s="13">
        <v>11126.850119738596</v>
      </c>
      <c r="T415" s="14"/>
      <c r="U415" s="14"/>
      <c r="V415" s="15">
        <v>250</v>
      </c>
    </row>
    <row r="416" spans="1:22">
      <c r="A416" s="61" t="s">
        <v>406</v>
      </c>
      <c r="B416" s="55" t="str">
        <f>IFERROR(HYPERLINK(VLOOKUP(A416,ÜRÜNLER!A:C,3,FALSE),VLOOKUP(A416,ÜRÜNLER!A:B,2,FALSE)),"")</f>
        <v>iQ500 Toz Torbasız Süpürge, 550w, Kırmızı</v>
      </c>
      <c r="C416" s="8">
        <v>36</v>
      </c>
      <c r="D416" s="8"/>
      <c r="E416" s="9"/>
      <c r="F416" s="9">
        <v>3</v>
      </c>
      <c r="G416" s="10"/>
      <c r="H416" s="10"/>
      <c r="I416" s="11">
        <v>1</v>
      </c>
      <c r="J416" s="11">
        <v>1</v>
      </c>
      <c r="K416" s="10">
        <v>4</v>
      </c>
      <c r="L416" s="10"/>
      <c r="M416" s="11">
        <v>3</v>
      </c>
      <c r="N416" s="12">
        <f t="shared" si="14"/>
        <v>48</v>
      </c>
      <c r="O416" s="9"/>
      <c r="P416" s="174"/>
      <c r="Q416" s="56">
        <v>8997.8845468867039</v>
      </c>
      <c r="R416" s="27">
        <v>8997.8845468867039</v>
      </c>
      <c r="S416" s="13">
        <v>9357.7999287621715</v>
      </c>
      <c r="T416" s="14"/>
      <c r="U416" s="14"/>
      <c r="V416" s="15">
        <v>250</v>
      </c>
    </row>
    <row r="417" spans="1:24">
      <c r="A417" s="61" t="s">
        <v>407</v>
      </c>
      <c r="B417" s="55" t="str">
        <f>IFERROR(HYPERLINK(VLOOKUP(A417,ÜRÜNLER!A:C,3,FALSE),VLOOKUP(A417,ÜRÜNLER!A:B,2,FALSE)),"")</f>
        <v>iQ500 Toz Torbasız Süpürge, 550w, Mavi</v>
      </c>
      <c r="C417" s="8"/>
      <c r="D417" s="8"/>
      <c r="E417" s="9"/>
      <c r="F417" s="9">
        <v>1</v>
      </c>
      <c r="G417" s="10"/>
      <c r="H417" s="10"/>
      <c r="I417" s="11">
        <v>1</v>
      </c>
      <c r="J417" s="11"/>
      <c r="K417" s="10">
        <v>2</v>
      </c>
      <c r="L417" s="10"/>
      <c r="M417" s="11">
        <v>1</v>
      </c>
      <c r="N417" s="12">
        <f t="shared" si="14"/>
        <v>5</v>
      </c>
      <c r="O417" s="9"/>
      <c r="P417" s="174"/>
      <c r="Q417" s="107" t="s">
        <v>1335</v>
      </c>
      <c r="R417" s="16">
        <v>6548.6702364651073</v>
      </c>
      <c r="S417" s="13">
        <v>6810.6170459237119</v>
      </c>
      <c r="T417" s="14"/>
      <c r="U417" s="14"/>
      <c r="V417" s="15">
        <v>250</v>
      </c>
    </row>
    <row r="418" spans="1:24">
      <c r="A418" s="61" t="s">
        <v>408</v>
      </c>
      <c r="B418" s="55" t="str">
        <f>IFERROR(HYPERLINK(VLOOKUP(A418,ÜRÜNLER!A:C,3,FALSE),VLOOKUP(A418,ÜRÜNLER!A:B,2,FALSE)),"")</f>
        <v>iQ500 Toz Torbasız Elektrik Süpürgesi, 750w, Siyah</v>
      </c>
      <c r="C418" s="8">
        <v>20</v>
      </c>
      <c r="D418" s="8"/>
      <c r="E418" s="9"/>
      <c r="F418" s="9">
        <v>1</v>
      </c>
      <c r="G418" s="10"/>
      <c r="H418" s="10"/>
      <c r="I418" s="11">
        <v>5</v>
      </c>
      <c r="J418" s="11">
        <v>1</v>
      </c>
      <c r="K418" s="10">
        <v>4</v>
      </c>
      <c r="L418" s="10"/>
      <c r="M418" s="11">
        <v>3</v>
      </c>
      <c r="N418" s="12">
        <f t="shared" si="14"/>
        <v>34</v>
      </c>
      <c r="O418" s="9">
        <v>1</v>
      </c>
      <c r="P418" s="174"/>
      <c r="Q418" s="56">
        <v>11695.536950353717</v>
      </c>
      <c r="R418" s="20">
        <v>11695.536950353717</v>
      </c>
      <c r="S418" s="13">
        <v>12163.358428367865</v>
      </c>
      <c r="T418" s="14"/>
      <c r="U418" s="14"/>
      <c r="V418" s="15">
        <v>250</v>
      </c>
    </row>
    <row r="419" spans="1:24">
      <c r="A419" s="61" t="s">
        <v>409</v>
      </c>
      <c r="B419" s="55" t="str">
        <f>IFERROR(HYPERLINK(VLOOKUP(A419,ÜRÜNLER!A:C,3,FALSE),VLOOKUP(A419,ÜRÜNLER!A:B,2,FALSE)),"")</f>
        <v>Siemens Toz Torbasız Süpürge, 600w, Kırmızı</v>
      </c>
      <c r="C419" s="8"/>
      <c r="D419" s="8"/>
      <c r="E419" s="9"/>
      <c r="F419" s="9"/>
      <c r="G419" s="10"/>
      <c r="H419" s="10"/>
      <c r="I419" s="11">
        <v>1</v>
      </c>
      <c r="J419" s="11"/>
      <c r="K419" s="10"/>
      <c r="L419" s="10"/>
      <c r="M419" s="11"/>
      <c r="N419" s="12">
        <f t="shared" si="14"/>
        <v>1</v>
      </c>
      <c r="O419" s="9"/>
      <c r="P419" s="174"/>
      <c r="Q419" s="107" t="s">
        <v>1335</v>
      </c>
      <c r="R419" s="20">
        <v>4999</v>
      </c>
      <c r="S419" s="13">
        <v>5198.96</v>
      </c>
      <c r="T419" s="14"/>
      <c r="U419" s="14"/>
      <c r="V419" s="15">
        <v>250</v>
      </c>
    </row>
    <row r="420" spans="1:24">
      <c r="A420" s="61" t="s">
        <v>410</v>
      </c>
      <c r="B420" s="55" t="str">
        <f>IFERROR(HYPERLINK(VLOOKUP(A420,ÜRÜNLER!A:C,3,FALSE),VLOOKUP(A420,ÜRÜNLER!A:B,2,FALSE)),"")</f>
        <v>iQ700 Toz Torbasız Elektrik Süpürgesi, 850w, Siyah</v>
      </c>
      <c r="C420" s="8">
        <v>11</v>
      </c>
      <c r="D420" s="8"/>
      <c r="E420" s="9"/>
      <c r="F420" s="9">
        <v>34</v>
      </c>
      <c r="G420" s="10"/>
      <c r="H420" s="10"/>
      <c r="I420" s="11">
        <v>10</v>
      </c>
      <c r="J420" s="11">
        <v>2</v>
      </c>
      <c r="K420" s="10">
        <v>8</v>
      </c>
      <c r="L420" s="10"/>
      <c r="M420" s="11">
        <v>5</v>
      </c>
      <c r="N420" s="12">
        <f t="shared" si="14"/>
        <v>70</v>
      </c>
      <c r="O420" s="9">
        <v>1</v>
      </c>
      <c r="P420" s="174"/>
      <c r="Q420" s="56">
        <v>20504.68551240184</v>
      </c>
      <c r="R420" s="51">
        <v>18000</v>
      </c>
      <c r="S420" s="160">
        <v>18720</v>
      </c>
      <c r="T420" s="14"/>
      <c r="U420" s="14"/>
      <c r="V420" s="15">
        <v>250</v>
      </c>
    </row>
    <row r="421" spans="1:24" ht="34.5" customHeight="1">
      <c r="A421" s="37" t="s">
        <v>413</v>
      </c>
      <c r="B421" s="55" t="str">
        <f>IFERROR(HYPERLINK(VLOOKUP(A421,ÜRÜNLER!A:C,3,FALSE),VLOOKUP(A421,ÜRÜNLER!A:B,2,FALSE)),"")</f>
        <v/>
      </c>
      <c r="C421" s="8"/>
      <c r="D421" s="8"/>
      <c r="E421" s="9"/>
      <c r="F421" s="9"/>
      <c r="G421" s="10"/>
      <c r="H421" s="10"/>
      <c r="I421" s="11"/>
      <c r="J421" s="11"/>
      <c r="K421" s="10"/>
      <c r="L421" s="10"/>
      <c r="M421" s="11"/>
      <c r="N421" s="12">
        <f t="shared" si="14"/>
        <v>0</v>
      </c>
      <c r="O421" s="9"/>
      <c r="P421" s="9"/>
      <c r="R421" s="20"/>
      <c r="S421" s="13"/>
      <c r="T421" s="14"/>
      <c r="U421" s="14"/>
      <c r="V421" s="18"/>
    </row>
    <row r="422" spans="1:24">
      <c r="A422" s="62" t="s">
        <v>416</v>
      </c>
      <c r="B422" s="55" t="str">
        <f>IFERROR(HYPERLINK(VLOOKUP(A422,ÜRÜNLER!A:C,3,FALSE),VLOOKUP(A422,ÜRÜNLER!A:B,2,FALSE)),"")</f>
        <v>Soğuk Su Sebili, Gri</v>
      </c>
      <c r="C422" s="8">
        <v>493</v>
      </c>
      <c r="D422" s="8"/>
      <c r="E422" s="9"/>
      <c r="F422" s="9">
        <v>3</v>
      </c>
      <c r="G422" s="10"/>
      <c r="H422" s="10"/>
      <c r="I422" s="11">
        <v>2</v>
      </c>
      <c r="J422" s="11">
        <v>2</v>
      </c>
      <c r="K422" s="10">
        <v>3</v>
      </c>
      <c r="L422" s="10"/>
      <c r="M422" s="11"/>
      <c r="N422" s="12">
        <f t="shared" si="14"/>
        <v>503</v>
      </c>
      <c r="O422" s="9">
        <v>101</v>
      </c>
      <c r="P422" s="174"/>
      <c r="Q422" s="56">
        <v>10412.280518405883</v>
      </c>
      <c r="R422" s="51">
        <v>11974.122596166766</v>
      </c>
      <c r="S422" s="13">
        <v>12453.087500013437</v>
      </c>
      <c r="U422" s="14"/>
      <c r="V422" s="18">
        <v>50</v>
      </c>
      <c r="X422" s="151" t="s">
        <v>1532</v>
      </c>
    </row>
    <row r="423" spans="1:24">
      <c r="A423" s="62" t="s">
        <v>417</v>
      </c>
      <c r="B423" s="55" t="str">
        <f>IFERROR(HYPERLINK(VLOOKUP(A423,ÜRÜNLER!A:C,3,FALSE),VLOOKUP(A423,ÜRÜNLER!A:B,2,FALSE)),"")</f>
        <v>Soğuk Su Sebili, Siyah/Gri, Dokunmatik</v>
      </c>
      <c r="C423" s="8"/>
      <c r="D423" s="8"/>
      <c r="E423" s="9"/>
      <c r="F423" s="9">
        <v>4</v>
      </c>
      <c r="G423" s="10"/>
      <c r="H423" s="10"/>
      <c r="I423" s="11"/>
      <c r="J423" s="11">
        <v>2</v>
      </c>
      <c r="K423" s="10">
        <v>2</v>
      </c>
      <c r="L423" s="10"/>
      <c r="M423" s="11">
        <v>1</v>
      </c>
      <c r="N423" s="12">
        <f t="shared" si="14"/>
        <v>9</v>
      </c>
      <c r="O423" s="9">
        <v>87</v>
      </c>
      <c r="P423" s="174"/>
      <c r="Q423" s="56">
        <v>15159.194999120318</v>
      </c>
      <c r="R423" s="51">
        <v>17433.074248988367</v>
      </c>
      <c r="S423" s="13">
        <v>18130.397218947903</v>
      </c>
      <c r="U423" s="14"/>
      <c r="V423" s="18">
        <v>50</v>
      </c>
      <c r="X423" s="151" t="s">
        <v>1532</v>
      </c>
    </row>
    <row r="424" spans="1:24">
      <c r="A424" s="62" t="s">
        <v>418</v>
      </c>
      <c r="B424" s="55" t="str">
        <f>IFERROR(HYPERLINK(VLOOKUP(A424,ÜRÜNLER!A:C,3,FALSE),VLOOKUP(A424,ÜRÜNLER!A:B,2,FALSE)),"")</f>
        <v>Soğuk Su Sebili, Siyah/Gri</v>
      </c>
      <c r="C424" s="8"/>
      <c r="D424" s="8"/>
      <c r="E424" s="9"/>
      <c r="F424" s="9">
        <v>3</v>
      </c>
      <c r="G424" s="10"/>
      <c r="H424" s="10"/>
      <c r="I424" s="11">
        <v>2</v>
      </c>
      <c r="J424" s="11">
        <v>1</v>
      </c>
      <c r="K424" s="10">
        <v>1</v>
      </c>
      <c r="L424" s="10"/>
      <c r="M424" s="11">
        <v>1</v>
      </c>
      <c r="N424" s="12">
        <f t="shared" si="14"/>
        <v>8</v>
      </c>
      <c r="O424" s="9">
        <v>301</v>
      </c>
      <c r="P424" s="174"/>
      <c r="Q424" s="56">
        <v>14978.950144916385</v>
      </c>
      <c r="R424" s="51">
        <v>17225.792666653844</v>
      </c>
      <c r="S424" s="13">
        <v>17914.82437332</v>
      </c>
      <c r="T424" s="14"/>
      <c r="U424" s="14"/>
      <c r="V424" s="18">
        <v>50</v>
      </c>
    </row>
    <row r="425" spans="1:24">
      <c r="A425" s="62" t="s">
        <v>419</v>
      </c>
      <c r="B425" s="55" t="str">
        <f>IFERROR(HYPERLINK(VLOOKUP(A425,ÜRÜNLER!A:C,3,FALSE),VLOOKUP(A425,ÜRÜNLER!A:B,2,FALSE)),"")</f>
        <v>Sıcak/Soğuk Su Sebili, Beyaz</v>
      </c>
      <c r="C425" s="8">
        <v>64</v>
      </c>
      <c r="D425" s="8"/>
      <c r="E425" s="9"/>
      <c r="F425" s="9">
        <v>20</v>
      </c>
      <c r="G425" s="10"/>
      <c r="H425" s="10"/>
      <c r="I425" s="11">
        <v>2</v>
      </c>
      <c r="J425" s="11">
        <v>3</v>
      </c>
      <c r="K425" s="10"/>
      <c r="L425" s="10"/>
      <c r="M425" s="11">
        <v>1</v>
      </c>
      <c r="N425" s="12">
        <f t="shared" si="14"/>
        <v>90</v>
      </c>
      <c r="O425" s="9">
        <v>101</v>
      </c>
      <c r="P425" s="174"/>
      <c r="Q425" s="56">
        <v>13867.0707767613</v>
      </c>
      <c r="R425" s="51">
        <v>15947.131393275495</v>
      </c>
      <c r="S425" s="13">
        <v>16585.016649006513</v>
      </c>
      <c r="T425" s="151"/>
      <c r="U425" s="14"/>
      <c r="V425" s="18">
        <v>50</v>
      </c>
    </row>
    <row r="426" spans="1:24">
      <c r="A426" s="62" t="s">
        <v>420</v>
      </c>
      <c r="B426" s="55" t="str">
        <f>IFERROR(HYPERLINK(VLOOKUP(A426,ÜRÜNLER!A:C,3,FALSE),VLOOKUP(A426,ÜRÜNLER!A:B,2,FALSE)),"")</f>
        <v>Soğuk Su Sebili, Siyah/Gri, Sensörlü</v>
      </c>
      <c r="C426" s="8"/>
      <c r="D426" s="8"/>
      <c r="E426" s="9"/>
      <c r="F426" s="9">
        <v>2</v>
      </c>
      <c r="G426" s="10"/>
      <c r="H426" s="10"/>
      <c r="I426" s="11"/>
      <c r="J426" s="11"/>
      <c r="K426" s="10"/>
      <c r="L426" s="10"/>
      <c r="M426" s="11"/>
      <c r="N426" s="12">
        <f t="shared" si="14"/>
        <v>2</v>
      </c>
      <c r="O426" s="9">
        <v>235</v>
      </c>
      <c r="P426" s="174"/>
      <c r="Q426" s="56">
        <v>15878.152251444433</v>
      </c>
      <c r="R426" s="51">
        <v>18259.875089161098</v>
      </c>
      <c r="S426" s="13">
        <v>18990.270092727544</v>
      </c>
      <c r="T426" s="14"/>
      <c r="U426" s="14"/>
      <c r="V426" s="18">
        <v>50</v>
      </c>
    </row>
    <row r="427" spans="1:24">
      <c r="A427" s="64" t="s">
        <v>391</v>
      </c>
      <c r="B427" s="55" t="str">
        <f>IFERROR(HYPERLINK(VLOOKUP(A427,ÜRÜNLER!A:C,3,FALSE),VLOOKUP(A427,ÜRÜNLER!A:B,2,FALSE)),"")</f>
        <v>Temizleme Tableti</v>
      </c>
      <c r="C427" s="8"/>
      <c r="D427" s="8"/>
      <c r="E427" s="9"/>
      <c r="F427" s="9"/>
      <c r="G427" s="10"/>
      <c r="H427" s="10"/>
      <c r="I427" s="11">
        <v>33</v>
      </c>
      <c r="J427" s="11">
        <v>42</v>
      </c>
      <c r="K427" s="10">
        <v>15</v>
      </c>
      <c r="L427" s="10"/>
      <c r="M427" s="11">
        <v>4</v>
      </c>
      <c r="N427" s="12">
        <f t="shared" si="14"/>
        <v>94</v>
      </c>
      <c r="O427" s="9"/>
      <c r="P427" s="174"/>
      <c r="Q427" s="56">
        <v>452.60361139646415</v>
      </c>
      <c r="R427" s="20">
        <v>600</v>
      </c>
      <c r="S427" s="13">
        <v>650</v>
      </c>
      <c r="T427" s="14"/>
      <c r="U427" s="14"/>
      <c r="V427" s="18">
        <v>50</v>
      </c>
    </row>
    <row r="428" spans="1:24">
      <c r="A428" s="64" t="s">
        <v>392</v>
      </c>
      <c r="B428" s="55" t="str">
        <f>IFERROR(HYPERLINK(VLOOKUP(A428,ÜRÜNLER!A:C,3,FALSE),VLOOKUP(A428,ÜRÜNLER!A:B,2,FALSE)),"")</f>
        <v>Kireç Temizleme Tableti</v>
      </c>
      <c r="C428" s="8"/>
      <c r="D428" s="8"/>
      <c r="E428" s="9"/>
      <c r="F428" s="9"/>
      <c r="G428" s="10"/>
      <c r="H428" s="10"/>
      <c r="I428" s="11">
        <v>10</v>
      </c>
      <c r="J428" s="11"/>
      <c r="K428" s="10">
        <v>6</v>
      </c>
      <c r="L428" s="10"/>
      <c r="M428" s="11"/>
      <c r="N428" s="12">
        <f t="shared" si="14"/>
        <v>16</v>
      </c>
      <c r="O428" s="9">
        <v>120</v>
      </c>
      <c r="P428" s="174"/>
      <c r="Q428" s="56">
        <v>452.60361139646415</v>
      </c>
      <c r="R428" s="20">
        <v>600</v>
      </c>
      <c r="S428" s="13">
        <v>650</v>
      </c>
      <c r="T428" s="14"/>
      <c r="U428" s="14"/>
      <c r="V428" s="18">
        <v>50</v>
      </c>
    </row>
    <row r="429" spans="1:24">
      <c r="A429" s="61" t="s">
        <v>202</v>
      </c>
      <c r="B429" s="55" t="str">
        <f>IFERROR(HYPERLINK(VLOOKUP(A429,ÜRÜNLER!A:C,3,FALSE),VLOOKUP(A429,ÜRÜNLER!A:B,2,FALSE)),"")</f>
        <v>3D Fry Tepsi</v>
      </c>
      <c r="C429" s="8">
        <v>8</v>
      </c>
      <c r="D429" s="8"/>
      <c r="E429" s="9"/>
      <c r="F429" s="9">
        <v>12</v>
      </c>
      <c r="G429" s="10"/>
      <c r="H429" s="10"/>
      <c r="I429" s="11">
        <v>6</v>
      </c>
      <c r="J429" s="11">
        <v>9</v>
      </c>
      <c r="K429" s="10">
        <v>9</v>
      </c>
      <c r="L429" s="10"/>
      <c r="M429" s="11">
        <v>4</v>
      </c>
      <c r="N429" s="12">
        <f t="shared" si="14"/>
        <v>48</v>
      </c>
      <c r="O429" s="9">
        <v>15</v>
      </c>
      <c r="P429" s="174"/>
      <c r="Q429" s="56">
        <v>344</v>
      </c>
      <c r="R429" s="20">
        <v>600</v>
      </c>
      <c r="S429" s="13">
        <v>650</v>
      </c>
      <c r="T429" s="14"/>
      <c r="U429" s="14"/>
      <c r="V429" s="18">
        <v>50</v>
      </c>
    </row>
    <row r="430" spans="1:24">
      <c r="A430" s="61" t="s">
        <v>203</v>
      </c>
      <c r="B430" s="55" t="str">
        <f>IFERROR(HYPERLINK(VLOOKUP(A430,ÜRÜNLER!A:C,3,FALSE),VLOOKUP(A430,ÜRÜNLER!A:B,2,FALSE)),"")</f>
        <v>Siemens starter kit unducted recirculation</v>
      </c>
      <c r="C430" s="8">
        <v>2</v>
      </c>
      <c r="D430" s="8"/>
      <c r="E430" s="9"/>
      <c r="F430" s="9"/>
      <c r="G430" s="10"/>
      <c r="H430" s="10"/>
      <c r="I430" s="11"/>
      <c r="J430" s="11"/>
      <c r="K430" s="10"/>
      <c r="L430" s="10"/>
      <c r="M430" s="11"/>
      <c r="N430" s="12">
        <f t="shared" si="14"/>
        <v>2</v>
      </c>
      <c r="O430" s="9"/>
      <c r="P430" s="174"/>
      <c r="Q430" s="107"/>
      <c r="R430" s="20">
        <v>999</v>
      </c>
      <c r="S430" s="13">
        <v>1038.96</v>
      </c>
      <c r="T430" s="14"/>
      <c r="U430" s="14"/>
      <c r="V430" s="18">
        <v>50</v>
      </c>
    </row>
    <row r="431" spans="1:24">
      <c r="A431" s="61" t="s">
        <v>411</v>
      </c>
      <c r="B431" s="55" t="str">
        <f>IFERROR(HYPERLINK(VLOOKUP(A431,ÜRÜNLER!A:C,3,FALSE),VLOOKUP(A431,ÜRÜNLER!A:B,2,FALSE)),"")</f>
        <v>Siemens Elektrikli Süpürgeler için Toz Torbası (P Tip) 4'lü Paket</v>
      </c>
      <c r="C431" s="8"/>
      <c r="D431" s="8"/>
      <c r="E431" s="9"/>
      <c r="F431" s="9"/>
      <c r="G431" s="10"/>
      <c r="H431" s="10"/>
      <c r="I431" s="11">
        <v>6</v>
      </c>
      <c r="J431" s="11"/>
      <c r="K431" s="10"/>
      <c r="L431" s="10"/>
      <c r="M431" s="11"/>
      <c r="N431" s="12">
        <f t="shared" si="14"/>
        <v>6</v>
      </c>
      <c r="O431" s="9"/>
      <c r="P431" s="174"/>
      <c r="R431" s="20">
        <v>400</v>
      </c>
      <c r="S431" s="13">
        <v>450</v>
      </c>
      <c r="T431" s="14"/>
      <c r="U431" s="14"/>
      <c r="V431" s="18">
        <v>50</v>
      </c>
    </row>
    <row r="432" spans="1:24">
      <c r="A432" s="61" t="s">
        <v>412</v>
      </c>
      <c r="B432" s="55" t="str">
        <f>IFERROR(HYPERLINK(VLOOKUP(A432,ÜRÜNLER!A:C,3,FALSE),VLOOKUP(A432,ÜRÜNLER!A:B,2,FALSE)),"")</f>
        <v>Elektrik Süpürgesi Toz Torbası 4'lü</v>
      </c>
      <c r="C432" s="8"/>
      <c r="D432" s="8"/>
      <c r="E432" s="9"/>
      <c r="F432" s="9"/>
      <c r="G432" s="10"/>
      <c r="H432" s="10"/>
      <c r="I432" s="11">
        <v>77</v>
      </c>
      <c r="J432" s="11"/>
      <c r="K432" s="10">
        <v>9</v>
      </c>
      <c r="L432" s="10"/>
      <c r="M432" s="11"/>
      <c r="N432" s="12">
        <f t="shared" si="14"/>
        <v>86</v>
      </c>
      <c r="O432" s="9">
        <v>3</v>
      </c>
      <c r="P432" s="174"/>
      <c r="Q432" s="56">
        <v>310</v>
      </c>
      <c r="R432" s="20">
        <v>400</v>
      </c>
      <c r="S432" s="13">
        <v>450</v>
      </c>
      <c r="T432" s="14"/>
      <c r="U432" s="14"/>
      <c r="V432" s="18">
        <v>50</v>
      </c>
    </row>
    <row r="433" spans="1:22">
      <c r="A433" s="61" t="s">
        <v>414</v>
      </c>
      <c r="B433" s="55" t="str">
        <f>IFERROR(HYPERLINK(VLOOKUP(A433,ÜRÜNLER!A:C,3,FALSE),VLOOKUP(A433,ÜRÜNLER!A:B,2,FALSE)),"")</f>
        <v>Siemens Trifaze Ani Su Isıtıcı</v>
      </c>
      <c r="C433" s="8"/>
      <c r="D433" s="8"/>
      <c r="E433" s="9"/>
      <c r="F433" s="9"/>
      <c r="G433" s="10"/>
      <c r="H433" s="10"/>
      <c r="I433" s="11"/>
      <c r="J433" s="11"/>
      <c r="K433" s="10">
        <v>1</v>
      </c>
      <c r="L433" s="10"/>
      <c r="M433" s="11"/>
      <c r="N433" s="12">
        <f t="shared" si="14"/>
        <v>1</v>
      </c>
      <c r="O433" s="9"/>
      <c r="P433" s="174"/>
      <c r="R433" s="20">
        <v>39999</v>
      </c>
      <c r="S433" s="13">
        <v>41598.959999999999</v>
      </c>
      <c r="T433" s="14"/>
      <c r="U433" s="14"/>
      <c r="V433" s="15">
        <v>250</v>
      </c>
    </row>
    <row r="434" spans="1:22">
      <c r="A434" s="61" t="s">
        <v>415</v>
      </c>
      <c r="B434" s="55" t="str">
        <f>IFERROR(HYPERLINK(VLOOKUP(A434,ÜRÜNLER!A:C,3,FALSE),VLOOKUP(A434,ÜRÜNLER!A:B,2,FALSE)),"")</f>
        <v>Siemens Trifaze Ani Su Isıtıcı</v>
      </c>
      <c r="C434" s="8"/>
      <c r="D434" s="8"/>
      <c r="E434" s="9"/>
      <c r="F434" s="9">
        <v>1</v>
      </c>
      <c r="G434" s="10"/>
      <c r="H434" s="10"/>
      <c r="I434" s="11"/>
      <c r="J434" s="11"/>
      <c r="K434" s="10"/>
      <c r="L434" s="10"/>
      <c r="M434" s="11"/>
      <c r="N434" s="12">
        <f t="shared" si="14"/>
        <v>1</v>
      </c>
      <c r="O434" s="9"/>
      <c r="P434" s="174"/>
      <c r="R434" s="20">
        <v>49999</v>
      </c>
      <c r="S434" s="13">
        <v>51998.96</v>
      </c>
      <c r="T434" s="14"/>
      <c r="U434" s="14"/>
      <c r="V434" s="15">
        <v>250</v>
      </c>
    </row>
    <row r="435" spans="1:22">
      <c r="A435" s="61" t="s">
        <v>421</v>
      </c>
      <c r="B435" s="55" t="str">
        <f>IFERROR(HYPERLINK(VLOOKUP(A435,ÜRÜNLER!A:C,3,FALSE),VLOOKUP(A435,ÜRÜNLER!A:B,2,FALSE)),"")</f>
        <v>Siemens Çay Makinesi</v>
      </c>
      <c r="C435" s="8"/>
      <c r="D435" s="8"/>
      <c r="E435" s="9"/>
      <c r="F435" s="9"/>
      <c r="G435" s="10"/>
      <c r="H435" s="10"/>
      <c r="I435" s="11">
        <v>3</v>
      </c>
      <c r="J435" s="11">
        <v>1</v>
      </c>
      <c r="K435" s="10">
        <v>1</v>
      </c>
      <c r="L435" s="10"/>
      <c r="M435" s="11">
        <v>1</v>
      </c>
      <c r="N435" s="12">
        <f t="shared" si="14"/>
        <v>6</v>
      </c>
      <c r="O435" s="9"/>
      <c r="P435" s="174"/>
      <c r="R435" s="20">
        <v>3999</v>
      </c>
      <c r="S435" s="13">
        <v>4158.96</v>
      </c>
      <c r="T435" s="14"/>
      <c r="U435" s="14"/>
      <c r="V435" s="15">
        <v>50</v>
      </c>
    </row>
    <row r="436" spans="1:22">
      <c r="A436" s="61" t="s">
        <v>422</v>
      </c>
      <c r="B436" s="55" t="str">
        <f>IFERROR(HYPERLINK(VLOOKUP(A436,ÜRÜNLER!A:C,3,FALSE),VLOOKUP(A436,ÜRÜNLER!A:B,2,FALSE)),"")</f>
        <v>Siemens Filtre Kahve Makinesi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2">
        <f t="shared" si="14"/>
        <v>1</v>
      </c>
      <c r="O436" s="9"/>
      <c r="P436" s="174"/>
      <c r="R436" s="20">
        <v>4999</v>
      </c>
      <c r="S436" s="13">
        <v>5198.96</v>
      </c>
      <c r="T436" s="14"/>
      <c r="U436" s="14"/>
      <c r="V436" s="15">
        <v>50</v>
      </c>
    </row>
    <row r="437" spans="1:22">
      <c r="A437" s="61" t="s">
        <v>423</v>
      </c>
      <c r="B437" s="55" t="str">
        <f>IFERROR(HYPERLINK(VLOOKUP(A437,ÜRÜNLER!A:C,3,FALSE),VLOOKUP(A437,ÜRÜNLER!A:B,2,FALSE)),"")</f>
        <v>Siemens El Blenderı ergonomicEdition, 600w, Beyaz/Mavi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12">
        <f t="shared" si="14"/>
        <v>2</v>
      </c>
      <c r="O437" s="9"/>
      <c r="P437" s="174"/>
      <c r="R437" s="20">
        <v>1999</v>
      </c>
      <c r="S437" s="13">
        <v>2078.96</v>
      </c>
      <c r="T437" s="14"/>
      <c r="U437" s="14"/>
      <c r="V437" s="15">
        <v>50</v>
      </c>
    </row>
    <row r="438" spans="1:22">
      <c r="A438" s="61" t="s">
        <v>424</v>
      </c>
      <c r="B438" s="55" t="str">
        <f>IFERROR(HYPERLINK(VLOOKUP(A438,ÜRÜNLER!A:C,3,FALSE),VLOOKUP(A438,ÜRÜNLER!A:B,2,FALSE)),"")</f>
        <v>Siemens El Blenderı, 600w, Beyaz/Mavi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12">
        <f t="shared" si="14"/>
        <v>1</v>
      </c>
      <c r="O438" s="9"/>
      <c r="P438" s="174"/>
      <c r="R438" s="20">
        <v>2499</v>
      </c>
      <c r="S438" s="13">
        <v>2598.96</v>
      </c>
      <c r="T438" s="14"/>
      <c r="U438" s="14"/>
      <c r="V438" s="15">
        <v>50</v>
      </c>
    </row>
    <row r="439" spans="1:22">
      <c r="A439" s="61" t="s">
        <v>425</v>
      </c>
      <c r="B439" s="55" t="str">
        <f>IFERROR(HYPERLINK(VLOOKUP(A439,ÜRÜNLER!A:C,3,FALSE),VLOOKUP(A439,ÜRÜNLER!A:B,2,FALSE)),"")</f>
        <v>Siemens El Blenderı FQ.1, 750w, Siyah/Gri</v>
      </c>
      <c r="C439" s="8"/>
      <c r="D439" s="8"/>
      <c r="E439" s="9"/>
      <c r="F439" s="9"/>
      <c r="G439" s="10"/>
      <c r="H439" s="10"/>
      <c r="I439" s="11">
        <v>2</v>
      </c>
      <c r="J439" s="11"/>
      <c r="K439" s="10"/>
      <c r="L439" s="10"/>
      <c r="M439" s="11"/>
      <c r="N439" s="12">
        <f t="shared" si="14"/>
        <v>2</v>
      </c>
      <c r="O439" s="9"/>
      <c r="P439" s="174"/>
      <c r="R439" s="20">
        <v>1999</v>
      </c>
      <c r="S439" s="13">
        <v>2078.96</v>
      </c>
      <c r="T439" s="14"/>
      <c r="U439" s="14"/>
      <c r="V439" s="15">
        <v>50</v>
      </c>
    </row>
    <row r="440" spans="1:22">
      <c r="A440" s="61" t="s">
        <v>427</v>
      </c>
      <c r="B440" s="55" t="str">
        <f>IFERROR(HYPERLINK(VLOOKUP(A440,ÜRÜNLER!A:C,3,FALSE),VLOOKUP(A440,ÜRÜNLER!A:B,2,FALSE)),"")</f>
        <v>Siemens El Mikseri, 450w, Beyaz/Antrasit</v>
      </c>
      <c r="C440" s="8"/>
      <c r="D440" s="8"/>
      <c r="E440" s="9"/>
      <c r="F440" s="9"/>
      <c r="G440" s="10"/>
      <c r="H440" s="10"/>
      <c r="I440" s="11">
        <v>1</v>
      </c>
      <c r="J440" s="11"/>
      <c r="K440" s="10"/>
      <c r="L440" s="10"/>
      <c r="M440" s="11"/>
      <c r="N440" s="12">
        <f t="shared" si="14"/>
        <v>1</v>
      </c>
      <c r="O440" s="9"/>
      <c r="P440" s="174"/>
      <c r="R440" s="20">
        <v>999</v>
      </c>
      <c r="S440" s="13">
        <v>1038.96</v>
      </c>
      <c r="T440" s="14"/>
      <c r="U440" s="14"/>
      <c r="V440" s="15">
        <v>50</v>
      </c>
    </row>
    <row r="441" spans="1:22">
      <c r="A441" s="61" t="s">
        <v>428</v>
      </c>
      <c r="B441" s="55" t="str">
        <f>IFERROR(HYPERLINK(VLOOKUP(A441,ÜRÜNLER!A:C,3,FALSE),VLOOKUP(A441,ÜRÜNLER!A:B,2,FALSE)),"")</f>
        <v>Siemens El Mikseri, 450w, Beyaz/Mavi</v>
      </c>
      <c r="C441" s="8"/>
      <c r="D441" s="8"/>
      <c r="E441" s="9"/>
      <c r="F441" s="9"/>
      <c r="G441" s="10"/>
      <c r="H441" s="10"/>
      <c r="I441" s="11">
        <v>1</v>
      </c>
      <c r="J441" s="11"/>
      <c r="K441" s="10"/>
      <c r="L441" s="10"/>
      <c r="M441" s="11"/>
      <c r="N441" s="12">
        <f t="shared" si="14"/>
        <v>1</v>
      </c>
      <c r="O441" s="9"/>
      <c r="P441" s="174"/>
      <c r="R441" s="20">
        <v>1499</v>
      </c>
      <c r="S441" s="13">
        <v>1558.96</v>
      </c>
      <c r="T441" s="14"/>
      <c r="U441" s="14"/>
      <c r="V441" s="15">
        <v>50</v>
      </c>
    </row>
    <row r="442" spans="1:22">
      <c r="A442" s="61" t="s">
        <v>429</v>
      </c>
      <c r="B442" s="55" t="str">
        <f>IFERROR(HYPERLINK(VLOOKUP(A442,ÜRÜNLER!A:C,3,FALSE),VLOOKUP(A442,ÜRÜNLER!A:B,2,FALSE)),"")</f>
        <v>El Mikser Seti, 500w, Siyah</v>
      </c>
      <c r="C442" s="8"/>
      <c r="D442" s="8"/>
      <c r="E442" s="9"/>
      <c r="F442" s="9"/>
      <c r="G442" s="10"/>
      <c r="H442" s="10"/>
      <c r="I442" s="11">
        <v>3</v>
      </c>
      <c r="J442" s="11"/>
      <c r="K442" s="10"/>
      <c r="L442" s="10"/>
      <c r="M442" s="11"/>
      <c r="N442" s="12">
        <f t="shared" si="14"/>
        <v>3</v>
      </c>
      <c r="O442" s="9"/>
      <c r="P442" s="174"/>
      <c r="R442" s="20">
        <v>2999</v>
      </c>
      <c r="S442" s="13">
        <v>3118.96</v>
      </c>
      <c r="T442" s="14"/>
      <c r="U442" s="14"/>
      <c r="V442" s="15">
        <v>50</v>
      </c>
    </row>
    <row r="443" spans="1:22">
      <c r="A443" s="61" t="s">
        <v>431</v>
      </c>
      <c r="B443" s="55" t="str">
        <f>IFERROR(HYPERLINK(VLOOKUP(A443,ÜRÜNLER!A:C,3,FALSE),VLOOKUP(A443,ÜRÜNLER!A:B,2,FALSE)),"")</f>
        <v>Siemens Ekmek Kızartma Makinesi, 860w, Siyah/Inox</v>
      </c>
      <c r="C443" s="8"/>
      <c r="D443" s="8"/>
      <c r="E443" s="9"/>
      <c r="F443" s="9"/>
      <c r="G443" s="10"/>
      <c r="H443" s="10"/>
      <c r="I443" s="11">
        <v>2</v>
      </c>
      <c r="J443" s="11"/>
      <c r="K443" s="10"/>
      <c r="L443" s="10"/>
      <c r="M443" s="11"/>
      <c r="N443" s="12">
        <f t="shared" si="14"/>
        <v>2</v>
      </c>
      <c r="O443" s="9"/>
      <c r="P443" s="174"/>
      <c r="R443" s="20">
        <v>2999</v>
      </c>
      <c r="S443" s="13">
        <v>3118.96</v>
      </c>
      <c r="T443" s="14"/>
      <c r="U443" s="14"/>
      <c r="V443" s="15">
        <v>50</v>
      </c>
    </row>
    <row r="444" spans="1:22">
      <c r="A444" s="62" t="s">
        <v>432</v>
      </c>
      <c r="B444" s="55" t="str">
        <f>IFERROR(HYPERLINK(VLOOKUP(A444,ÜRÜNLER!A:C,3,FALSE),VLOOKUP(A444,ÜRÜNLER!A:B,2,FALSE)),"")</f>
        <v>Siemens Kettle series300 Su Isıtıcı, 1.7L, Siyah</v>
      </c>
      <c r="C444" s="8"/>
      <c r="D444" s="8"/>
      <c r="E444" s="9"/>
      <c r="F444" s="9"/>
      <c r="G444" s="10"/>
      <c r="H444" s="10"/>
      <c r="I444" s="11"/>
      <c r="J444" s="11"/>
      <c r="K444" s="10"/>
      <c r="L444" s="10"/>
      <c r="M444" s="11"/>
      <c r="N444" s="12">
        <f t="shared" si="14"/>
        <v>0</v>
      </c>
      <c r="O444" s="9"/>
      <c r="P444" s="174"/>
      <c r="R444" s="20">
        <v>1499</v>
      </c>
      <c r="S444" s="13">
        <v>1558.96</v>
      </c>
      <c r="T444" s="14"/>
      <c r="U444" s="14"/>
      <c r="V444" s="15">
        <v>50</v>
      </c>
    </row>
    <row r="445" spans="1:22">
      <c r="A445" s="61" t="s">
        <v>433</v>
      </c>
      <c r="B445" s="55" t="str">
        <f>IFERROR(HYPERLINK(VLOOKUP(A445,ÜRÜNLER!A:C,3,FALSE),VLOOKUP(A445,ÜRÜNLER!A:B,2,FALSE)),"")</f>
        <v>Siemens Buzdolabı Kulpu 79cm, Inox</v>
      </c>
      <c r="C445" s="8">
        <v>1</v>
      </c>
      <c r="D445" s="8"/>
      <c r="E445" s="9"/>
      <c r="F445" s="9"/>
      <c r="G445" s="10"/>
      <c r="H445" s="10"/>
      <c r="I445" s="11"/>
      <c r="J445" s="11"/>
      <c r="K445" s="10">
        <v>4</v>
      </c>
      <c r="L445" s="10"/>
      <c r="M445" s="11"/>
      <c r="N445" s="12">
        <f t="shared" si="14"/>
        <v>5</v>
      </c>
      <c r="O445" s="9"/>
      <c r="P445" s="174"/>
      <c r="R445" s="20">
        <v>24999</v>
      </c>
      <c r="S445" s="13">
        <v>25998.959999999999</v>
      </c>
      <c r="T445" s="14"/>
      <c r="U445" s="14"/>
      <c r="V445" s="15">
        <v>250</v>
      </c>
    </row>
    <row r="446" spans="1:22">
      <c r="A446" s="61" t="s">
        <v>434</v>
      </c>
      <c r="B446" s="55" t="str">
        <f>IFERROR(HYPERLINK(VLOOKUP(A446,ÜRÜNLER!A:C,3,FALSE),VLOOKUP(A446,ÜRÜNLER!A:B,2,FALSE)),"")</f>
        <v>Siemens Buzdolabı Kulpu</v>
      </c>
      <c r="C446" s="8"/>
      <c r="D446" s="8"/>
      <c r="E446" s="9"/>
      <c r="F446" s="9"/>
      <c r="G446" s="10"/>
      <c r="H446" s="10"/>
      <c r="I446" s="11"/>
      <c r="J446" s="11">
        <v>1</v>
      </c>
      <c r="K446" s="10">
        <v>1</v>
      </c>
      <c r="L446" s="10"/>
      <c r="M446" s="11"/>
      <c r="N446" s="12">
        <f t="shared" si="14"/>
        <v>2</v>
      </c>
      <c r="O446" s="9"/>
      <c r="P446" s="174"/>
      <c r="R446" s="20">
        <v>6148.9750000000004</v>
      </c>
      <c r="S446" s="13">
        <v>6394.9340000000002</v>
      </c>
      <c r="T446" s="14"/>
      <c r="U446" s="14"/>
      <c r="V446" s="15">
        <v>250</v>
      </c>
    </row>
    <row r="447" spans="1:22">
      <c r="A447" s="61" t="s">
        <v>435</v>
      </c>
      <c r="B447" s="55" t="str">
        <f>IFERROR(HYPERLINK(VLOOKUP(A447,ÜRÜNLER!A:C,3,FALSE),VLOOKUP(A447,ÜRÜNLER!A:B,2,FALSE)),"")</f>
        <v>Siemens Buzdolabı Kulpu</v>
      </c>
      <c r="C447" s="8">
        <v>5</v>
      </c>
      <c r="D447" s="8">
        <v>4</v>
      </c>
      <c r="E447" s="9"/>
      <c r="F447" s="9"/>
      <c r="G447" s="10"/>
      <c r="H447" s="10"/>
      <c r="I447" s="11"/>
      <c r="J447" s="11"/>
      <c r="K447" s="10"/>
      <c r="L447" s="10"/>
      <c r="M447" s="11"/>
      <c r="N447" s="12">
        <f t="shared" si="14"/>
        <v>9</v>
      </c>
      <c r="O447" s="9"/>
      <c r="P447" s="174" t="s">
        <v>1586</v>
      </c>
      <c r="Q447" s="56">
        <v>8867.3785891660682</v>
      </c>
      <c r="R447" s="26">
        <v>8867.3785891660682</v>
      </c>
      <c r="S447" s="13">
        <v>9222.0737327327115</v>
      </c>
      <c r="T447" s="14"/>
      <c r="U447" s="14"/>
      <c r="V447" s="15">
        <v>250</v>
      </c>
    </row>
    <row r="448" spans="1:22">
      <c r="A448" s="61" t="s">
        <v>436</v>
      </c>
      <c r="B448" s="55" t="str">
        <f>IFERROR(HYPERLINK(VLOOKUP(A448,ÜRÜNLER!A:C,3,FALSE),VLOOKUP(A448,ÜRÜNLER!A:B,2,FALSE)),"")</f>
        <v>Siemens studioLine Buzdolabı Kulpu</v>
      </c>
      <c r="C448" s="8"/>
      <c r="D448" s="8">
        <v>4</v>
      </c>
      <c r="E448" s="9"/>
      <c r="F448" s="9"/>
      <c r="G448" s="10"/>
      <c r="H448" s="10"/>
      <c r="I448" s="11"/>
      <c r="J448" s="11"/>
      <c r="K448" s="10"/>
      <c r="L448" s="10"/>
      <c r="M448" s="11"/>
      <c r="N448" s="12">
        <f t="shared" si="14"/>
        <v>4</v>
      </c>
      <c r="O448" s="9"/>
      <c r="P448" s="174" t="s">
        <v>1586</v>
      </c>
      <c r="Q448" s="56">
        <v>3521.1995943386523</v>
      </c>
      <c r="R448" s="26">
        <v>3521.1995943386523</v>
      </c>
      <c r="S448" s="13">
        <v>3662.0475781121986</v>
      </c>
      <c r="T448" s="14"/>
      <c r="U448" s="14"/>
      <c r="V448" s="15">
        <v>250</v>
      </c>
    </row>
    <row r="449" spans="1:22">
      <c r="A449" s="61" t="s">
        <v>437</v>
      </c>
      <c r="B449" s="55" t="str">
        <f>IFERROR(HYPERLINK(VLOOKUP(A449,ÜRÜNLER!A:C,3,FALSE),VLOOKUP(A449,ÜRÜNLER!A:B,2,FALSE)),"")</f>
        <v>Siemens Buzdolabı Kulpu 79cm, Inox</v>
      </c>
      <c r="C449" s="8">
        <v>1</v>
      </c>
      <c r="D449" s="8"/>
      <c r="E449" s="9"/>
      <c r="F449" s="9"/>
      <c r="G449" s="10"/>
      <c r="H449" s="10"/>
      <c r="I449" s="11"/>
      <c r="J449" s="11"/>
      <c r="K449" s="10"/>
      <c r="L449" s="10"/>
      <c r="M449" s="11"/>
      <c r="N449" s="12">
        <f t="shared" si="14"/>
        <v>1</v>
      </c>
      <c r="O449" s="9"/>
      <c r="P449" s="174" t="s">
        <v>1586</v>
      </c>
      <c r="Q449" s="56">
        <v>2510.3949651838452</v>
      </c>
      <c r="R449" s="20">
        <v>2437</v>
      </c>
      <c r="S449" s="13">
        <v>2534.48</v>
      </c>
      <c r="T449" s="14"/>
      <c r="U449" s="14"/>
      <c r="V449" s="15">
        <v>250</v>
      </c>
    </row>
    <row r="450" spans="1:22">
      <c r="A450" s="62" t="s">
        <v>438</v>
      </c>
      <c r="B450" s="55" t="str">
        <f>IFERROR(HYPERLINK(VLOOKUP(A450,ÜRÜNLER!A:C,3,FALSE),VLOOKUP(A450,ÜRÜNLER!A:B,2,FALSE)),"")</f>
        <v>Siemens studioLine Buzdolabı Kapı Paneli, 202.9x60.3cm</v>
      </c>
      <c r="C450" s="8"/>
      <c r="D450" s="8">
        <v>2</v>
      </c>
      <c r="E450" s="9"/>
      <c r="F450" s="9"/>
      <c r="G450" s="10"/>
      <c r="H450" s="10"/>
      <c r="I450" s="11"/>
      <c r="J450" s="11"/>
      <c r="K450" s="10">
        <v>1</v>
      </c>
      <c r="L450" s="10"/>
      <c r="M450" s="11"/>
      <c r="N450" s="12">
        <f t="shared" si="14"/>
        <v>3</v>
      </c>
      <c r="O450" s="9"/>
      <c r="P450" s="174" t="s">
        <v>1586</v>
      </c>
      <c r="Q450" s="56">
        <v>6515.7970471358785</v>
      </c>
      <c r="R450" s="26">
        <v>6515.7970471358785</v>
      </c>
      <c r="S450" s="13">
        <v>6776.4289290213137</v>
      </c>
      <c r="T450" s="14"/>
      <c r="U450" s="14"/>
      <c r="V450" s="15">
        <v>250</v>
      </c>
    </row>
    <row r="451" spans="1:22">
      <c r="A451" s="62" t="s">
        <v>439</v>
      </c>
      <c r="B451" s="55" t="str">
        <f>IFERROR(HYPERLINK(VLOOKUP(A451,ÜRÜNLER!A:C,3,FALSE),VLOOKUP(A451,ÜRÜNLER!A:B,2,FALSE)),"")</f>
        <v>Siemens Buzdolabı Kapı Paneli, 202.9x75.6cm</v>
      </c>
      <c r="C451" s="8">
        <v>4</v>
      </c>
      <c r="D451" s="8">
        <v>2</v>
      </c>
      <c r="E451" s="9"/>
      <c r="F451" s="9"/>
      <c r="G451" s="10"/>
      <c r="H451" s="10"/>
      <c r="I451" s="11"/>
      <c r="J451" s="11"/>
      <c r="K451" s="10">
        <v>1</v>
      </c>
      <c r="L451" s="10"/>
      <c r="M451" s="11"/>
      <c r="N451" s="12">
        <f t="shared" si="14"/>
        <v>7</v>
      </c>
      <c r="O451" s="9"/>
      <c r="P451" s="174" t="s">
        <v>1586</v>
      </c>
      <c r="Q451" s="56">
        <v>12864.686900934046</v>
      </c>
      <c r="R451" s="26">
        <v>12864.686900934046</v>
      </c>
      <c r="S451" s="13">
        <v>13379.274376971409</v>
      </c>
      <c r="T451" s="14"/>
      <c r="U451" s="14"/>
      <c r="V451" s="15">
        <v>250</v>
      </c>
    </row>
    <row r="452" spans="1:22">
      <c r="A452" s="61" t="s">
        <v>440</v>
      </c>
      <c r="B452" s="55" t="str">
        <f>IFERROR(HYPERLINK(VLOOKUP(A452,ÜRÜNLER!A:C,3,FALSE),VLOOKUP(A452,ÜRÜNLER!A:B,2,FALSE)),"")</f>
        <v>Siemens Buzdolabı Kapı Paneli, 202.9x90.8cm</v>
      </c>
      <c r="C452" s="8">
        <v>5</v>
      </c>
      <c r="D452" s="8">
        <v>2</v>
      </c>
      <c r="E452" s="9"/>
      <c r="F452" s="9"/>
      <c r="G452" s="10"/>
      <c r="H452" s="10"/>
      <c r="I452" s="11"/>
      <c r="J452" s="11">
        <v>1</v>
      </c>
      <c r="K452" s="10">
        <v>1</v>
      </c>
      <c r="L452" s="10"/>
      <c r="M452" s="11"/>
      <c r="N452" s="12">
        <f t="shared" si="14"/>
        <v>9</v>
      </c>
      <c r="O452" s="9"/>
      <c r="P452" s="174" t="s">
        <v>1586</v>
      </c>
      <c r="Q452" s="56">
        <v>18868.450592859805</v>
      </c>
      <c r="R452" s="26">
        <v>18868.450592859805</v>
      </c>
      <c r="S452" s="13">
        <v>19623.188616574196</v>
      </c>
      <c r="T452" s="14"/>
      <c r="U452" s="14"/>
      <c r="V452" s="15">
        <v>250</v>
      </c>
    </row>
    <row r="453" spans="1:22">
      <c r="A453" s="61" t="s">
        <v>441</v>
      </c>
      <c r="B453" s="55" t="str">
        <f>IFERROR(HYPERLINK(VLOOKUP(A453,ÜRÜNLER!A:C,3,FALSE),VLOOKUP(A453,ÜRÜNLER!A:B,2,FALSE)),"")</f>
        <v>Siemens Buzdolabı Bağlantı Seti</v>
      </c>
      <c r="C453" s="8">
        <v>4</v>
      </c>
      <c r="D453" s="8"/>
      <c r="E453" s="9"/>
      <c r="F453" s="9"/>
      <c r="G453" s="10"/>
      <c r="H453" s="10"/>
      <c r="I453" s="11"/>
      <c r="J453" s="11"/>
      <c r="K453" s="10"/>
      <c r="L453" s="10"/>
      <c r="M453" s="11"/>
      <c r="N453" s="12">
        <f t="shared" si="14"/>
        <v>4</v>
      </c>
      <c r="O453" s="9"/>
      <c r="P453" s="174" t="s">
        <v>1586</v>
      </c>
      <c r="R453" s="38"/>
      <c r="S453" s="13"/>
      <c r="T453" s="14"/>
      <c r="U453" s="14"/>
      <c r="V453" s="15"/>
    </row>
    <row r="454" spans="1:22">
      <c r="A454" s="61" t="s">
        <v>442</v>
      </c>
      <c r="B454" s="55" t="str">
        <f>IFERROR(HYPERLINK(VLOOKUP(A454,ÜRÜNLER!A:C,3,FALSE),VLOOKUP(A454,ÜRÜNLER!A:B,2,FALSE)),"")</f>
        <v>Siemens Buzdolabı Bağlantı Seti</v>
      </c>
      <c r="C454" s="8">
        <v>2</v>
      </c>
      <c r="D454" s="8">
        <v>2</v>
      </c>
      <c r="E454" s="9"/>
      <c r="F454" s="9"/>
      <c r="G454" s="10"/>
      <c r="H454" s="10">
        <v>2</v>
      </c>
      <c r="I454" s="11"/>
      <c r="J454" s="11"/>
      <c r="K454" s="10"/>
      <c r="L454" s="10"/>
      <c r="M454" s="11"/>
      <c r="N454" s="12">
        <f t="shared" si="14"/>
        <v>6</v>
      </c>
      <c r="O454" s="9"/>
      <c r="P454" s="174" t="s">
        <v>1586</v>
      </c>
      <c r="Q454" s="107" t="s">
        <v>1335</v>
      </c>
      <c r="R454" s="16">
        <v>6000</v>
      </c>
      <c r="S454" s="13">
        <v>6240</v>
      </c>
      <c r="T454" s="14"/>
      <c r="U454" s="14"/>
      <c r="V454" s="15">
        <v>250</v>
      </c>
    </row>
    <row r="455" spans="1:22">
      <c r="A455" s="61" t="s">
        <v>443</v>
      </c>
      <c r="B455" s="55" t="str">
        <f>IFERROR(HYPERLINK(VLOOKUP(A455,ÜRÜNLER!A:C,3,FALSE),VLOOKUP(A455,ÜRÜNLER!A:B,2,FALSE)),"")</f>
        <v>Siemens studioLine Buzdolabı Çekmecesi</v>
      </c>
      <c r="C455" s="8"/>
      <c r="D455" s="8">
        <v>1</v>
      </c>
      <c r="E455" s="9"/>
      <c r="F455" s="9"/>
      <c r="G455" s="10"/>
      <c r="H455" s="10"/>
      <c r="I455" s="11"/>
      <c r="J455" s="11"/>
      <c r="K455" s="10"/>
      <c r="L455" s="10"/>
      <c r="M455" s="11"/>
      <c r="N455" s="12">
        <f t="shared" si="14"/>
        <v>1</v>
      </c>
      <c r="O455" s="9"/>
      <c r="P455" s="174" t="s">
        <v>1586</v>
      </c>
      <c r="Q455" s="56">
        <v>2251.7843805077478</v>
      </c>
      <c r="R455" s="26">
        <v>2251.7843805077478</v>
      </c>
      <c r="S455" s="13">
        <v>2330.5968338255188</v>
      </c>
      <c r="T455" s="14"/>
      <c r="U455" s="14"/>
      <c r="V455" s="15">
        <v>250</v>
      </c>
    </row>
    <row r="456" spans="1:22">
      <c r="A456" s="61" t="s">
        <v>444</v>
      </c>
      <c r="B456" s="55" t="str">
        <f>IFERROR(HYPERLINK(VLOOKUP(A456,ÜRÜNLER!A:C,3,FALSE),VLOOKUP(A456,ÜRÜNLER!A:B,2,FALSE)),"")</f>
        <v>Siemens studioLine 36'' Buzdolabı Kapı Paneli, Paslanmaz Çelik, 3 Kapı</v>
      </c>
      <c r="C456" s="8"/>
      <c r="D456" s="8">
        <v>1</v>
      </c>
      <c r="E456" s="9"/>
      <c r="F456" s="9"/>
      <c r="G456" s="10"/>
      <c r="H456" s="10"/>
      <c r="I456" s="11"/>
      <c r="J456" s="11"/>
      <c r="K456" s="10"/>
      <c r="L456" s="10"/>
      <c r="M456" s="11"/>
      <c r="N456" s="12">
        <f t="shared" si="14"/>
        <v>1</v>
      </c>
      <c r="O456" s="9"/>
      <c r="P456" s="174" t="s">
        <v>1586</v>
      </c>
      <c r="Q456" s="56">
        <v>10600.401058527552</v>
      </c>
      <c r="R456" s="26">
        <v>10600.401058527552</v>
      </c>
      <c r="S456" s="13">
        <v>10971.415095576016</v>
      </c>
      <c r="T456" s="14"/>
      <c r="U456" s="14"/>
      <c r="V456" s="15">
        <v>250</v>
      </c>
    </row>
    <row r="457" spans="1:22" ht="32.25" customHeight="1">
      <c r="A457" s="33" t="s">
        <v>445</v>
      </c>
      <c r="B457" s="55" t="str">
        <f>IFERROR(HYPERLINK(VLOOKUP(A457,ÜRÜNLER!A:C,3,FALSE),VLOOKUP(A457,ÜRÜNLER!A:B,2,FALSE)),"")</f>
        <v/>
      </c>
      <c r="C457" s="8"/>
      <c r="D457" s="8"/>
      <c r="E457" s="9"/>
      <c r="F457" s="9"/>
      <c r="G457" s="10"/>
      <c r="H457" s="10"/>
      <c r="I457" s="11"/>
      <c r="J457" s="11"/>
      <c r="K457" s="10"/>
      <c r="L457" s="10"/>
      <c r="M457" s="11"/>
      <c r="N457" s="12">
        <f t="shared" si="14"/>
        <v>0</v>
      </c>
      <c r="O457" s="9"/>
      <c r="P457" s="174"/>
      <c r="R457" s="39"/>
      <c r="S457" s="13"/>
      <c r="T457" s="14"/>
      <c r="U457" s="14"/>
      <c r="V457" s="15"/>
    </row>
    <row r="458" spans="1:22">
      <c r="A458" s="60" t="s">
        <v>446</v>
      </c>
      <c r="B458" s="55" t="str">
        <f>IFERROR(HYPERLINK(VLOOKUP(A458,ÜRÜNLER!A:C,3,FALSE),VLOOKUP(A458,ÜRÜNLER!A:B,2,FALSE)),"")</f>
        <v>Siemens Ev Tipi Klima İç Ünite, 9.000BTU, Beyaz</v>
      </c>
      <c r="C458" s="8">
        <v>5</v>
      </c>
      <c r="D458" s="8"/>
      <c r="E458" s="9"/>
      <c r="F458" s="9"/>
      <c r="G458" s="10"/>
      <c r="H458" s="10"/>
      <c r="I458" s="11">
        <v>1</v>
      </c>
      <c r="J458" s="11"/>
      <c r="K458" s="10"/>
      <c r="L458" s="10"/>
      <c r="M458" s="11"/>
      <c r="N458" s="12">
        <f t="shared" si="14"/>
        <v>6</v>
      </c>
      <c r="O458" s="9"/>
      <c r="P458" s="174" t="s">
        <v>1586</v>
      </c>
      <c r="Q458" s="56">
        <v>16020.74074189603</v>
      </c>
      <c r="R458" s="51">
        <v>16180.948149314991</v>
      </c>
      <c r="S458" s="13">
        <v>16747.281334541014</v>
      </c>
      <c r="T458" s="14"/>
      <c r="U458" s="14"/>
      <c r="V458" s="15">
        <v>250</v>
      </c>
    </row>
    <row r="459" spans="1:22">
      <c r="A459" s="60" t="s">
        <v>447</v>
      </c>
      <c r="B459" s="55" t="str">
        <f>IFERROR(HYPERLINK(VLOOKUP(A459,ÜRÜNLER!A:C,3,FALSE),VLOOKUP(A459,ÜRÜNLER!A:B,2,FALSE)),"")</f>
        <v>Siemens Ev Tipi Klima Dış Ünite, 9.000BTU, Beyaz</v>
      </c>
      <c r="C459" s="8">
        <v>6</v>
      </c>
      <c r="D459" s="8"/>
      <c r="E459" s="9"/>
      <c r="F459" s="9"/>
      <c r="G459" s="10"/>
      <c r="H459" s="10"/>
      <c r="I459" s="11"/>
      <c r="J459" s="11"/>
      <c r="K459" s="10"/>
      <c r="L459" s="10"/>
      <c r="M459" s="11"/>
      <c r="N459" s="12">
        <f t="shared" si="14"/>
        <v>6</v>
      </c>
      <c r="O459" s="9"/>
      <c r="P459" s="174" t="s">
        <v>1586</v>
      </c>
      <c r="Q459" s="56">
        <v>24031.111112844046</v>
      </c>
      <c r="R459" s="51">
        <v>24271.422223972488</v>
      </c>
      <c r="S459" s="13">
        <v>25120.922001811527</v>
      </c>
      <c r="T459" s="14"/>
      <c r="U459" s="14"/>
      <c r="V459" s="15"/>
    </row>
    <row r="460" spans="1:22">
      <c r="A460" s="132" t="s">
        <v>448</v>
      </c>
      <c r="B460" s="55" t="str">
        <f>IFERROR(HYPERLINK(VLOOKUP(A460,ÜRÜNLER!A:C,3,FALSE),VLOOKUP(A460,ÜRÜNLER!A:B,2,FALSE)),"")</f>
        <v>Siemens Ev Tipi Klima İç Ünite, 12.000BTU, Beyaz</v>
      </c>
      <c r="C460" s="8"/>
      <c r="D460" s="8"/>
      <c r="E460" s="9"/>
      <c r="F460" s="9"/>
      <c r="G460" s="10"/>
      <c r="H460" s="10"/>
      <c r="I460" s="11"/>
      <c r="J460" s="11"/>
      <c r="K460" s="10">
        <v>2</v>
      </c>
      <c r="L460" s="10"/>
      <c r="M460" s="11"/>
      <c r="N460" s="12">
        <f t="shared" si="14"/>
        <v>2</v>
      </c>
      <c r="O460" s="182"/>
      <c r="P460" s="183" t="s">
        <v>1586</v>
      </c>
      <c r="Q460" s="133"/>
      <c r="R460" s="134">
        <v>13000</v>
      </c>
      <c r="S460" s="135">
        <v>13455</v>
      </c>
      <c r="T460" s="14"/>
      <c r="U460" s="14"/>
      <c r="V460" s="15">
        <v>250</v>
      </c>
    </row>
    <row r="461" spans="1:22">
      <c r="A461" s="132" t="s">
        <v>449</v>
      </c>
      <c r="B461" s="55" t="str">
        <f>IFERROR(HYPERLINK(VLOOKUP(A461,ÜRÜNLER!A:C,3,FALSE),VLOOKUP(A461,ÜRÜNLER!A:B,2,FALSE)),"")</f>
        <v>Siemens Ev Tipi Klima Dış Ünite, 12.000BTU, Beyaz</v>
      </c>
      <c r="C461" s="8">
        <v>1</v>
      </c>
      <c r="D461" s="8"/>
      <c r="E461" s="9"/>
      <c r="F461" s="9"/>
      <c r="G461" s="10"/>
      <c r="H461" s="10"/>
      <c r="I461" s="11"/>
      <c r="J461" s="11"/>
      <c r="K461" s="10">
        <v>1</v>
      </c>
      <c r="L461" s="10"/>
      <c r="M461" s="11"/>
      <c r="N461" s="12">
        <f t="shared" si="14"/>
        <v>2</v>
      </c>
      <c r="O461" s="182"/>
      <c r="P461" s="183" t="s">
        <v>1586</v>
      </c>
      <c r="Q461" s="133"/>
      <c r="R461" s="134">
        <v>18000</v>
      </c>
      <c r="S461" s="135">
        <v>18630</v>
      </c>
      <c r="T461" s="14"/>
      <c r="U461" s="14"/>
      <c r="V461" s="15"/>
    </row>
    <row r="462" spans="1:22">
      <c r="A462" s="91" t="s">
        <v>450</v>
      </c>
      <c r="B462" s="55" t="str">
        <f>IFERROR(HYPERLINK(VLOOKUP(A462,ÜRÜNLER!A:C,3,FALSE),VLOOKUP(A462,ÜRÜNLER!A:B,2,FALSE)),"")</f>
        <v>Siemens Ev Tipi Klima İç Ünite, 12.000BTU, Beyaz</v>
      </c>
      <c r="C462" s="8">
        <v>1</v>
      </c>
      <c r="D462" s="8"/>
      <c r="E462" s="9"/>
      <c r="F462" s="9">
        <v>1</v>
      </c>
      <c r="G462" s="10"/>
      <c r="H462" s="10"/>
      <c r="I462" s="11">
        <v>1</v>
      </c>
      <c r="J462" s="11"/>
      <c r="K462" s="10"/>
      <c r="L462" s="10"/>
      <c r="M462" s="11"/>
      <c r="N462" s="12">
        <f t="shared" si="14"/>
        <v>3</v>
      </c>
      <c r="O462" s="9"/>
      <c r="P462" s="174" t="s">
        <v>1586</v>
      </c>
      <c r="Q462" s="56">
        <v>17599.318782707702</v>
      </c>
      <c r="R462" s="51">
        <v>17775.311970534778</v>
      </c>
      <c r="S462" s="13">
        <v>18397.447889503495</v>
      </c>
      <c r="T462" s="14"/>
      <c r="U462" s="14"/>
      <c r="V462" s="15">
        <v>250</v>
      </c>
    </row>
    <row r="463" spans="1:22">
      <c r="A463" s="91" t="s">
        <v>451</v>
      </c>
      <c r="B463" s="55" t="str">
        <f>IFERROR(HYPERLINK(VLOOKUP(A463,ÜRÜNLER!A:C,3,FALSE),VLOOKUP(A463,ÜRÜNLER!A:B,2,FALSE)),"")</f>
        <v>Siemens Ev Tipi Klima Dış Ünite, 12.000BTU, Beyaz</v>
      </c>
      <c r="C463" s="8">
        <v>1</v>
      </c>
      <c r="D463" s="8"/>
      <c r="E463" s="9"/>
      <c r="F463" s="9">
        <v>1</v>
      </c>
      <c r="G463" s="10"/>
      <c r="H463" s="10"/>
      <c r="I463" s="11"/>
      <c r="J463" s="11"/>
      <c r="K463" s="10">
        <v>1</v>
      </c>
      <c r="L463" s="10"/>
      <c r="M463" s="11"/>
      <c r="N463" s="12">
        <f t="shared" si="14"/>
        <v>3</v>
      </c>
      <c r="O463" s="9"/>
      <c r="P463" s="174" t="s">
        <v>1586</v>
      </c>
      <c r="Q463" s="56">
        <v>26398.978174061547</v>
      </c>
      <c r="R463" s="51">
        <v>26662.967955802163</v>
      </c>
      <c r="S463" s="13">
        <v>27596.171834255238</v>
      </c>
      <c r="T463" s="14"/>
      <c r="U463" s="14"/>
      <c r="V463" s="15"/>
    </row>
    <row r="464" spans="1:22">
      <c r="A464" s="155" t="s">
        <v>452</v>
      </c>
      <c r="B464" s="55" t="str">
        <f>IFERROR(HYPERLINK(VLOOKUP(A464,ÜRÜNLER!A:C,3,FALSE),VLOOKUP(A464,ÜRÜNLER!A:B,2,FALSE)),"")</f>
        <v>Siemens Ev Tipi Klima İç Ünite, 12.000BTU, Siyah</v>
      </c>
      <c r="C464" s="8">
        <v>2</v>
      </c>
      <c r="D464" s="8"/>
      <c r="E464" s="9"/>
      <c r="F464" s="9"/>
      <c r="G464" s="10"/>
      <c r="H464" s="10"/>
      <c r="I464" s="11"/>
      <c r="J464" s="11"/>
      <c r="K464" s="10"/>
      <c r="L464" s="10"/>
      <c r="M464" s="11"/>
      <c r="N464" s="12">
        <f t="shared" si="14"/>
        <v>2</v>
      </c>
      <c r="O464" s="182"/>
      <c r="P464" s="183" t="s">
        <v>1586</v>
      </c>
      <c r="Q464" s="133">
        <v>19638.932436439351</v>
      </c>
      <c r="R464" s="136">
        <v>19835.321760803745</v>
      </c>
      <c r="S464" s="135">
        <v>20529.558022431876</v>
      </c>
      <c r="T464" s="14"/>
      <c r="U464" s="14"/>
      <c r="V464" s="15">
        <v>250</v>
      </c>
    </row>
    <row r="465" spans="1:23">
      <c r="A465" s="155" t="s">
        <v>453</v>
      </c>
      <c r="B465" s="55" t="str">
        <f>IFERROR(HYPERLINK(VLOOKUP(A465,ÜRÜNLER!A:C,3,FALSE),VLOOKUP(A465,ÜRÜNLER!A:B,2,FALSE)),"")</f>
        <v>Siemens Ev Tipi Klima Dış Ünite, 12.000BTU, Beyaz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2">
        <f t="shared" si="14"/>
        <v>2</v>
      </c>
      <c r="O465" s="182"/>
      <c r="P465" s="183" t="s">
        <v>1586</v>
      </c>
      <c r="Q465" s="133">
        <v>29458.398654659028</v>
      </c>
      <c r="R465" s="136">
        <v>29752.982641205617</v>
      </c>
      <c r="S465" s="135">
        <v>30794.337033647815</v>
      </c>
      <c r="T465" s="14"/>
      <c r="U465" s="14"/>
      <c r="V465" s="15"/>
    </row>
    <row r="466" spans="1:23" s="17" customFormat="1">
      <c r="A466" s="91" t="s">
        <v>454</v>
      </c>
      <c r="B466" s="55" t="str">
        <f>IFERROR(HYPERLINK(VLOOKUP(A466,ÜRÜNLER!A:C,3,FALSE),VLOOKUP(A466,ÜRÜNLER!A:B,2,FALSE)),"")</f>
        <v>Siemens Ev Tipi Klima İç Ünite, 18.000BTU, Beyaz</v>
      </c>
      <c r="C466" s="8">
        <v>6</v>
      </c>
      <c r="D466" s="8"/>
      <c r="E466" s="9"/>
      <c r="F466" s="9"/>
      <c r="G466" s="10"/>
      <c r="H466" s="10"/>
      <c r="I466" s="11">
        <v>1</v>
      </c>
      <c r="J466" s="11"/>
      <c r="K466" s="10">
        <v>2</v>
      </c>
      <c r="L466" s="10"/>
      <c r="M466" s="11"/>
      <c r="N466" s="12">
        <f t="shared" si="14"/>
        <v>9</v>
      </c>
      <c r="O466" s="9"/>
      <c r="P466" s="184" t="s">
        <v>1586</v>
      </c>
      <c r="Q466" s="56"/>
      <c r="R466" s="20">
        <v>20000</v>
      </c>
      <c r="S466" s="13">
        <v>20700</v>
      </c>
      <c r="T466" s="14"/>
      <c r="U466" s="14"/>
      <c r="V466" s="15">
        <v>250</v>
      </c>
      <c r="W466" s="111"/>
    </row>
    <row r="467" spans="1:23" s="17" customFormat="1">
      <c r="A467" s="91" t="s">
        <v>455</v>
      </c>
      <c r="B467" s="55" t="str">
        <f>IFERROR(HYPERLINK(VLOOKUP(A467,ÜRÜNLER!A:C,3,FALSE),VLOOKUP(A467,ÜRÜNLER!A:B,2,FALSE)),"")</f>
        <v>Siemens Ev Tipi Klima Dış Ünite, 18.000BTU, Beyaz</v>
      </c>
      <c r="C467" s="8">
        <v>8</v>
      </c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12">
        <f t="shared" si="14"/>
        <v>9</v>
      </c>
      <c r="O467" s="9"/>
      <c r="P467" s="184" t="s">
        <v>1586</v>
      </c>
      <c r="Q467" s="56"/>
      <c r="R467" s="20">
        <v>34000</v>
      </c>
      <c r="S467" s="13">
        <v>35190</v>
      </c>
      <c r="T467" s="14"/>
      <c r="U467" s="14"/>
      <c r="V467" s="15"/>
      <c r="W467" s="111"/>
    </row>
    <row r="468" spans="1:23">
      <c r="A468" s="155" t="s">
        <v>456</v>
      </c>
      <c r="B468" s="55" t="str">
        <f>IFERROR(HYPERLINK(VLOOKUP(A468,ÜRÜNLER!A:C,3,FALSE),VLOOKUP(A468,ÜRÜNLER!A:B,2,FALSE)),"")</f>
        <v>Siemens Ev Tipi Klima İç Ünite, 18.000BTU, Siyah</v>
      </c>
      <c r="C468" s="8">
        <v>2</v>
      </c>
      <c r="D468" s="8"/>
      <c r="E468" s="9"/>
      <c r="F468" s="9"/>
      <c r="G468" s="10"/>
      <c r="H468" s="10"/>
      <c r="I468" s="11"/>
      <c r="J468" s="11"/>
      <c r="K468" s="10"/>
      <c r="L468" s="10"/>
      <c r="M468" s="11"/>
      <c r="N468" s="12">
        <f t="shared" ref="N468:N483" si="15">M468+L468+K468+J468+I468+H468+G468+F468+E468+D468+C468</f>
        <v>2</v>
      </c>
      <c r="O468" s="182"/>
      <c r="P468" s="183" t="s">
        <v>1586</v>
      </c>
      <c r="Q468" s="133">
        <v>27721.370472790273</v>
      </c>
      <c r="R468" s="136">
        <v>27998.584177518176</v>
      </c>
      <c r="S468" s="135">
        <v>28978.534623731313</v>
      </c>
      <c r="T468" s="14"/>
      <c r="U468" s="14"/>
      <c r="V468" s="15">
        <v>250</v>
      </c>
    </row>
    <row r="469" spans="1:23">
      <c r="A469" s="155" t="s">
        <v>457</v>
      </c>
      <c r="B469" s="55" t="str">
        <f>IFERROR(HYPERLINK(VLOOKUP(A469,ÜRÜNLER!A:C,3,FALSE),VLOOKUP(A469,ÜRÜNLER!A:B,2,FALSE)),"")</f>
        <v>Siemens Ev Tipi Klima Dış Ünite, 18.000BTU, Beyaz</v>
      </c>
      <c r="C469" s="8">
        <v>2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2">
        <f t="shared" si="15"/>
        <v>2</v>
      </c>
      <c r="O469" s="182"/>
      <c r="P469" s="183" t="s">
        <v>1586</v>
      </c>
      <c r="Q469" s="133">
        <v>41582.055709185406</v>
      </c>
      <c r="R469" s="136">
        <v>41997.876266277257</v>
      </c>
      <c r="S469" s="135">
        <v>43467.801935596959</v>
      </c>
      <c r="T469" s="14"/>
      <c r="U469" s="14"/>
      <c r="V469" s="15"/>
    </row>
    <row r="470" spans="1:23" s="17" customFormat="1">
      <c r="A470" s="61" t="s">
        <v>458</v>
      </c>
      <c r="B470" s="55" t="str">
        <f>IFERROR(HYPERLINK(VLOOKUP(A470,ÜRÜNLER!A:C,3,FALSE),VLOOKUP(A470,ÜRÜNLER!A:B,2,FALSE)),"")</f>
        <v>Siemens Ev Tipi Klima İç Ünite, 24.000BTU, Beyaz</v>
      </c>
      <c r="C470" s="8"/>
      <c r="D470" s="8"/>
      <c r="E470" s="9"/>
      <c r="F470" s="9"/>
      <c r="G470" s="10"/>
      <c r="H470" s="10"/>
      <c r="I470" s="11"/>
      <c r="J470" s="11"/>
      <c r="K470" s="10">
        <v>1</v>
      </c>
      <c r="L470" s="10"/>
      <c r="M470" s="11"/>
      <c r="N470" s="12">
        <f t="shared" si="15"/>
        <v>1</v>
      </c>
      <c r="O470" s="9"/>
      <c r="P470" s="184"/>
      <c r="Q470" s="56"/>
      <c r="R470" s="20">
        <v>24000</v>
      </c>
      <c r="S470" s="13">
        <v>24840</v>
      </c>
      <c r="T470" s="14"/>
      <c r="U470" s="14"/>
      <c r="V470" s="15">
        <v>250</v>
      </c>
      <c r="W470" s="111"/>
    </row>
    <row r="471" spans="1:23" s="17" customFormat="1">
      <c r="A471" s="61" t="s">
        <v>459</v>
      </c>
      <c r="B471" s="55" t="str">
        <f>IFERROR(HYPERLINK(VLOOKUP(A471,ÜRÜNLER!A:C,3,FALSE),VLOOKUP(A471,ÜRÜNLER!A:B,2,FALSE)),"")</f>
        <v>Siemens Ev Tipi Klima Dış Ünite, 24.000BTU, Beyaz</v>
      </c>
      <c r="C471" s="8"/>
      <c r="D471" s="8"/>
      <c r="E471" s="9"/>
      <c r="F471" s="9"/>
      <c r="G471" s="10"/>
      <c r="H471" s="10"/>
      <c r="I471" s="11"/>
      <c r="J471" s="11"/>
      <c r="K471" s="10">
        <v>1</v>
      </c>
      <c r="L471" s="10"/>
      <c r="M471" s="11"/>
      <c r="N471" s="12">
        <f t="shared" si="15"/>
        <v>1</v>
      </c>
      <c r="O471" s="9"/>
      <c r="P471" s="184"/>
      <c r="Q471" s="56"/>
      <c r="R471" s="20">
        <v>35000</v>
      </c>
      <c r="S471" s="13">
        <v>36225</v>
      </c>
      <c r="T471" s="14"/>
      <c r="U471" s="14"/>
      <c r="V471" s="15"/>
      <c r="W471" s="111"/>
    </row>
    <row r="472" spans="1:23" s="17" customFormat="1">
      <c r="A472" s="137" t="s">
        <v>1484</v>
      </c>
      <c r="B472" s="55" t="str">
        <f>IFERROR(HYPERLINK(VLOOKUP(A472,ÜRÜNLER!A:C,3,FALSE),VLOOKUP(A472,ÜRÜNLER!A:B,2,FALSE)),"")</f>
        <v>Siemens Ev Tipi Klima İç Ünite, 24.000BTU, Beyaz</v>
      </c>
      <c r="C472" s="8">
        <v>1</v>
      </c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2">
        <f t="shared" si="15"/>
        <v>1</v>
      </c>
      <c r="O472" s="182">
        <v>3</v>
      </c>
      <c r="P472" s="185"/>
      <c r="Q472" s="133">
        <v>30075.909952049711</v>
      </c>
      <c r="R472" s="136">
        <v>30376.669051570207</v>
      </c>
      <c r="S472" s="135">
        <v>31439.852468375164</v>
      </c>
      <c r="T472" s="14"/>
      <c r="U472" s="14"/>
      <c r="V472" s="15">
        <v>250</v>
      </c>
      <c r="W472" s="111"/>
    </row>
    <row r="473" spans="1:23" s="17" customFormat="1">
      <c r="A473" s="137" t="s">
        <v>1485</v>
      </c>
      <c r="B473" s="55" t="str">
        <f>IFERROR(HYPERLINK(VLOOKUP(A473,ÜRÜNLER!A:C,3,FALSE),VLOOKUP(A473,ÜRÜNLER!A:B,2,FALSE)),"")</f>
        <v>Siemens Ev Tipi Klima Dış Ünite, 24.000BTU, Beyaz</v>
      </c>
      <c r="C473" s="8">
        <v>1</v>
      </c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2">
        <f t="shared" si="15"/>
        <v>1</v>
      </c>
      <c r="O473" s="182">
        <v>3</v>
      </c>
      <c r="P473" s="185"/>
      <c r="Q473" s="133">
        <v>45113.864928074559</v>
      </c>
      <c r="R473" s="136">
        <v>45565.003577355303</v>
      </c>
      <c r="S473" s="135">
        <v>47159.77870256274</v>
      </c>
      <c r="T473" s="14"/>
      <c r="U473" s="14"/>
      <c r="V473" s="15"/>
      <c r="W473" s="111"/>
    </row>
    <row r="474" spans="1:23">
      <c r="A474" s="61" t="s">
        <v>1318</v>
      </c>
      <c r="B474" s="55" t="str">
        <f>IFERROR(HYPERLINK(VLOOKUP(A474,ÜRÜNLER!A:C,3,FALSE),VLOOKUP(A474,ÜRÜNLER!A:B,2,FALSE)),"")</f>
        <v>SHAZA Akım Korumalı Akıllı Priz (Beyaz)</v>
      </c>
      <c r="C474" s="8"/>
      <c r="D474" s="8"/>
      <c r="E474" s="9"/>
      <c r="F474" s="9"/>
      <c r="G474" s="10"/>
      <c r="H474" s="10"/>
      <c r="I474" s="11">
        <v>11</v>
      </c>
      <c r="J474" s="11">
        <v>5</v>
      </c>
      <c r="K474" s="10"/>
      <c r="L474" s="10"/>
      <c r="M474" s="11"/>
      <c r="N474" s="12">
        <f t="shared" si="15"/>
        <v>16</v>
      </c>
      <c r="O474" s="9"/>
      <c r="R474" s="16">
        <v>850</v>
      </c>
      <c r="S474" s="45">
        <v>879.75</v>
      </c>
      <c r="T474" s="14"/>
      <c r="U474" s="14"/>
    </row>
    <row r="475" spans="1:23">
      <c r="A475" s="61" t="s">
        <v>1319</v>
      </c>
      <c r="B475" s="55" t="str">
        <f>IFERROR(HYPERLINK(VLOOKUP(A475,ÜRÜNLER!A:C,3,FALSE),VLOOKUP(A475,ÜRÜNLER!A:B,2,FALSE)),"")</f>
        <v>SHAZA Akım Korumalı Üçlü Priz (Beyaz)</v>
      </c>
      <c r="C475" s="8"/>
      <c r="D475" s="8"/>
      <c r="E475" s="9"/>
      <c r="F475" s="9"/>
      <c r="G475" s="10"/>
      <c r="H475" s="10"/>
      <c r="I475" s="11">
        <v>26</v>
      </c>
      <c r="J475" s="11">
        <v>9</v>
      </c>
      <c r="K475" s="10"/>
      <c r="L475" s="10"/>
      <c r="M475" s="11"/>
      <c r="N475" s="12">
        <f t="shared" si="15"/>
        <v>35</v>
      </c>
      <c r="O475" s="9"/>
      <c r="R475" s="44">
        <v>850</v>
      </c>
      <c r="S475" s="45">
        <v>879.75</v>
      </c>
      <c r="T475" s="14"/>
      <c r="U475" s="14"/>
    </row>
    <row r="476" spans="1:23">
      <c r="A476" s="33" t="s">
        <v>1486</v>
      </c>
      <c r="B476" s="55" t="str">
        <f>IFERROR(HYPERLINK(VLOOKUP(A476,ÜRÜNLER!A:C,3,FALSE),VLOOKUP(A476,ÜRÜNLER!A:B,2,FALSE)),"")</f>
        <v/>
      </c>
      <c r="C476" s="8"/>
      <c r="D476" s="8"/>
      <c r="E476" s="9"/>
      <c r="F476" s="9"/>
      <c r="G476" s="10"/>
      <c r="H476" s="10"/>
      <c r="I476" s="11"/>
      <c r="J476" s="11"/>
      <c r="K476" s="10"/>
      <c r="L476" s="10"/>
      <c r="M476" s="11"/>
      <c r="N476" s="12">
        <f t="shared" si="15"/>
        <v>0</v>
      </c>
      <c r="O476" s="9"/>
      <c r="P476" s="174"/>
      <c r="R476" s="39"/>
      <c r="S476" s="13"/>
      <c r="T476" s="14"/>
      <c r="U476" s="14"/>
      <c r="V476" s="15"/>
    </row>
    <row r="477" spans="1:23">
      <c r="A477" t="s">
        <v>1487</v>
      </c>
      <c r="B477" s="55" t="str">
        <f>IFERROR(HYPERLINK(VLOOKUP(A477,ÜRÜNLER!A:C,3,FALSE),VLOOKUP(A477,ÜRÜNLER!A:B,2,FALSE)),"")</f>
        <v/>
      </c>
      <c r="C477" s="8"/>
      <c r="D477" s="8"/>
      <c r="E477" s="9"/>
      <c r="F477" s="9"/>
      <c r="G477" s="10"/>
      <c r="H477" s="10"/>
      <c r="I477" s="11">
        <v>1</v>
      </c>
      <c r="J477" s="11"/>
      <c r="K477" s="10"/>
      <c r="L477" s="10"/>
      <c r="M477" s="11"/>
      <c r="N477" s="12">
        <f t="shared" si="15"/>
        <v>1</v>
      </c>
      <c r="T477" s="14"/>
      <c r="U477" s="14"/>
    </row>
    <row r="478" spans="1:23">
      <c r="A478" t="s">
        <v>1488</v>
      </c>
      <c r="B478" s="55" t="str">
        <f>IFERROR(HYPERLINK(VLOOKUP(A478,ÜRÜNLER!A:C,3,FALSE),VLOOKUP(A478,ÜRÜNLER!A:B,2,FALSE)),"")</f>
        <v/>
      </c>
      <c r="C478" s="8"/>
      <c r="D478" s="8"/>
      <c r="E478" s="9"/>
      <c r="F478" s="9">
        <v>1</v>
      </c>
      <c r="G478" s="10"/>
      <c r="H478" s="10"/>
      <c r="I478" s="11"/>
      <c r="J478" s="11"/>
      <c r="K478" s="10"/>
      <c r="L478" s="10"/>
      <c r="M478" s="11"/>
      <c r="N478" s="12">
        <f t="shared" si="15"/>
        <v>1</v>
      </c>
      <c r="T478" s="14"/>
      <c r="U478" s="14"/>
    </row>
    <row r="479" spans="1:23">
      <c r="A479" t="s">
        <v>1489</v>
      </c>
      <c r="B479" s="55" t="str">
        <f>IFERROR(HYPERLINK(VLOOKUP(A479,ÜRÜNLER!A:C,3,FALSE),VLOOKUP(A479,ÜRÜNLER!A:B,2,FALSE)),"")</f>
        <v/>
      </c>
      <c r="C479" s="8"/>
      <c r="D479" s="8"/>
      <c r="E479" s="9"/>
      <c r="F479" s="9">
        <v>1</v>
      </c>
      <c r="G479" s="10"/>
      <c r="H479" s="10"/>
      <c r="I479" s="11"/>
      <c r="J479" s="11"/>
      <c r="K479" s="10"/>
      <c r="L479" s="10"/>
      <c r="M479" s="11"/>
      <c r="N479" s="12">
        <f t="shared" si="15"/>
        <v>1</v>
      </c>
      <c r="T479" s="14"/>
      <c r="U479" s="14"/>
    </row>
    <row r="480" spans="1:23">
      <c r="A480" t="s">
        <v>1490</v>
      </c>
      <c r="B480" s="55" t="str">
        <f>IFERROR(HYPERLINK(VLOOKUP(A480,ÜRÜNLER!A:C,3,FALSE),VLOOKUP(A480,ÜRÜNLER!A:B,2,FALSE)),"")</f>
        <v/>
      </c>
      <c r="C480" s="8"/>
      <c r="D480" s="8"/>
      <c r="E480" s="9"/>
      <c r="F480" s="9"/>
      <c r="G480" s="10"/>
      <c r="H480" s="10"/>
      <c r="I480" s="11"/>
      <c r="J480" s="11"/>
      <c r="K480" s="10">
        <v>1</v>
      </c>
      <c r="L480" s="10"/>
      <c r="M480" s="11"/>
      <c r="N480" s="12">
        <f t="shared" si="15"/>
        <v>1</v>
      </c>
      <c r="T480" s="14"/>
      <c r="U480" s="14"/>
    </row>
    <row r="481" spans="1:21">
      <c r="A481" t="s">
        <v>1491</v>
      </c>
      <c r="B481" s="55" t="str">
        <f>IFERROR(HYPERLINK(VLOOKUP(A481,ÜRÜNLER!A:C,3,FALSE),VLOOKUP(A481,ÜRÜNLER!A:B,2,FALSE)),"")</f>
        <v>Philips 65" 4K Ambilight LED TV (65PUS8548/62)</v>
      </c>
      <c r="C481" s="8"/>
      <c r="D481" s="8"/>
      <c r="E481" s="9"/>
      <c r="F481" s="9">
        <v>1</v>
      </c>
      <c r="G481" s="10"/>
      <c r="H481" s="10"/>
      <c r="I481" s="11"/>
      <c r="J481" s="11"/>
      <c r="K481" s="10">
        <v>1</v>
      </c>
      <c r="L481" s="10"/>
      <c r="M481" s="11"/>
      <c r="N481" s="12">
        <f t="shared" si="15"/>
        <v>2</v>
      </c>
      <c r="T481" s="14"/>
      <c r="U481" s="14"/>
    </row>
    <row r="482" spans="1:21">
      <c r="A482" t="s">
        <v>1492</v>
      </c>
      <c r="B482" s="55" t="str">
        <f>IFERROR(HYPERLINK(VLOOKUP(A482,ÜRÜNLER!A:C,3,FALSE),VLOOKUP(A482,ÜRÜNLER!A:B,2,FALSE)),"")</f>
        <v/>
      </c>
      <c r="C482" s="8"/>
      <c r="D482" s="8"/>
      <c r="E482" s="9"/>
      <c r="F482" s="9"/>
      <c r="G482" s="10"/>
      <c r="H482" s="10"/>
      <c r="I482" s="11">
        <v>1</v>
      </c>
      <c r="J482" s="11"/>
      <c r="K482" s="10"/>
      <c r="L482" s="10"/>
      <c r="M482" s="11"/>
      <c r="N482" s="12">
        <f t="shared" si="15"/>
        <v>1</v>
      </c>
      <c r="T482" s="14"/>
      <c r="U482" s="14"/>
    </row>
    <row r="483" spans="1:21">
      <c r="A483" t="s">
        <v>1493</v>
      </c>
      <c r="B483" s="55" t="str">
        <f>IFERROR(HYPERLINK(VLOOKUP(A483,ÜRÜNLER!A:C,3,FALSE),VLOOKUP(A483,ÜRÜNLER!A:B,2,FALSE)),"")</f>
        <v>Philips 50" 4K Ambilight LED TV</v>
      </c>
      <c r="C483" s="8"/>
      <c r="D483" s="8"/>
      <c r="E483" s="9"/>
      <c r="F483" s="9">
        <v>1</v>
      </c>
      <c r="G483" s="10"/>
      <c r="H483" s="10"/>
      <c r="I483" s="11">
        <v>1</v>
      </c>
      <c r="J483" s="11"/>
      <c r="K483" s="10"/>
      <c r="L483" s="10"/>
      <c r="M483" s="11"/>
      <c r="N483" s="12">
        <f t="shared" si="15"/>
        <v>2</v>
      </c>
      <c r="T483" s="14"/>
      <c r="U483" s="14"/>
    </row>
  </sheetData>
  <conditionalFormatting sqref="A1:A1048576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02" customWidth="1"/>
    <col min="9" max="9" width="15.42578125" style="102" customWidth="1"/>
    <col min="10" max="10" width="10.7109375" style="10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93" t="str">
        <f>Sayfa1!C1</f>
        <v>23 NİSAN HOROZ</v>
      </c>
      <c r="D1" s="94" t="str">
        <f>Sayfa1!$Q$1</f>
        <v>NİSAN  TOPTAN</v>
      </c>
      <c r="E1" s="95" t="str">
        <f>Sayfa1!$R$1</f>
        <v>HAVALE FİYATI</v>
      </c>
      <c r="F1" s="96" t="str">
        <f>Sayfa1!$S$1</f>
        <v>TEK ÇEKİM FİYATI</v>
      </c>
      <c r="G1" s="144" t="str">
        <f>Sayfa1!$T$1</f>
        <v>NİSAN BİP</v>
      </c>
      <c r="H1" s="148" t="str">
        <f>Sayfa1!$U$1</f>
        <v>Phase out (üretimi biten)  31.05.2026 olarak montaj durumu takip edilecektir</v>
      </c>
      <c r="I1" s="98" t="s">
        <v>464</v>
      </c>
      <c r="J1" s="97" t="str">
        <f>Sayfa1!$W$1</f>
        <v>PREMİUM 4 LÜ ÜRÜN ALIMINDA 27.000 TL İNDİRİM</v>
      </c>
      <c r="K1" s="99" t="str">
        <f>Sayfa1!$V$1</f>
        <v>Hakedişler LİSTE FİYATINDAN SATILIRSA geçerli olacak</v>
      </c>
      <c r="L1" s="109" t="str">
        <f>Sayfa1!$X$1</f>
        <v>ONLINE FİYAT</v>
      </c>
    </row>
    <row r="2" spans="1:12">
      <c r="A2" s="53" t="s">
        <v>177</v>
      </c>
      <c r="B2" s="100" t="str">
        <f>IFERROR(VLOOKUP(A2,Sayfa1!A:B,2,FALSE),"?")</f>
        <v>iQ300 Ankastre Fırın, 1 Teleskopik Ray, Arkası Kendini Temizler, Siyah/Inox</v>
      </c>
      <c r="C2" s="101">
        <f>IFERROR(VLOOKUP(A2,Sayfa1!A:C,3,FALSE),"?")</f>
        <v>0</v>
      </c>
      <c r="D2" s="102" t="str">
        <f>IFERROR(VLOOKUP(A2,Sayfa1!$A:$Q,17,FALSE),"?")</f>
        <v>devamı yok</v>
      </c>
      <c r="E2" s="102">
        <f>IFERROR(VLOOKUP(A2,Sayfa1!$A:$R,18,FALSE),"?")</f>
        <v>18000</v>
      </c>
      <c r="F2" s="102">
        <f>IFERROR(VLOOKUP(A2,Sayfa1!$A:$S,19,FALSE),"?")</f>
        <v>18720</v>
      </c>
      <c r="G2" s="102">
        <f>IFERROR(VLOOKUP(A2,Sayfa1!$A:$T,20,FALSE),"?")</f>
        <v>0</v>
      </c>
      <c r="H2" s="102">
        <f>IFERROR(VLOOKUP(A2,Sayfa1!$A:$U,21,FALSE),"?")</f>
        <v>1656.58</v>
      </c>
      <c r="I2" s="193"/>
      <c r="J2" s="92">
        <f>IFERROR(VLOOKUP(A2,Sayfa1!$A:$W,23,FALSE),"?")</f>
        <v>0</v>
      </c>
      <c r="K2" s="92">
        <f>IFERROR(VLOOKUP(A2,Sayfa1!$A:$V,22,FALSE),"?")</f>
        <v>250</v>
      </c>
      <c r="L2" s="92">
        <f>IFERROR(VLOOKUP(A2,Sayfa1!$A:$X,24,FALSE),"?")</f>
        <v>0</v>
      </c>
    </row>
    <row r="3" spans="1:12">
      <c r="A3" s="53"/>
      <c r="B3" s="100" t="str">
        <f>IFERROR(VLOOKUP(A3,Sayfa1!A:B,2,FALSE),"?")</f>
        <v>?</v>
      </c>
      <c r="C3" s="101" t="str">
        <f>IFERROR(VLOOKUP(A3,Sayfa1!A:C,3,FALSE),"?")</f>
        <v>?</v>
      </c>
      <c r="D3" s="102" t="str">
        <f>IFERROR(VLOOKUP(A3,Sayfa1!$A:$Q,17,FALSE),"?")</f>
        <v>?</v>
      </c>
      <c r="E3" s="102" t="str">
        <f>IFERROR(VLOOKUP(A3,Sayfa1!$A:$R,18,FALSE),"?")</f>
        <v>?</v>
      </c>
      <c r="F3" s="102" t="str">
        <f>IFERROR(VLOOKUP(A3,Sayfa1!$A:$S,19,FALSE),"?")</f>
        <v>?</v>
      </c>
      <c r="G3" s="102" t="str">
        <f>IFERROR(VLOOKUP(A3,Sayfa1!$A:$T,20,FALSE),"?")</f>
        <v>?</v>
      </c>
      <c r="H3" s="102" t="str">
        <f>IFERROR(VLOOKUP(A3,Sayfa1!$A:$U,21,FALSE),"?")</f>
        <v>?</v>
      </c>
      <c r="I3" s="193"/>
      <c r="J3" s="92" t="str">
        <f>IFERROR(VLOOKUP(A3,Sayfa1!$A:$W,23,FALSE),"?")</f>
        <v>?</v>
      </c>
      <c r="K3" s="92" t="str">
        <f>IFERROR(VLOOKUP(A3,Sayfa1!$A:$V,22,FALSE),"?")</f>
        <v>?</v>
      </c>
      <c r="L3" s="92" t="str">
        <f>IFERROR(VLOOKUP(A3,Sayfa1!$A:$X,24,FALSE),"?")</f>
        <v>?</v>
      </c>
    </row>
    <row r="4" spans="1:12">
      <c r="A4" s="53"/>
      <c r="B4" s="100" t="str">
        <f>IFERROR(VLOOKUP(A4,Sayfa1!A:B,2,FALSE),"?")</f>
        <v>?</v>
      </c>
      <c r="C4" s="101" t="str">
        <f>IFERROR(VLOOKUP(A4,Sayfa1!A:C,3,FALSE),"?")</f>
        <v>?</v>
      </c>
      <c r="D4" s="102" t="str">
        <f>IFERROR(VLOOKUP(A4,Sayfa1!$A:$Q,17,FALSE),"?")</f>
        <v>?</v>
      </c>
      <c r="E4" s="102" t="str">
        <f>IFERROR(VLOOKUP(A4,Sayfa1!$A:$R,18,FALSE),"?")</f>
        <v>?</v>
      </c>
      <c r="F4" s="102" t="str">
        <f>IFERROR(VLOOKUP(A4,Sayfa1!$A:$S,19,FALSE),"?")</f>
        <v>?</v>
      </c>
      <c r="G4" s="102" t="str">
        <f>IFERROR(VLOOKUP(A4,Sayfa1!$A:$T,20,FALSE),"?")</f>
        <v>?</v>
      </c>
      <c r="H4" s="102" t="str">
        <f>IFERROR(VLOOKUP(A4,Sayfa1!$A:$U,21,FALSE),"?")</f>
        <v>?</v>
      </c>
      <c r="I4"/>
      <c r="J4" s="92" t="str">
        <f>IFERROR(VLOOKUP(A4,Sayfa1!$A:$W,23,FALSE),"?")</f>
        <v>?</v>
      </c>
      <c r="K4" s="92" t="str">
        <f>IFERROR(VLOOKUP(A4,Sayfa1!$A:$V,22,FALSE),"?")</f>
        <v>?</v>
      </c>
      <c r="L4" s="92" t="str">
        <f>IFERROR(VLOOKUP(A4,Sayfa1!$A:$X,24,FALSE),"?")</f>
        <v>?</v>
      </c>
    </row>
    <row r="5" spans="1:12">
      <c r="A5" s="53"/>
      <c r="B5" s="100" t="str">
        <f>IFERROR(VLOOKUP(A5,Sayfa1!A:B,2,FALSE),"?")</f>
        <v>?</v>
      </c>
      <c r="C5" s="101" t="str">
        <f>IFERROR(VLOOKUP(A5,Sayfa1!A:C,3,FALSE),"?")</f>
        <v>?</v>
      </c>
      <c r="D5" s="102" t="str">
        <f>IFERROR(VLOOKUP(A5,Sayfa1!$A:$Q,17,FALSE),"?")</f>
        <v>?</v>
      </c>
      <c r="E5" s="102" t="str">
        <f>IFERROR(VLOOKUP(A5,Sayfa1!$A:$R,18,FALSE),"?")</f>
        <v>?</v>
      </c>
      <c r="F5" s="102" t="str">
        <f>IFERROR(VLOOKUP(A5,Sayfa1!$A:$S,19,FALSE),"?")</f>
        <v>?</v>
      </c>
      <c r="G5" s="102" t="str">
        <f>IFERROR(VLOOKUP(A5,Sayfa1!$A:$T,20,FALSE),"?")</f>
        <v>?</v>
      </c>
      <c r="H5" s="102" t="str">
        <f>IFERROR(VLOOKUP(A5,Sayfa1!$A:$U,21,FALSE),"?")</f>
        <v>?</v>
      </c>
      <c r="I5"/>
      <c r="J5" s="92" t="str">
        <f>IFERROR(VLOOKUP(A5,Sayfa1!$A:$W,23,FALSE),"?")</f>
        <v>?</v>
      </c>
      <c r="K5" s="92" t="str">
        <f>IFERROR(VLOOKUP(A5,Sayfa1!$A:$V,22,FALSE),"?")</f>
        <v>?</v>
      </c>
      <c r="L5" s="92" t="str">
        <f>IFERROR(VLOOKUP(A5,Sayfa1!$A:$X,24,FALSE),"?")</f>
        <v>?</v>
      </c>
    </row>
    <row r="6" spans="1:12">
      <c r="A6" s="53"/>
      <c r="B6" s="100" t="str">
        <f>IFERROR(VLOOKUP(A6,Sayfa1!A:B,2,FALSE),"?")</f>
        <v>?</v>
      </c>
      <c r="C6" s="101" t="str">
        <f>IFERROR(VLOOKUP(A6,Sayfa1!A:C,3,FALSE),"?")</f>
        <v>?</v>
      </c>
      <c r="D6" s="102" t="str">
        <f>IFERROR(VLOOKUP(A6,Sayfa1!$A:$Q,17,FALSE),"?")</f>
        <v>?</v>
      </c>
      <c r="E6" s="102" t="str">
        <f>IFERROR(VLOOKUP(A6,Sayfa1!$A:$R,18,FALSE),"?")</f>
        <v>?</v>
      </c>
      <c r="F6" s="102" t="str">
        <f>IFERROR(VLOOKUP(A6,Sayfa1!$A:$S,19,FALSE),"?")</f>
        <v>?</v>
      </c>
      <c r="G6" s="102" t="str">
        <f>IFERROR(VLOOKUP(A6,Sayfa1!$A:$T,20,FALSE),"?")</f>
        <v>?</v>
      </c>
      <c r="H6" s="102" t="str">
        <f>IFERROR(VLOOKUP(A6,Sayfa1!$A:$U,21,FALSE),"?")</f>
        <v>?</v>
      </c>
      <c r="I6"/>
      <c r="J6" s="92" t="str">
        <f>IFERROR(VLOOKUP(A6,Sayfa1!$A:$W,23,FALSE),"?")</f>
        <v>?</v>
      </c>
      <c r="K6" s="92" t="str">
        <f>IFERROR(VLOOKUP(A6,Sayfa1!$A:$V,22,FALSE),"?")</f>
        <v>?</v>
      </c>
      <c r="L6" s="92" t="str">
        <f>IFERROR(VLOOKUP(A6,Sayfa1!$A:$X,24,FALSE),"?")</f>
        <v>?</v>
      </c>
    </row>
    <row r="7" spans="1:12">
      <c r="A7" s="53"/>
      <c r="B7" s="100" t="str">
        <f>IFERROR(VLOOKUP(A7,Sayfa1!A:B,2,FALSE),"?")</f>
        <v>?</v>
      </c>
      <c r="C7" s="101" t="str">
        <f>IFERROR(VLOOKUP(A7,Sayfa1!A:C,3,FALSE),"?")</f>
        <v>?</v>
      </c>
      <c r="D7" s="102" t="str">
        <f>IFERROR(VLOOKUP(A7,Sayfa1!$A:$Q,17,FALSE),"?")</f>
        <v>?</v>
      </c>
      <c r="E7" s="102" t="str">
        <f>IFERROR(VLOOKUP(A7,Sayfa1!$A:$R,18,FALSE),"?")</f>
        <v>?</v>
      </c>
      <c r="F7" s="102" t="str">
        <f>IFERROR(VLOOKUP(A7,Sayfa1!$A:$S,19,FALSE),"?")</f>
        <v>?</v>
      </c>
      <c r="G7" s="102" t="str">
        <f>IFERROR(VLOOKUP(A7,Sayfa1!$A:$T,20,FALSE),"?")</f>
        <v>?</v>
      </c>
      <c r="H7" s="102" t="str">
        <f>IFERROR(VLOOKUP(A7,Sayfa1!$A:$U,21,FALSE),"?")</f>
        <v>?</v>
      </c>
      <c r="I7"/>
      <c r="J7" s="92" t="str">
        <f>IFERROR(VLOOKUP(A7,Sayfa1!$A:$W,23,FALSE),"?")</f>
        <v>?</v>
      </c>
      <c r="K7" s="92" t="str">
        <f>IFERROR(VLOOKUP(A7,Sayfa1!$A:$V,22,FALSE),"?")</f>
        <v>?</v>
      </c>
      <c r="L7" s="92" t="str">
        <f>IFERROR(VLOOKUP(A7,Sayfa1!$A:$X,24,FALSE),"?")</f>
        <v>?</v>
      </c>
    </row>
    <row r="8" spans="1:12">
      <c r="A8" s="53"/>
      <c r="B8" s="100" t="str">
        <f>IFERROR(VLOOKUP(A8,Sayfa1!A:B,2,FALSE),"?")</f>
        <v>?</v>
      </c>
      <c r="C8" s="101" t="str">
        <f>IFERROR(VLOOKUP(A8,Sayfa1!A:C,3,FALSE),"?")</f>
        <v>?</v>
      </c>
      <c r="D8" s="102" t="str">
        <f>IFERROR(VLOOKUP(A8,Sayfa1!$A:$Q,17,FALSE),"?")</f>
        <v>?</v>
      </c>
      <c r="E8" s="102" t="str">
        <f>IFERROR(VLOOKUP(A8,Sayfa1!$A:$R,18,FALSE),"?")</f>
        <v>?</v>
      </c>
      <c r="F8" s="102" t="str">
        <f>IFERROR(VLOOKUP(A8,Sayfa1!$A:$S,19,FALSE),"?")</f>
        <v>?</v>
      </c>
      <c r="G8" s="102" t="str">
        <f>IFERROR(VLOOKUP(A8,Sayfa1!$A:$T,20,FALSE),"?")</f>
        <v>?</v>
      </c>
      <c r="H8" s="102" t="str">
        <f>IFERROR(VLOOKUP(A8,Sayfa1!$A:$U,21,FALSE),"?")</f>
        <v>?</v>
      </c>
      <c r="I8"/>
      <c r="J8" s="92" t="str">
        <f>IFERROR(VLOOKUP(A8,Sayfa1!$A:$W,23,FALSE),"?")</f>
        <v>?</v>
      </c>
      <c r="K8" s="92" t="str">
        <f>IFERROR(VLOOKUP(A8,Sayfa1!$A:$V,22,FALSE),"?")</f>
        <v>?</v>
      </c>
      <c r="L8" s="92" t="str">
        <f>IFERROR(VLOOKUP(A8,Sayfa1!$A:$X,24,FALSE),"?")</f>
        <v>?</v>
      </c>
    </row>
    <row r="9" spans="1:12">
      <c r="A9" s="53"/>
      <c r="B9" s="100" t="str">
        <f>IFERROR(VLOOKUP(A9,Sayfa1!A:B,2,FALSE),"?")</f>
        <v>?</v>
      </c>
      <c r="C9" s="101" t="str">
        <f>IFERROR(VLOOKUP(A9,Sayfa1!A:C,3,FALSE),"?")</f>
        <v>?</v>
      </c>
      <c r="D9" s="102" t="str">
        <f>IFERROR(VLOOKUP(A9,Sayfa1!$A:$Q,17,FALSE),"?")</f>
        <v>?</v>
      </c>
      <c r="E9" s="102" t="str">
        <f>IFERROR(VLOOKUP(A9,Sayfa1!$A:$R,18,FALSE),"?")</f>
        <v>?</v>
      </c>
      <c r="F9" s="102" t="str">
        <f>IFERROR(VLOOKUP(A9,Sayfa1!$A:$S,19,FALSE),"?")</f>
        <v>?</v>
      </c>
      <c r="G9" s="102" t="str">
        <f>IFERROR(VLOOKUP(A9,Sayfa1!$A:$T,20,FALSE),"?")</f>
        <v>?</v>
      </c>
      <c r="H9" s="102" t="str">
        <f>IFERROR(VLOOKUP(A9,Sayfa1!$A:$U,21,FALSE),"?")</f>
        <v>?</v>
      </c>
      <c r="I9"/>
      <c r="J9" s="92" t="str">
        <f>IFERROR(VLOOKUP(A9,Sayfa1!$A:$W,23,FALSE),"?")</f>
        <v>?</v>
      </c>
      <c r="K9" s="92" t="str">
        <f>IFERROR(VLOOKUP(A9,Sayfa1!$A:$V,22,FALSE),"?")</f>
        <v>?</v>
      </c>
      <c r="L9" s="92" t="str">
        <f>IFERROR(VLOOKUP(A9,Sayfa1!$A:$X,24,FALSE),"?")</f>
        <v>?</v>
      </c>
    </row>
    <row r="10" spans="1:12">
      <c r="A10" s="53"/>
      <c r="B10" s="100" t="str">
        <f>IFERROR(VLOOKUP(A10,Sayfa1!A:B,2,FALSE),"?")</f>
        <v>?</v>
      </c>
      <c r="C10" s="101" t="str">
        <f>IFERROR(VLOOKUP(A10,Sayfa1!A:C,3,FALSE),"?")</f>
        <v>?</v>
      </c>
      <c r="D10" s="102" t="str">
        <f>IFERROR(VLOOKUP(A10,Sayfa1!$A:$Q,17,FALSE),"?")</f>
        <v>?</v>
      </c>
      <c r="E10" s="102" t="str">
        <f>IFERROR(VLOOKUP(A10,Sayfa1!$A:$R,18,FALSE),"?")</f>
        <v>?</v>
      </c>
      <c r="F10" s="102" t="str">
        <f>IFERROR(VLOOKUP(A10,Sayfa1!$A:$S,19,FALSE),"?")</f>
        <v>?</v>
      </c>
      <c r="G10" s="102" t="str">
        <f>IFERROR(VLOOKUP(A10,Sayfa1!$A:$T,20,FALSE),"?")</f>
        <v>?</v>
      </c>
      <c r="H10" s="102" t="str">
        <f>IFERROR(VLOOKUP(A10,Sayfa1!$A:$U,21,FALSE),"?")</f>
        <v>?</v>
      </c>
      <c r="I10"/>
      <c r="J10" s="92" t="str">
        <f>IFERROR(VLOOKUP(A10,Sayfa1!$A:$W,23,FALSE),"?")</f>
        <v>?</v>
      </c>
      <c r="K10" s="92" t="str">
        <f>IFERROR(VLOOKUP(A10,Sayfa1!$A:$V,22,FALSE),"?")</f>
        <v>?</v>
      </c>
      <c r="L10" s="92" t="str">
        <f>IFERROR(VLOOKUP(A10,Sayfa1!$A:$X,24,FALSE),"?")</f>
        <v>?</v>
      </c>
    </row>
    <row r="11" spans="1:12">
      <c r="A11" s="53"/>
      <c r="B11" s="100" t="str">
        <f>IFERROR(VLOOKUP(A11,Sayfa1!A:B,2,FALSE),"?")</f>
        <v>?</v>
      </c>
      <c r="C11" s="101" t="str">
        <f>IFERROR(VLOOKUP(A11,Sayfa1!A:C,3,FALSE),"?")</f>
        <v>?</v>
      </c>
      <c r="D11" s="102" t="str">
        <f>IFERROR(VLOOKUP(A11,Sayfa1!$A:$Q,17,FALSE),"?")</f>
        <v>?</v>
      </c>
      <c r="E11" s="102" t="str">
        <f>IFERROR(VLOOKUP(A11,Sayfa1!$A:$R,18,FALSE),"?")</f>
        <v>?</v>
      </c>
      <c r="F11" s="102" t="str">
        <f>IFERROR(VLOOKUP(A11,Sayfa1!$A:$S,19,FALSE),"?")</f>
        <v>?</v>
      </c>
      <c r="G11" s="102" t="str">
        <f>IFERROR(VLOOKUP(A11,Sayfa1!$A:$T,20,FALSE),"?")</f>
        <v>?</v>
      </c>
      <c r="H11" s="102" t="str">
        <f>IFERROR(VLOOKUP(A11,Sayfa1!$A:$U,21,FALSE),"?")</f>
        <v>?</v>
      </c>
      <c r="I11"/>
      <c r="J11" s="92" t="str">
        <f>IFERROR(VLOOKUP(A11,Sayfa1!$A:$W,23,FALSE),"?")</f>
        <v>?</v>
      </c>
      <c r="K11" s="92" t="str">
        <f>IFERROR(VLOOKUP(A11,Sayfa1!$A:$V,22,FALSE),"?")</f>
        <v>?</v>
      </c>
      <c r="L11" s="92" t="str">
        <f>IFERROR(VLOOKUP(A11,Sayfa1!$A:$X,24,FALSE),"?")</f>
        <v>?</v>
      </c>
    </row>
    <row r="12" spans="1:12">
      <c r="A12" s="194" t="s">
        <v>460</v>
      </c>
      <c r="B12" s="194"/>
      <c r="C12" s="194"/>
      <c r="D12" s="194"/>
      <c r="E12" s="103">
        <f>SUM(E2:E11)</f>
        <v>18000</v>
      </c>
      <c r="F12" s="103">
        <f>SUM(F2:F11)</f>
        <v>18720</v>
      </c>
      <c r="I12"/>
      <c r="J12"/>
      <c r="K12" s="92"/>
      <c r="L12" s="92"/>
    </row>
    <row r="13" spans="1:12">
      <c r="A13" s="194" t="s">
        <v>461</v>
      </c>
      <c r="B13" s="194"/>
      <c r="C13" s="194"/>
      <c r="D13" s="194"/>
      <c r="E13" s="103">
        <f>SUM(G:G)*-1</f>
        <v>0</v>
      </c>
      <c r="F13" s="103">
        <f>SUM(G:G)*-1</f>
        <v>0</v>
      </c>
      <c r="I13"/>
      <c r="J13"/>
      <c r="K13" s="92"/>
      <c r="L13" s="92"/>
    </row>
    <row r="14" spans="1:12">
      <c r="A14" s="194" t="s">
        <v>1311</v>
      </c>
      <c r="B14" s="194"/>
      <c r="C14" s="194"/>
      <c r="D14" s="194"/>
      <c r="E14" s="103">
        <f>SUM(H:H)*-1</f>
        <v>-1656.58</v>
      </c>
      <c r="F14" s="103">
        <f>SUM(H:H)*-1</f>
        <v>-1656.58</v>
      </c>
      <c r="I14"/>
      <c r="J14"/>
      <c r="K14" s="92"/>
      <c r="L14" s="92"/>
    </row>
    <row r="15" spans="1:12">
      <c r="A15" s="194" t="s">
        <v>463</v>
      </c>
      <c r="B15" s="194"/>
      <c r="C15" s="194"/>
      <c r="D15" s="194"/>
      <c r="E15" s="103">
        <f>I2*-1</f>
        <v>0</v>
      </c>
      <c r="F15" s="103">
        <f>I2*-1</f>
        <v>0</v>
      </c>
      <c r="I15"/>
      <c r="J15"/>
      <c r="K15" s="92"/>
      <c r="L15" s="92"/>
    </row>
    <row r="16" spans="1:12">
      <c r="A16" s="192" t="s">
        <v>462</v>
      </c>
      <c r="B16" s="192"/>
      <c r="C16" s="192"/>
      <c r="D16" s="192"/>
      <c r="E16" s="104">
        <f>SUM(E12:E15)</f>
        <v>16343.42</v>
      </c>
      <c r="F16" s="104">
        <f>SUM(F12:F15)</f>
        <v>17063.419999999998</v>
      </c>
      <c r="I16"/>
      <c r="J16"/>
    </row>
    <row r="17" spans="1:8">
      <c r="A17" s="190" t="s">
        <v>1345</v>
      </c>
      <c r="B17" s="190"/>
      <c r="C17" s="190"/>
      <c r="D17" s="190"/>
      <c r="E17" s="191">
        <f>E16*1.08</f>
        <v>17650.893599999999</v>
      </c>
      <c r="F17" s="191"/>
    </row>
    <row r="20" spans="1:8">
      <c r="F20" s="105"/>
    </row>
    <row r="21" spans="1:8">
      <c r="G21" s="61"/>
      <c r="H21" s="61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sheetPr codeName="Sayfa3"/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42" customWidth="1"/>
    <col min="2" max="2" width="2.28515625" style="143" customWidth="1"/>
    <col min="3" max="3" width="79.5703125" style="143" customWidth="1"/>
    <col min="4" max="4" width="79.140625" style="143" customWidth="1"/>
    <col min="5" max="5" width="125.140625" style="143" customWidth="1"/>
    <col min="6" max="6" width="5.42578125" style="143" bestFit="1" customWidth="1"/>
    <col min="7" max="7" width="9.140625" style="143" hidden="1" customWidth="1"/>
    <col min="8" max="8" width="9.140625" style="143"/>
    <col min="9" max="9" width="9.140625" style="143" customWidth="1"/>
    <col min="10" max="10" width="9.140625" style="143"/>
    <col min="11" max="11" width="60.5703125" style="143" customWidth="1"/>
    <col min="12" max="12" width="97.28515625" style="143" customWidth="1"/>
    <col min="13" max="13" width="79.28515625" style="143" customWidth="1"/>
    <col min="14" max="16384" width="9.140625" style="143"/>
  </cols>
  <sheetData>
    <row r="1" spans="3:13" ht="35.25" thickBot="1"/>
    <row r="2" spans="3:13" ht="34.5" customHeight="1">
      <c r="C2" s="195" t="s">
        <v>1505</v>
      </c>
      <c r="D2" s="232" t="s">
        <v>1506</v>
      </c>
      <c r="E2" s="233"/>
    </row>
    <row r="3" spans="3:13" ht="34.5" customHeight="1">
      <c r="C3" s="196"/>
      <c r="D3" s="234"/>
      <c r="E3" s="235"/>
    </row>
    <row r="4" spans="3:13" ht="34.5" customHeight="1">
      <c r="C4" s="196"/>
      <c r="D4" s="234"/>
      <c r="E4" s="235"/>
    </row>
    <row r="5" spans="3:13" ht="34.5" customHeight="1">
      <c r="C5" s="196"/>
      <c r="D5" s="234"/>
      <c r="E5" s="235"/>
    </row>
    <row r="6" spans="3:13" ht="34.5" customHeight="1">
      <c r="C6" s="196"/>
      <c r="D6" s="234"/>
      <c r="E6" s="235"/>
    </row>
    <row r="7" spans="3:13" ht="34.5" customHeight="1">
      <c r="C7" s="196"/>
      <c r="D7" s="234"/>
      <c r="E7" s="235"/>
    </row>
    <row r="8" spans="3:13" ht="35.25" customHeight="1" thickBot="1">
      <c r="C8" s="196"/>
      <c r="D8" s="234"/>
      <c r="E8" s="235"/>
    </row>
    <row r="9" spans="3:13" ht="34.5" customHeight="1" thickBot="1">
      <c r="C9" s="197"/>
      <c r="D9" s="236"/>
      <c r="E9" s="237"/>
      <c r="K9" s="195" t="s">
        <v>1507</v>
      </c>
      <c r="L9" s="198" t="s">
        <v>469</v>
      </c>
      <c r="M9" s="199"/>
    </row>
    <row r="10" spans="3:13" ht="35.25" customHeight="1" thickBot="1">
      <c r="K10" s="196"/>
      <c r="L10" s="200"/>
      <c r="M10" s="201"/>
    </row>
    <row r="11" spans="3:13" ht="34.5" customHeight="1">
      <c r="C11" s="195" t="s">
        <v>1508</v>
      </c>
      <c r="D11" s="232" t="s">
        <v>1509</v>
      </c>
      <c r="E11" s="233"/>
      <c r="K11" s="196"/>
      <c r="L11" s="202" t="s">
        <v>1524</v>
      </c>
      <c r="M11" s="203"/>
    </row>
    <row r="12" spans="3:13" ht="34.5" customHeight="1">
      <c r="C12" s="196"/>
      <c r="D12" s="234"/>
      <c r="E12" s="235"/>
      <c r="K12" s="196"/>
      <c r="L12" s="204"/>
      <c r="M12" s="205"/>
    </row>
    <row r="13" spans="3:13" ht="113.25" customHeight="1" thickBot="1">
      <c r="C13" s="196"/>
      <c r="D13" s="234"/>
      <c r="E13" s="235"/>
      <c r="K13" s="196"/>
      <c r="L13" s="204"/>
      <c r="M13" s="205"/>
    </row>
    <row r="14" spans="3:13" ht="36" hidden="1" customHeight="1" thickBot="1">
      <c r="C14" s="196"/>
      <c r="D14" s="234"/>
      <c r="E14" s="235"/>
      <c r="K14" s="196"/>
      <c r="L14" s="206"/>
      <c r="M14" s="207"/>
    </row>
    <row r="15" spans="3:13" ht="34.5" customHeight="1">
      <c r="C15" s="196"/>
      <c r="D15" s="234"/>
      <c r="E15" s="235"/>
      <c r="K15" s="196"/>
      <c r="L15" s="208" t="s">
        <v>1510</v>
      </c>
      <c r="M15" s="209"/>
    </row>
    <row r="16" spans="3:13" ht="35.25" customHeight="1">
      <c r="C16" s="196"/>
      <c r="D16" s="234"/>
      <c r="E16" s="235"/>
      <c r="K16" s="196"/>
      <c r="L16" s="210"/>
      <c r="M16" s="211"/>
    </row>
    <row r="17" spans="3:13" ht="34.5" customHeight="1">
      <c r="C17" s="196"/>
      <c r="D17" s="234"/>
      <c r="E17" s="235"/>
      <c r="K17" s="196"/>
      <c r="L17" s="210"/>
      <c r="M17" s="211"/>
    </row>
    <row r="18" spans="3:13" ht="34.5" customHeight="1" thickBot="1">
      <c r="C18" s="197"/>
      <c r="D18" s="236"/>
      <c r="E18" s="237"/>
      <c r="K18" s="196"/>
      <c r="L18" s="210"/>
      <c r="M18" s="211"/>
    </row>
    <row r="19" spans="3:13" ht="0.75" customHeight="1">
      <c r="K19" s="196"/>
      <c r="L19" s="210"/>
      <c r="M19" s="211"/>
    </row>
    <row r="20" spans="3:13" ht="34.5" customHeight="1" thickBot="1">
      <c r="K20" s="196"/>
      <c r="L20" s="210"/>
      <c r="M20" s="211"/>
    </row>
    <row r="21" spans="3:13" ht="9" customHeight="1">
      <c r="C21" s="195" t="s">
        <v>1511</v>
      </c>
      <c r="D21" s="232" t="s">
        <v>1512</v>
      </c>
      <c r="E21" s="233"/>
      <c r="K21" s="196"/>
      <c r="L21" s="210"/>
      <c r="M21" s="211"/>
    </row>
    <row r="22" spans="3:13" ht="35.25" hidden="1" customHeight="1">
      <c r="C22" s="196"/>
      <c r="D22" s="234"/>
      <c r="E22" s="235"/>
      <c r="K22" s="196"/>
      <c r="L22" s="210"/>
      <c r="M22" s="211"/>
    </row>
    <row r="23" spans="3:13" ht="173.25" hidden="1" customHeight="1">
      <c r="C23" s="196"/>
      <c r="D23" s="234"/>
      <c r="E23" s="235"/>
      <c r="K23" s="196"/>
      <c r="L23" s="210"/>
      <c r="M23" s="211"/>
    </row>
    <row r="24" spans="3:13" ht="22.5" customHeight="1" thickBot="1">
      <c r="C24" s="196"/>
      <c r="D24" s="234"/>
      <c r="E24" s="235"/>
      <c r="K24" s="197"/>
      <c r="L24" s="212"/>
      <c r="M24" s="213"/>
    </row>
    <row r="25" spans="3:13" ht="34.5" customHeight="1">
      <c r="C25" s="196"/>
      <c r="D25" s="234"/>
      <c r="E25" s="235"/>
    </row>
    <row r="26" spans="3:13" ht="35.25" customHeight="1" thickBot="1">
      <c r="C26" s="196"/>
      <c r="D26" s="234"/>
      <c r="E26" s="235"/>
    </row>
    <row r="27" spans="3:13" ht="34.5" customHeight="1">
      <c r="C27" s="196"/>
      <c r="D27" s="234"/>
      <c r="E27" s="235"/>
      <c r="K27" s="195" t="s">
        <v>1513</v>
      </c>
      <c r="L27" s="198" t="s">
        <v>470</v>
      </c>
      <c r="M27" s="199"/>
    </row>
    <row r="28" spans="3:13" ht="35.25" customHeight="1" thickBot="1">
      <c r="C28" s="196"/>
      <c r="D28" s="236"/>
      <c r="E28" s="237"/>
      <c r="K28" s="196"/>
      <c r="L28" s="200"/>
      <c r="M28" s="201"/>
    </row>
    <row r="29" spans="3:13" ht="6.75" hidden="1" customHeight="1">
      <c r="C29" s="196"/>
      <c r="D29" s="214" t="s">
        <v>1514</v>
      </c>
      <c r="E29" s="215"/>
      <c r="K29" s="196"/>
      <c r="L29" s="220" t="s">
        <v>1525</v>
      </c>
      <c r="M29" s="221"/>
    </row>
    <row r="30" spans="3:13" ht="36" hidden="1" customHeight="1" thickBot="1">
      <c r="C30" s="196"/>
      <c r="D30" s="216"/>
      <c r="E30" s="217"/>
      <c r="K30" s="196"/>
      <c r="L30" s="222"/>
      <c r="M30" s="223"/>
    </row>
    <row r="31" spans="3:13" ht="61.5" customHeight="1">
      <c r="C31" s="196"/>
      <c r="D31" s="216"/>
      <c r="E31" s="217"/>
      <c r="K31" s="196"/>
      <c r="L31" s="222"/>
      <c r="M31" s="223"/>
    </row>
    <row r="32" spans="3:13" ht="35.25" customHeight="1" thickBot="1">
      <c r="C32" s="196"/>
      <c r="D32" s="216"/>
      <c r="E32" s="217"/>
      <c r="K32" s="196"/>
      <c r="L32" s="224"/>
      <c r="M32" s="225"/>
    </row>
    <row r="33" spans="3:13" ht="34.5" customHeight="1">
      <c r="C33" s="196"/>
      <c r="D33" s="216"/>
      <c r="E33" s="217"/>
      <c r="K33" s="196"/>
      <c r="L33" s="226" t="s">
        <v>1526</v>
      </c>
      <c r="M33" s="227"/>
    </row>
    <row r="34" spans="3:13" ht="66.75" customHeight="1" thickBot="1">
      <c r="C34" s="197"/>
      <c r="D34" s="218"/>
      <c r="E34" s="219"/>
      <c r="K34" s="196"/>
      <c r="L34" s="228"/>
      <c r="M34" s="229"/>
    </row>
    <row r="35" spans="3:13" ht="34.5" customHeight="1" thickBot="1">
      <c r="K35" s="196"/>
      <c r="L35" s="228"/>
      <c r="M35" s="229"/>
    </row>
    <row r="36" spans="3:13" ht="35.25" customHeight="1">
      <c r="C36" s="253" t="s">
        <v>1515</v>
      </c>
      <c r="D36" s="198" t="s">
        <v>471</v>
      </c>
      <c r="E36" s="199"/>
      <c r="K36" s="196"/>
      <c r="L36" s="228"/>
      <c r="M36" s="229"/>
    </row>
    <row r="37" spans="3:13" ht="35.25" customHeight="1" thickBot="1">
      <c r="C37" s="254"/>
      <c r="D37" s="200"/>
      <c r="E37" s="201"/>
      <c r="K37" s="197"/>
      <c r="L37" s="230"/>
      <c r="M37" s="231"/>
    </row>
    <row r="38" spans="3:13" ht="34.5" customHeight="1">
      <c r="C38" s="254"/>
      <c r="D38" s="256" t="s">
        <v>1516</v>
      </c>
      <c r="E38" s="257"/>
    </row>
    <row r="39" spans="3:13" ht="35.25" customHeight="1" thickBot="1">
      <c r="C39" s="254"/>
      <c r="D39" s="258"/>
      <c r="E39" s="259"/>
    </row>
    <row r="40" spans="3:13" ht="83.25" customHeight="1">
      <c r="C40" s="254"/>
      <c r="D40" s="258"/>
      <c r="E40" s="259"/>
      <c r="K40" s="195" t="s">
        <v>1517</v>
      </c>
      <c r="L40" s="262" t="s">
        <v>469</v>
      </c>
      <c r="M40" s="263"/>
    </row>
    <row r="41" spans="3:13" ht="218.25" customHeight="1" thickBot="1">
      <c r="C41" s="254"/>
      <c r="D41" s="258"/>
      <c r="E41" s="259"/>
      <c r="K41" s="196"/>
      <c r="L41" s="264"/>
      <c r="M41" s="265"/>
    </row>
    <row r="42" spans="3:13" ht="34.5" customHeight="1">
      <c r="C42" s="254"/>
      <c r="D42" s="258"/>
      <c r="E42" s="259"/>
      <c r="K42" s="196"/>
      <c r="L42" s="266" t="s">
        <v>472</v>
      </c>
      <c r="M42" s="267"/>
    </row>
    <row r="43" spans="3:13" ht="34.5" customHeight="1" thickBot="1">
      <c r="C43" s="254"/>
      <c r="D43" s="260"/>
      <c r="E43" s="261"/>
      <c r="K43" s="196"/>
      <c r="L43" s="268"/>
      <c r="M43" s="269"/>
    </row>
    <row r="44" spans="3:13" ht="34.5" customHeight="1">
      <c r="C44" s="254"/>
      <c r="D44" s="238" t="s">
        <v>1518</v>
      </c>
      <c r="E44" s="239"/>
      <c r="K44" s="196"/>
      <c r="L44" s="268"/>
      <c r="M44" s="269"/>
    </row>
    <row r="45" spans="3:13" ht="35.25" customHeight="1" thickBot="1">
      <c r="C45" s="254"/>
      <c r="D45" s="240"/>
      <c r="E45" s="241"/>
      <c r="K45" s="196"/>
      <c r="L45" s="270"/>
      <c r="M45" s="271"/>
    </row>
    <row r="46" spans="3:13" ht="34.5" customHeight="1">
      <c r="C46" s="254"/>
      <c r="D46" s="240"/>
      <c r="E46" s="241"/>
      <c r="K46" s="196"/>
      <c r="L46" s="214" t="s">
        <v>1519</v>
      </c>
      <c r="M46" s="215"/>
    </row>
    <row r="47" spans="3:13" ht="34.5" customHeight="1">
      <c r="C47" s="254"/>
      <c r="D47" s="240"/>
      <c r="E47" s="241"/>
      <c r="K47" s="196"/>
      <c r="L47" s="216"/>
      <c r="M47" s="217"/>
    </row>
    <row r="48" spans="3:13" ht="34.5" customHeight="1">
      <c r="C48" s="254"/>
      <c r="D48" s="240"/>
      <c r="E48" s="241"/>
      <c r="K48" s="196"/>
      <c r="L48" s="216"/>
      <c r="M48" s="217"/>
    </row>
    <row r="49" spans="3:13" ht="34.5" customHeight="1" thickBot="1">
      <c r="C49" s="255"/>
      <c r="D49" s="242"/>
      <c r="E49" s="243"/>
      <c r="K49" s="196"/>
      <c r="L49" s="216"/>
      <c r="M49" s="217"/>
    </row>
    <row r="50" spans="3:13" ht="34.5" customHeight="1" thickBot="1">
      <c r="K50" s="196"/>
      <c r="L50" s="216"/>
      <c r="M50" s="217"/>
    </row>
    <row r="51" spans="3:13" ht="35.25" customHeight="1">
      <c r="C51" s="244" t="s">
        <v>1520</v>
      </c>
      <c r="D51" s="247" t="s">
        <v>1521</v>
      </c>
      <c r="E51" s="248"/>
      <c r="K51" s="196"/>
      <c r="L51" s="216"/>
      <c r="M51" s="217"/>
    </row>
    <row r="52" spans="3:13" ht="34.5" customHeight="1">
      <c r="C52" s="245"/>
      <c r="D52" s="249"/>
      <c r="E52" s="250"/>
      <c r="K52" s="196"/>
      <c r="L52" s="216"/>
      <c r="M52" s="217"/>
    </row>
    <row r="53" spans="3:13" ht="34.5" customHeight="1">
      <c r="C53" s="245"/>
      <c r="D53" s="249"/>
      <c r="E53" s="250"/>
      <c r="K53" s="196"/>
      <c r="L53" s="216"/>
      <c r="M53" s="217"/>
    </row>
    <row r="54" spans="3:13" ht="34.5" customHeight="1">
      <c r="C54" s="245"/>
      <c r="D54" s="249"/>
      <c r="E54" s="250"/>
      <c r="K54" s="196"/>
      <c r="L54" s="216"/>
      <c r="M54" s="217"/>
    </row>
    <row r="55" spans="3:13" ht="35.25" customHeight="1" thickBot="1">
      <c r="C55" s="245"/>
      <c r="D55" s="249"/>
      <c r="E55" s="250"/>
      <c r="K55" s="197"/>
      <c r="L55" s="218"/>
      <c r="M55" s="219"/>
    </row>
    <row r="56" spans="3:13" ht="34.5" customHeight="1">
      <c r="C56" s="245"/>
      <c r="D56" s="249"/>
      <c r="E56" s="250"/>
    </row>
    <row r="57" spans="3:13" ht="34.5" customHeight="1" thickBot="1">
      <c r="C57" s="245"/>
      <c r="D57" s="249"/>
      <c r="E57" s="250"/>
    </row>
    <row r="58" spans="3:13" ht="35.25" customHeight="1" thickBot="1">
      <c r="C58" s="246"/>
      <c r="D58" s="251"/>
      <c r="E58" s="252"/>
      <c r="K58" s="195" t="s">
        <v>1336</v>
      </c>
      <c r="L58" s="198" t="s">
        <v>469</v>
      </c>
      <c r="M58" s="199"/>
    </row>
    <row r="59" spans="3:13" ht="35.25" thickBot="1">
      <c r="K59" s="196"/>
      <c r="L59" s="200"/>
      <c r="M59" s="201"/>
    </row>
    <row r="60" spans="3:13" ht="34.5" customHeight="1">
      <c r="K60" s="196"/>
      <c r="L60" s="266" t="s">
        <v>472</v>
      </c>
      <c r="M60" s="267"/>
    </row>
    <row r="61" spans="3:13" ht="34.5" customHeight="1">
      <c r="K61" s="196"/>
      <c r="L61" s="268"/>
      <c r="M61" s="269"/>
    </row>
    <row r="62" spans="3:13" ht="34.5" customHeight="1">
      <c r="K62" s="196"/>
      <c r="L62" s="268"/>
      <c r="M62" s="269"/>
    </row>
    <row r="63" spans="3:13" ht="35.25" thickBot="1">
      <c r="K63" s="196"/>
      <c r="L63" s="270"/>
      <c r="M63" s="271"/>
    </row>
    <row r="64" spans="3:13" ht="34.5" customHeight="1">
      <c r="K64" s="196"/>
      <c r="L64" s="214" t="s">
        <v>1522</v>
      </c>
      <c r="M64" s="215"/>
    </row>
    <row r="65" spans="11:13" ht="34.5" customHeight="1">
      <c r="K65" s="196"/>
      <c r="L65" s="216"/>
      <c r="M65" s="217"/>
    </row>
    <row r="66" spans="11:13" ht="34.5" customHeight="1">
      <c r="K66" s="196"/>
      <c r="L66" s="216"/>
      <c r="M66" s="217"/>
    </row>
    <row r="67" spans="11:13" ht="34.5" customHeight="1">
      <c r="K67" s="196"/>
      <c r="L67" s="216"/>
      <c r="M67" s="217"/>
    </row>
    <row r="68" spans="11:13" ht="34.5" customHeight="1">
      <c r="K68" s="196"/>
      <c r="L68" s="216"/>
      <c r="M68" s="217"/>
    </row>
    <row r="69" spans="11:13" ht="34.5" customHeight="1">
      <c r="K69" s="196"/>
      <c r="L69" s="216"/>
      <c r="M69" s="217"/>
    </row>
    <row r="70" spans="11:13" ht="34.5" customHeight="1">
      <c r="K70" s="196"/>
      <c r="L70" s="216"/>
      <c r="M70" s="217"/>
    </row>
    <row r="71" spans="11:13" ht="34.5" customHeight="1">
      <c r="K71" s="196"/>
      <c r="L71" s="216"/>
      <c r="M71" s="217"/>
    </row>
    <row r="72" spans="11:13" ht="34.5" customHeight="1">
      <c r="K72" s="196"/>
      <c r="L72" s="216"/>
      <c r="M72" s="217"/>
    </row>
    <row r="73" spans="11:13" ht="35.25" thickBot="1">
      <c r="K73" s="197"/>
      <c r="L73" s="218"/>
      <c r="M73" s="219"/>
    </row>
  </sheetData>
  <mergeCells count="29">
    <mergeCell ref="K40:K55"/>
    <mergeCell ref="L40:M41"/>
    <mergeCell ref="L42:M45"/>
    <mergeCell ref="L46:M55"/>
    <mergeCell ref="K58:K73"/>
    <mergeCell ref="L58:M59"/>
    <mergeCell ref="L60:M63"/>
    <mergeCell ref="L64:M73"/>
    <mergeCell ref="D44:E49"/>
    <mergeCell ref="C51:C58"/>
    <mergeCell ref="D51:E58"/>
    <mergeCell ref="C36:C49"/>
    <mergeCell ref="D38:E43"/>
    <mergeCell ref="D36:E37"/>
    <mergeCell ref="C21:C34"/>
    <mergeCell ref="D21:E28"/>
    <mergeCell ref="C2:C9"/>
    <mergeCell ref="D2:E9"/>
    <mergeCell ref="C11:C18"/>
    <mergeCell ref="D11:E18"/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2"/>
  <sheetViews>
    <sheetView topLeftCell="A271" workbookViewId="0">
      <selection activeCell="A289" sqref="A289"/>
    </sheetView>
  </sheetViews>
  <sheetFormatPr defaultColWidth="9.140625" defaultRowHeight="15"/>
  <cols>
    <col min="1" max="1" width="13.7109375" style="163" customWidth="1"/>
    <col min="2" max="2" width="72.5703125" style="163" customWidth="1"/>
    <col min="3" max="3" width="170.42578125" style="166" customWidth="1"/>
    <col min="4" max="16384" width="9.140625" style="163"/>
  </cols>
  <sheetData>
    <row r="1" spans="1:3">
      <c r="A1" s="161" t="s">
        <v>849</v>
      </c>
      <c r="B1" s="161" t="s">
        <v>850</v>
      </c>
      <c r="C1" s="162" t="s">
        <v>851</v>
      </c>
    </row>
    <row r="2" spans="1:3">
      <c r="A2" s="163" t="s">
        <v>1493</v>
      </c>
      <c r="B2" s="164" t="s">
        <v>1543</v>
      </c>
      <c r="C2" s="165" t="s">
        <v>1544</v>
      </c>
    </row>
    <row r="3" spans="1:3">
      <c r="A3" s="120" t="s">
        <v>446</v>
      </c>
      <c r="B3" s="121" t="s">
        <v>839</v>
      </c>
      <c r="C3" s="122" t="s">
        <v>1303</v>
      </c>
    </row>
    <row r="4" spans="1:3">
      <c r="A4" s="120" t="s">
        <v>447</v>
      </c>
      <c r="B4" s="121" t="s">
        <v>840</v>
      </c>
      <c r="C4" s="122" t="s">
        <v>1303</v>
      </c>
    </row>
    <row r="5" spans="1:3">
      <c r="A5" s="120" t="s">
        <v>448</v>
      </c>
      <c r="B5" s="121" t="s">
        <v>841</v>
      </c>
      <c r="C5" s="122" t="s">
        <v>1304</v>
      </c>
    </row>
    <row r="6" spans="1:3">
      <c r="A6" s="120" t="s">
        <v>450</v>
      </c>
      <c r="B6" s="121" t="s">
        <v>841</v>
      </c>
      <c r="C6" s="122" t="s">
        <v>1304</v>
      </c>
    </row>
    <row r="7" spans="1:3">
      <c r="A7" s="120" t="s">
        <v>452</v>
      </c>
      <c r="B7" s="121" t="s">
        <v>843</v>
      </c>
      <c r="C7" s="122" t="s">
        <v>1305</v>
      </c>
    </row>
    <row r="8" spans="1:3">
      <c r="A8" s="120" t="s">
        <v>449</v>
      </c>
      <c r="B8" s="121" t="s">
        <v>842</v>
      </c>
      <c r="C8" s="122" t="s">
        <v>1304</v>
      </c>
    </row>
    <row r="9" spans="1:3">
      <c r="A9" s="120" t="s">
        <v>451</v>
      </c>
      <c r="B9" s="121" t="s">
        <v>842</v>
      </c>
      <c r="C9" s="122" t="s">
        <v>1304</v>
      </c>
    </row>
    <row r="10" spans="1:3">
      <c r="A10" s="120" t="s">
        <v>453</v>
      </c>
      <c r="B10" s="121" t="s">
        <v>842</v>
      </c>
      <c r="C10" s="122" t="s">
        <v>1305</v>
      </c>
    </row>
    <row r="11" spans="1:3">
      <c r="A11" s="120" t="s">
        <v>454</v>
      </c>
      <c r="B11" s="121" t="s">
        <v>844</v>
      </c>
      <c r="C11" s="122" t="s">
        <v>1306</v>
      </c>
    </row>
    <row r="12" spans="1:3">
      <c r="A12" s="120" t="s">
        <v>456</v>
      </c>
      <c r="B12" s="121" t="s">
        <v>846</v>
      </c>
      <c r="C12" s="122" t="s">
        <v>1307</v>
      </c>
    </row>
    <row r="13" spans="1:3">
      <c r="A13" s="120" t="s">
        <v>455</v>
      </c>
      <c r="B13" s="121" t="s">
        <v>845</v>
      </c>
      <c r="C13" s="122" t="s">
        <v>1306</v>
      </c>
    </row>
    <row r="14" spans="1:3">
      <c r="A14" s="120" t="s">
        <v>457</v>
      </c>
      <c r="B14" s="121" t="s">
        <v>845</v>
      </c>
      <c r="C14" s="122" t="s">
        <v>1307</v>
      </c>
    </row>
    <row r="15" spans="1:3">
      <c r="A15" s="120" t="s">
        <v>458</v>
      </c>
      <c r="B15" s="121" t="s">
        <v>847</v>
      </c>
      <c r="C15" s="122" t="s">
        <v>1308</v>
      </c>
    </row>
    <row r="16" spans="1:3">
      <c r="A16" s="120" t="s">
        <v>1484</v>
      </c>
      <c r="B16" s="121" t="s">
        <v>847</v>
      </c>
      <c r="C16" s="122" t="s">
        <v>1502</v>
      </c>
    </row>
    <row r="17" spans="1:3">
      <c r="A17" s="120" t="s">
        <v>459</v>
      </c>
      <c r="B17" s="121" t="s">
        <v>848</v>
      </c>
      <c r="C17" s="122" t="s">
        <v>1308</v>
      </c>
    </row>
    <row r="18" spans="1:3">
      <c r="A18" s="120" t="s">
        <v>1485</v>
      </c>
      <c r="B18" s="121" t="s">
        <v>848</v>
      </c>
      <c r="C18" s="122" t="s">
        <v>1503</v>
      </c>
    </row>
    <row r="19" spans="1:3">
      <c r="A19" s="123" t="s">
        <v>205</v>
      </c>
      <c r="B19" s="55" t="s">
        <v>624</v>
      </c>
      <c r="C19" s="122" t="s">
        <v>852</v>
      </c>
    </row>
    <row r="20" spans="1:3">
      <c r="A20" s="123" t="s">
        <v>207</v>
      </c>
      <c r="B20" s="55" t="s">
        <v>626</v>
      </c>
      <c r="C20" s="122" t="s">
        <v>853</v>
      </c>
    </row>
    <row r="21" spans="1:3">
      <c r="A21" s="120" t="s">
        <v>206</v>
      </c>
      <c r="B21" s="121" t="s">
        <v>625</v>
      </c>
      <c r="C21" s="122" t="s">
        <v>1076</v>
      </c>
    </row>
    <row r="22" spans="1:3">
      <c r="A22" s="120" t="s">
        <v>209</v>
      </c>
      <c r="B22" s="121" t="s">
        <v>628</v>
      </c>
      <c r="C22" s="122" t="s">
        <v>1078</v>
      </c>
    </row>
    <row r="23" spans="1:3">
      <c r="A23" s="120" t="s">
        <v>208</v>
      </c>
      <c r="B23" s="121" t="s">
        <v>627</v>
      </c>
      <c r="C23" s="122" t="s">
        <v>1077</v>
      </c>
    </row>
    <row r="24" spans="1:3">
      <c r="A24" s="123" t="s">
        <v>211</v>
      </c>
      <c r="B24" s="55" t="s">
        <v>624</v>
      </c>
      <c r="C24" s="122" t="s">
        <v>854</v>
      </c>
    </row>
    <row r="25" spans="1:3">
      <c r="A25" s="120" t="s">
        <v>210</v>
      </c>
      <c r="B25" s="121" t="s">
        <v>629</v>
      </c>
      <c r="C25" s="122" t="s">
        <v>1079</v>
      </c>
    </row>
    <row r="26" spans="1:3">
      <c r="A26" s="120" t="s">
        <v>212</v>
      </c>
      <c r="B26" s="121" t="s">
        <v>630</v>
      </c>
      <c r="C26" s="122" t="s">
        <v>1080</v>
      </c>
    </row>
    <row r="27" spans="1:3">
      <c r="A27" s="120" t="s">
        <v>213</v>
      </c>
      <c r="B27" s="121" t="s">
        <v>631</v>
      </c>
      <c r="C27" s="122" t="s">
        <v>1081</v>
      </c>
    </row>
    <row r="28" spans="1:3">
      <c r="A28" s="120" t="s">
        <v>214</v>
      </c>
      <c r="B28" s="121" t="s">
        <v>632</v>
      </c>
      <c r="C28" s="122" t="s">
        <v>1082</v>
      </c>
    </row>
    <row r="29" spans="1:3">
      <c r="A29" s="123" t="s">
        <v>215</v>
      </c>
      <c r="B29" s="55" t="s">
        <v>855</v>
      </c>
      <c r="C29" s="122" t="s">
        <v>856</v>
      </c>
    </row>
    <row r="30" spans="1:3">
      <c r="A30" s="120" t="s">
        <v>216</v>
      </c>
      <c r="B30" s="121" t="s">
        <v>633</v>
      </c>
      <c r="C30" s="122" t="s">
        <v>1083</v>
      </c>
    </row>
    <row r="31" spans="1:3">
      <c r="A31" s="120" t="s">
        <v>217</v>
      </c>
      <c r="B31" s="121" t="s">
        <v>634</v>
      </c>
      <c r="C31" s="122" t="s">
        <v>1084</v>
      </c>
    </row>
    <row r="32" spans="1:3">
      <c r="A32" s="123" t="s">
        <v>218</v>
      </c>
      <c r="B32" s="55" t="s">
        <v>635</v>
      </c>
      <c r="C32" s="122" t="s">
        <v>857</v>
      </c>
    </row>
    <row r="33" spans="1:3">
      <c r="A33" s="120" t="s">
        <v>219</v>
      </c>
      <c r="B33" s="121" t="s">
        <v>636</v>
      </c>
      <c r="C33" s="122" t="s">
        <v>1085</v>
      </c>
    </row>
    <row r="34" spans="1:3">
      <c r="A34" s="120" t="s">
        <v>220</v>
      </c>
      <c r="B34" s="121" t="s">
        <v>637</v>
      </c>
      <c r="C34" s="122" t="s">
        <v>1086</v>
      </c>
    </row>
    <row r="35" spans="1:3">
      <c r="A35" s="120" t="s">
        <v>221</v>
      </c>
      <c r="B35" s="121" t="s">
        <v>637</v>
      </c>
      <c r="C35" s="122" t="s">
        <v>1087</v>
      </c>
    </row>
    <row r="36" spans="1:3">
      <c r="A36" s="120" t="s">
        <v>388</v>
      </c>
      <c r="B36" s="121" t="s">
        <v>786</v>
      </c>
      <c r="C36" s="122" t="s">
        <v>1256</v>
      </c>
    </row>
    <row r="37" spans="1:3">
      <c r="A37" s="120" t="s">
        <v>389</v>
      </c>
      <c r="B37" s="121" t="s">
        <v>787</v>
      </c>
      <c r="C37" s="122" t="s">
        <v>1257</v>
      </c>
    </row>
    <row r="38" spans="1:3">
      <c r="A38" s="120" t="s">
        <v>390</v>
      </c>
      <c r="B38" s="121" t="s">
        <v>788</v>
      </c>
      <c r="C38" s="122" t="s">
        <v>1258</v>
      </c>
    </row>
    <row r="39" spans="1:3">
      <c r="A39" s="166" t="s">
        <v>1535</v>
      </c>
      <c r="B39" s="121" t="s">
        <v>788</v>
      </c>
      <c r="C39" s="166" t="s">
        <v>1536</v>
      </c>
    </row>
    <row r="40" spans="1:3">
      <c r="A40" s="120" t="s">
        <v>199</v>
      </c>
      <c r="B40" s="121" t="s">
        <v>621</v>
      </c>
      <c r="C40" s="122" t="s">
        <v>1073</v>
      </c>
    </row>
    <row r="41" spans="1:3">
      <c r="A41" s="120" t="s">
        <v>200</v>
      </c>
      <c r="B41" s="121" t="s">
        <v>622</v>
      </c>
      <c r="C41" s="122" t="s">
        <v>1074</v>
      </c>
    </row>
    <row r="42" spans="1:3">
      <c r="A42" s="120" t="s">
        <v>433</v>
      </c>
      <c r="B42" s="55" t="s">
        <v>830</v>
      </c>
      <c r="C42" s="122" t="s">
        <v>1291</v>
      </c>
    </row>
    <row r="43" spans="1:3">
      <c r="A43" s="120" t="s">
        <v>434</v>
      </c>
      <c r="B43" s="55" t="s">
        <v>831</v>
      </c>
      <c r="C43" s="122" t="s">
        <v>1292</v>
      </c>
    </row>
    <row r="44" spans="1:3">
      <c r="A44" s="120" t="s">
        <v>435</v>
      </c>
      <c r="B44" s="55" t="s">
        <v>831</v>
      </c>
      <c r="C44" s="122" t="s">
        <v>1293</v>
      </c>
    </row>
    <row r="45" spans="1:3">
      <c r="A45" s="120" t="s">
        <v>436</v>
      </c>
      <c r="B45" s="55" t="s">
        <v>832</v>
      </c>
      <c r="C45" s="122" t="s">
        <v>1294</v>
      </c>
    </row>
    <row r="46" spans="1:3">
      <c r="A46" s="120" t="s">
        <v>437</v>
      </c>
      <c r="B46" s="121" t="s">
        <v>830</v>
      </c>
      <c r="C46" s="122" t="s">
        <v>1295</v>
      </c>
    </row>
    <row r="47" spans="1:3">
      <c r="A47" s="120" t="s">
        <v>61</v>
      </c>
      <c r="B47" s="121" t="s">
        <v>515</v>
      </c>
      <c r="C47" s="122" t="s">
        <v>960</v>
      </c>
    </row>
    <row r="48" spans="1:3">
      <c r="A48" s="120" t="s">
        <v>62</v>
      </c>
      <c r="B48" s="121" t="s">
        <v>516</v>
      </c>
      <c r="C48" s="122" t="s">
        <v>961</v>
      </c>
    </row>
    <row r="49" spans="1:3">
      <c r="A49" s="120" t="s">
        <v>63</v>
      </c>
      <c r="B49" s="121" t="s">
        <v>517</v>
      </c>
      <c r="C49" s="122" t="s">
        <v>962</v>
      </c>
    </row>
    <row r="50" spans="1:3">
      <c r="A50" s="120" t="s">
        <v>444</v>
      </c>
      <c r="B50" s="121" t="s">
        <v>838</v>
      </c>
      <c r="C50" s="122" t="s">
        <v>1302</v>
      </c>
    </row>
    <row r="51" spans="1:3">
      <c r="A51" s="120" t="s">
        <v>64</v>
      </c>
      <c r="B51" s="121" t="s">
        <v>518</v>
      </c>
      <c r="C51" s="122" t="s">
        <v>963</v>
      </c>
    </row>
    <row r="52" spans="1:3">
      <c r="A52" s="120" t="s">
        <v>440</v>
      </c>
      <c r="B52" s="121" t="s">
        <v>835</v>
      </c>
      <c r="C52" s="122" t="s">
        <v>1298</v>
      </c>
    </row>
    <row r="53" spans="1:3">
      <c r="A53" s="120" t="s">
        <v>441</v>
      </c>
      <c r="B53" s="121" t="s">
        <v>836</v>
      </c>
      <c r="C53" s="122" t="s">
        <v>1299</v>
      </c>
    </row>
    <row r="54" spans="1:3">
      <c r="A54" s="120" t="s">
        <v>442</v>
      </c>
      <c r="B54" s="121" t="s">
        <v>836</v>
      </c>
      <c r="C54" s="122" t="s">
        <v>1300</v>
      </c>
    </row>
    <row r="55" spans="1:3">
      <c r="A55" s="120" t="s">
        <v>443</v>
      </c>
      <c r="B55" s="121" t="s">
        <v>837</v>
      </c>
      <c r="C55" s="122" t="s">
        <v>1301</v>
      </c>
    </row>
    <row r="56" spans="1:3">
      <c r="A56" s="120" t="s">
        <v>198</v>
      </c>
      <c r="B56" s="121" t="s">
        <v>620</v>
      </c>
      <c r="C56" s="122" t="s">
        <v>1072</v>
      </c>
    </row>
    <row r="57" spans="1:3">
      <c r="A57" s="120" t="s">
        <v>201</v>
      </c>
      <c r="B57" s="121" t="s">
        <v>623</v>
      </c>
      <c r="C57" s="122" t="s">
        <v>1075</v>
      </c>
    </row>
    <row r="58" spans="1:3">
      <c r="A58" s="120" t="s">
        <v>361</v>
      </c>
      <c r="B58" s="55" t="s">
        <v>762</v>
      </c>
      <c r="C58" s="122" t="s">
        <v>1234</v>
      </c>
    </row>
    <row r="59" spans="1:3">
      <c r="A59" s="120" t="s">
        <v>362</v>
      </c>
      <c r="B59" s="55" t="s">
        <v>763</v>
      </c>
      <c r="C59" s="122" t="s">
        <v>1235</v>
      </c>
    </row>
    <row r="60" spans="1:3">
      <c r="A60" s="120" t="s">
        <v>363</v>
      </c>
      <c r="B60" s="55" t="s">
        <v>764</v>
      </c>
      <c r="C60" s="122" t="s">
        <v>1236</v>
      </c>
    </row>
    <row r="61" spans="1:3">
      <c r="A61" s="120" t="s">
        <v>414</v>
      </c>
      <c r="B61" s="55" t="s">
        <v>812</v>
      </c>
      <c r="C61" s="122" t="s">
        <v>1279</v>
      </c>
    </row>
    <row r="62" spans="1:3">
      <c r="A62" s="120" t="s">
        <v>415</v>
      </c>
      <c r="B62" s="55" t="s">
        <v>812</v>
      </c>
      <c r="C62" s="122" t="s">
        <v>1280</v>
      </c>
    </row>
    <row r="63" spans="1:3">
      <c r="A63" s="123" t="s">
        <v>416</v>
      </c>
      <c r="B63" s="55" t="s">
        <v>813</v>
      </c>
      <c r="C63" s="122" t="s">
        <v>858</v>
      </c>
    </row>
    <row r="64" spans="1:3">
      <c r="A64" s="123" t="s">
        <v>417</v>
      </c>
      <c r="B64" s="55" t="s">
        <v>814</v>
      </c>
      <c r="C64" s="122" t="s">
        <v>859</v>
      </c>
    </row>
    <row r="65" spans="1:3">
      <c r="A65" s="123" t="s">
        <v>418</v>
      </c>
      <c r="B65" s="55" t="s">
        <v>815</v>
      </c>
      <c r="C65" s="122" t="s">
        <v>860</v>
      </c>
    </row>
    <row r="66" spans="1:3">
      <c r="A66" s="123" t="s">
        <v>419</v>
      </c>
      <c r="B66" s="55" t="s">
        <v>816</v>
      </c>
      <c r="C66" s="122" t="s">
        <v>861</v>
      </c>
    </row>
    <row r="67" spans="1:3">
      <c r="A67" s="120" t="s">
        <v>283</v>
      </c>
      <c r="B67" s="55" t="s">
        <v>695</v>
      </c>
      <c r="C67" s="122" t="s">
        <v>1163</v>
      </c>
    </row>
    <row r="68" spans="1:3">
      <c r="A68" s="163" t="s">
        <v>1361</v>
      </c>
      <c r="B68" s="121" t="s">
        <v>1362</v>
      </c>
      <c r="C68" s="124" t="s">
        <v>1363</v>
      </c>
    </row>
    <row r="69" spans="1:3">
      <c r="A69" s="120" t="s">
        <v>284</v>
      </c>
      <c r="B69" s="55" t="s">
        <v>696</v>
      </c>
      <c r="C69" s="122" t="s">
        <v>1164</v>
      </c>
    </row>
    <row r="70" spans="1:3">
      <c r="A70" s="120" t="s">
        <v>285</v>
      </c>
      <c r="B70" s="55" t="s">
        <v>697</v>
      </c>
      <c r="C70" s="122" t="s">
        <v>1165</v>
      </c>
    </row>
    <row r="71" spans="1:3">
      <c r="A71" s="120" t="s">
        <v>286</v>
      </c>
      <c r="B71" s="55" t="s">
        <v>698</v>
      </c>
      <c r="C71" s="122" t="s">
        <v>1166</v>
      </c>
    </row>
    <row r="72" spans="1:3">
      <c r="A72" s="120" t="s">
        <v>287</v>
      </c>
      <c r="B72" s="121" t="s">
        <v>699</v>
      </c>
      <c r="C72" s="122" t="s">
        <v>1167</v>
      </c>
    </row>
    <row r="73" spans="1:3">
      <c r="A73" s="120" t="s">
        <v>288</v>
      </c>
      <c r="B73" s="121" t="s">
        <v>700</v>
      </c>
      <c r="C73" s="122" t="s">
        <v>1168</v>
      </c>
    </row>
    <row r="74" spans="1:3">
      <c r="A74" s="120" t="s">
        <v>336</v>
      </c>
      <c r="B74" s="121" t="s">
        <v>742</v>
      </c>
      <c r="C74" s="122" t="s">
        <v>1208</v>
      </c>
    </row>
    <row r="75" spans="1:3">
      <c r="A75" s="123" t="s">
        <v>335</v>
      </c>
      <c r="B75" s="55" t="s">
        <v>1147</v>
      </c>
      <c r="C75" s="122" t="s">
        <v>1148</v>
      </c>
    </row>
    <row r="76" spans="1:3">
      <c r="A76" s="163" t="s">
        <v>1364</v>
      </c>
      <c r="B76" s="121" t="s">
        <v>1365</v>
      </c>
      <c r="C76" s="124" t="s">
        <v>1366</v>
      </c>
    </row>
    <row r="77" spans="1:3">
      <c r="A77" s="120" t="s">
        <v>466</v>
      </c>
      <c r="B77" s="121" t="s">
        <v>759</v>
      </c>
      <c r="C77" s="122" t="s">
        <v>1223</v>
      </c>
    </row>
    <row r="78" spans="1:3">
      <c r="A78" s="120" t="s">
        <v>289</v>
      </c>
      <c r="B78" s="55" t="s">
        <v>701</v>
      </c>
      <c r="C78" s="122" t="s">
        <v>1169</v>
      </c>
    </row>
    <row r="79" spans="1:3">
      <c r="A79" s="120" t="s">
        <v>290</v>
      </c>
      <c r="B79" s="55" t="s">
        <v>702</v>
      </c>
      <c r="C79" s="122" t="s">
        <v>1170</v>
      </c>
    </row>
    <row r="80" spans="1:3">
      <c r="A80" s="120" t="s">
        <v>357</v>
      </c>
      <c r="B80" s="121" t="s">
        <v>759</v>
      </c>
      <c r="C80" s="122" t="s">
        <v>1224</v>
      </c>
    </row>
    <row r="81" spans="1:3">
      <c r="A81" s="123" t="s">
        <v>358</v>
      </c>
      <c r="B81" s="55" t="s">
        <v>1149</v>
      </c>
      <c r="C81" s="122" t="s">
        <v>1150</v>
      </c>
    </row>
    <row r="82" spans="1:3">
      <c r="A82" s="120" t="s">
        <v>291</v>
      </c>
      <c r="B82" s="55" t="s">
        <v>703</v>
      </c>
      <c r="C82" s="122" t="s">
        <v>1171</v>
      </c>
    </row>
    <row r="83" spans="1:3">
      <c r="A83" s="123" t="s">
        <v>325</v>
      </c>
      <c r="B83" s="55" t="s">
        <v>733</v>
      </c>
      <c r="C83" s="122" t="s">
        <v>1151</v>
      </c>
    </row>
    <row r="84" spans="1:3">
      <c r="A84" s="163" t="s">
        <v>1545</v>
      </c>
      <c r="B84" s="164" t="s">
        <v>712</v>
      </c>
      <c r="C84" s="166" t="s">
        <v>1546</v>
      </c>
    </row>
    <row r="85" spans="1:3">
      <c r="A85" s="120" t="s">
        <v>292</v>
      </c>
      <c r="B85" s="55" t="s">
        <v>704</v>
      </c>
      <c r="C85" s="122" t="s">
        <v>1172</v>
      </c>
    </row>
    <row r="86" spans="1:3">
      <c r="A86" s="163" t="s">
        <v>1367</v>
      </c>
      <c r="B86" s="121" t="s">
        <v>1368</v>
      </c>
      <c r="C86" s="124" t="s">
        <v>1369</v>
      </c>
    </row>
    <row r="87" spans="1:3">
      <c r="A87" s="120" t="s">
        <v>293</v>
      </c>
      <c r="B87" s="55" t="s">
        <v>705</v>
      </c>
      <c r="C87" s="122" t="s">
        <v>1173</v>
      </c>
    </row>
    <row r="88" spans="1:3">
      <c r="A88" s="120" t="s">
        <v>294</v>
      </c>
      <c r="B88" s="55" t="s">
        <v>706</v>
      </c>
      <c r="C88" s="122" t="s">
        <v>1174</v>
      </c>
    </row>
    <row r="89" spans="1:3">
      <c r="A89" s="163" t="s">
        <v>1370</v>
      </c>
      <c r="B89" s="121" t="s">
        <v>1371</v>
      </c>
      <c r="C89" s="122" t="s">
        <v>1372</v>
      </c>
    </row>
    <row r="90" spans="1:3">
      <c r="A90" s="120" t="s">
        <v>295</v>
      </c>
      <c r="B90" s="55" t="s">
        <v>707</v>
      </c>
      <c r="C90" s="122" t="s">
        <v>1175</v>
      </c>
    </row>
    <row r="91" spans="1:3">
      <c r="A91" s="120" t="s">
        <v>326</v>
      </c>
      <c r="B91" s="121" t="s">
        <v>734</v>
      </c>
      <c r="C91" s="122" t="s">
        <v>1199</v>
      </c>
    </row>
    <row r="92" spans="1:3">
      <c r="A92" s="120" t="s">
        <v>327</v>
      </c>
      <c r="B92" s="121" t="s">
        <v>735</v>
      </c>
      <c r="C92" s="122" t="s">
        <v>1200</v>
      </c>
    </row>
    <row r="93" spans="1:3">
      <c r="A93" s="120" t="s">
        <v>328</v>
      </c>
      <c r="B93" s="121" t="s">
        <v>735</v>
      </c>
      <c r="C93" s="122" t="s">
        <v>1201</v>
      </c>
    </row>
    <row r="94" spans="1:3">
      <c r="A94" s="120" t="s">
        <v>329</v>
      </c>
      <c r="B94" s="121" t="s">
        <v>736</v>
      </c>
      <c r="C94" s="122" t="s">
        <v>1202</v>
      </c>
    </row>
    <row r="95" spans="1:3">
      <c r="A95" s="120" t="s">
        <v>330</v>
      </c>
      <c r="B95" s="121" t="s">
        <v>736</v>
      </c>
      <c r="C95" s="122" t="s">
        <v>1203</v>
      </c>
    </row>
    <row r="96" spans="1:3">
      <c r="A96" s="120" t="s">
        <v>331</v>
      </c>
      <c r="B96" s="121" t="s">
        <v>737</v>
      </c>
      <c r="C96" s="122" t="s">
        <v>1204</v>
      </c>
    </row>
    <row r="97" spans="1:3">
      <c r="A97" s="123" t="s">
        <v>468</v>
      </c>
      <c r="B97" s="55" t="s">
        <v>738</v>
      </c>
      <c r="C97" s="122" t="s">
        <v>1152</v>
      </c>
    </row>
    <row r="98" spans="1:3">
      <c r="A98" s="120" t="s">
        <v>296</v>
      </c>
      <c r="B98" s="121" t="s">
        <v>708</v>
      </c>
      <c r="C98" s="122" t="s">
        <v>1176</v>
      </c>
    </row>
    <row r="99" spans="1:3">
      <c r="A99" s="163" t="s">
        <v>1373</v>
      </c>
      <c r="B99" s="121" t="s">
        <v>1374</v>
      </c>
      <c r="C99" s="122" t="s">
        <v>1375</v>
      </c>
    </row>
    <row r="100" spans="1:3">
      <c r="A100" s="123" t="s">
        <v>297</v>
      </c>
      <c r="B100" s="55" t="s">
        <v>709</v>
      </c>
      <c r="C100" s="122" t="s">
        <v>1153</v>
      </c>
    </row>
    <row r="101" spans="1:3">
      <c r="A101" s="120" t="s">
        <v>298</v>
      </c>
      <c r="B101" s="121" t="s">
        <v>710</v>
      </c>
      <c r="C101" s="122" t="s">
        <v>1177</v>
      </c>
    </row>
    <row r="102" spans="1:3">
      <c r="A102" s="120" t="s">
        <v>299</v>
      </c>
      <c r="B102" s="121" t="s">
        <v>711</v>
      </c>
      <c r="C102" s="122" t="s">
        <v>1178</v>
      </c>
    </row>
    <row r="103" spans="1:3">
      <c r="A103" s="120" t="s">
        <v>300</v>
      </c>
      <c r="B103" s="121" t="s">
        <v>711</v>
      </c>
      <c r="C103" s="122" t="s">
        <v>1179</v>
      </c>
    </row>
    <row r="104" spans="1:3">
      <c r="A104" s="123" t="s">
        <v>301</v>
      </c>
      <c r="B104" s="55" t="s">
        <v>712</v>
      </c>
      <c r="C104" s="122" t="s">
        <v>1154</v>
      </c>
    </row>
    <row r="105" spans="1:3">
      <c r="A105" s="120" t="s">
        <v>302</v>
      </c>
      <c r="B105" s="121" t="s">
        <v>706</v>
      </c>
      <c r="C105" s="122" t="s">
        <v>1180</v>
      </c>
    </row>
    <row r="106" spans="1:3">
      <c r="A106" s="120" t="s">
        <v>303</v>
      </c>
      <c r="B106" s="121" t="s">
        <v>713</v>
      </c>
      <c r="C106" s="122" t="s">
        <v>1181</v>
      </c>
    </row>
    <row r="107" spans="1:3">
      <c r="A107" s="123" t="s">
        <v>304</v>
      </c>
      <c r="B107" s="55" t="s">
        <v>714</v>
      </c>
      <c r="C107" s="122" t="s">
        <v>1155</v>
      </c>
    </row>
    <row r="108" spans="1:3">
      <c r="A108" s="120" t="s">
        <v>305</v>
      </c>
      <c r="B108" s="121" t="s">
        <v>715</v>
      </c>
      <c r="C108" s="122" t="s">
        <v>1182</v>
      </c>
    </row>
    <row r="109" spans="1:3">
      <c r="A109" s="120" t="s">
        <v>306</v>
      </c>
      <c r="B109" s="121" t="s">
        <v>716</v>
      </c>
      <c r="C109" s="122" t="s">
        <v>1183</v>
      </c>
    </row>
    <row r="110" spans="1:3">
      <c r="A110" s="120" t="s">
        <v>308</v>
      </c>
      <c r="B110" s="121" t="s">
        <v>718</v>
      </c>
      <c r="C110" s="122" t="s">
        <v>1184</v>
      </c>
    </row>
    <row r="111" spans="1:3">
      <c r="A111" s="120" t="s">
        <v>309</v>
      </c>
      <c r="B111" s="121" t="s">
        <v>719</v>
      </c>
      <c r="C111" s="122" t="s">
        <v>1185</v>
      </c>
    </row>
    <row r="112" spans="1:3">
      <c r="A112" s="163" t="s">
        <v>1498</v>
      </c>
      <c r="B112" s="55" t="s">
        <v>719</v>
      </c>
      <c r="C112" s="166" t="s">
        <v>1501</v>
      </c>
    </row>
    <row r="113" spans="1:3">
      <c r="A113" s="123" t="s">
        <v>307</v>
      </c>
      <c r="B113" s="55" t="s">
        <v>717</v>
      </c>
      <c r="C113" s="122" t="s">
        <v>1156</v>
      </c>
    </row>
    <row r="114" spans="1:3">
      <c r="A114" s="120" t="s">
        <v>310</v>
      </c>
      <c r="B114" s="121" t="s">
        <v>720</v>
      </c>
      <c r="C114" s="122" t="s">
        <v>1186</v>
      </c>
    </row>
    <row r="115" spans="1:3">
      <c r="A115" s="123" t="s">
        <v>311</v>
      </c>
      <c r="B115" s="55" t="s">
        <v>721</v>
      </c>
      <c r="C115" s="122" t="s">
        <v>1157</v>
      </c>
    </row>
    <row r="116" spans="1:3">
      <c r="A116" s="120" t="s">
        <v>312</v>
      </c>
      <c r="B116" s="121" t="s">
        <v>722</v>
      </c>
      <c r="C116" s="122" t="s">
        <v>1187</v>
      </c>
    </row>
    <row r="117" spans="1:3">
      <c r="A117" s="123" t="s">
        <v>313</v>
      </c>
      <c r="B117" s="55" t="s">
        <v>723</v>
      </c>
      <c r="C117" s="122" t="s">
        <v>1158</v>
      </c>
    </row>
    <row r="118" spans="1:3">
      <c r="A118" s="120" t="s">
        <v>314</v>
      </c>
      <c r="B118" s="121" t="s">
        <v>724</v>
      </c>
      <c r="C118" s="122" t="s">
        <v>1188</v>
      </c>
    </row>
    <row r="119" spans="1:3">
      <c r="A119" s="120" t="s">
        <v>315</v>
      </c>
      <c r="B119" s="121" t="s">
        <v>725</v>
      </c>
      <c r="C119" s="122" t="s">
        <v>1189</v>
      </c>
    </row>
    <row r="120" spans="1:3">
      <c r="A120" s="120" t="s">
        <v>316</v>
      </c>
      <c r="B120" s="121" t="s">
        <v>726</v>
      </c>
      <c r="C120" s="122" t="s">
        <v>1190</v>
      </c>
    </row>
    <row r="121" spans="1:3">
      <c r="A121" s="163" t="s">
        <v>1376</v>
      </c>
      <c r="B121" s="121" t="s">
        <v>1377</v>
      </c>
      <c r="C121" s="122" t="s">
        <v>1378</v>
      </c>
    </row>
    <row r="122" spans="1:3">
      <c r="A122" s="120" t="s">
        <v>317</v>
      </c>
      <c r="B122" s="121" t="s">
        <v>727</v>
      </c>
      <c r="C122" s="122" t="s">
        <v>1191</v>
      </c>
    </row>
    <row r="123" spans="1:3">
      <c r="A123" s="120" t="s">
        <v>320</v>
      </c>
      <c r="B123" s="121" t="s">
        <v>730</v>
      </c>
      <c r="C123" s="122" t="s">
        <v>1194</v>
      </c>
    </row>
    <row r="124" spans="1:3">
      <c r="A124" s="120" t="s">
        <v>321</v>
      </c>
      <c r="B124" s="121" t="s">
        <v>728</v>
      </c>
      <c r="C124" s="122" t="s">
        <v>1195</v>
      </c>
    </row>
    <row r="125" spans="1:3">
      <c r="A125" s="120" t="s">
        <v>318</v>
      </c>
      <c r="B125" s="121" t="s">
        <v>728</v>
      </c>
      <c r="C125" s="122" t="s">
        <v>1192</v>
      </c>
    </row>
    <row r="126" spans="1:3">
      <c r="A126" s="120" t="s">
        <v>322</v>
      </c>
      <c r="B126" s="121" t="s">
        <v>729</v>
      </c>
      <c r="C126" s="122" t="s">
        <v>1196</v>
      </c>
    </row>
    <row r="127" spans="1:3">
      <c r="A127" s="120" t="s">
        <v>319</v>
      </c>
      <c r="B127" s="121" t="s">
        <v>729</v>
      </c>
      <c r="C127" s="122" t="s">
        <v>1193</v>
      </c>
    </row>
    <row r="128" spans="1:3">
      <c r="A128" s="120" t="s">
        <v>324</v>
      </c>
      <c r="B128" s="121" t="s">
        <v>732</v>
      </c>
      <c r="C128" s="122" t="s">
        <v>1198</v>
      </c>
    </row>
    <row r="129" spans="1:3">
      <c r="A129" s="120" t="s">
        <v>323</v>
      </c>
      <c r="B129" s="121" t="s">
        <v>731</v>
      </c>
      <c r="C129" s="122" t="s">
        <v>1197</v>
      </c>
    </row>
    <row r="130" spans="1:3">
      <c r="A130" s="120" t="s">
        <v>332</v>
      </c>
      <c r="B130" s="121" t="s">
        <v>739</v>
      </c>
      <c r="C130" s="122" t="s">
        <v>1205</v>
      </c>
    </row>
    <row r="131" spans="1:3">
      <c r="A131" s="120" t="s">
        <v>1328</v>
      </c>
      <c r="B131" s="121" t="s">
        <v>1329</v>
      </c>
      <c r="C131" s="122" t="s">
        <v>1330</v>
      </c>
    </row>
    <row r="132" spans="1:3">
      <c r="A132" s="120" t="s">
        <v>333</v>
      </c>
      <c r="B132" s="121" t="s">
        <v>740</v>
      </c>
      <c r="C132" s="122" t="s">
        <v>1206</v>
      </c>
    </row>
    <row r="133" spans="1:3">
      <c r="A133" s="120" t="s">
        <v>334</v>
      </c>
      <c r="B133" s="121" t="s">
        <v>741</v>
      </c>
      <c r="C133" s="122" t="s">
        <v>1207</v>
      </c>
    </row>
    <row r="134" spans="1:3">
      <c r="A134" s="123" t="s">
        <v>340</v>
      </c>
      <c r="B134" s="55" t="s">
        <v>745</v>
      </c>
      <c r="C134" s="122" t="s">
        <v>1159</v>
      </c>
    </row>
    <row r="135" spans="1:3">
      <c r="A135" s="120" t="s">
        <v>337</v>
      </c>
      <c r="B135" s="121" t="s">
        <v>743</v>
      </c>
      <c r="C135" s="122" t="s">
        <v>1209</v>
      </c>
    </row>
    <row r="136" spans="1:3">
      <c r="A136" s="120" t="s">
        <v>338</v>
      </c>
      <c r="B136" s="121" t="s">
        <v>743</v>
      </c>
      <c r="C136" s="122" t="s">
        <v>1210</v>
      </c>
    </row>
    <row r="137" spans="1:3">
      <c r="A137" s="120" t="s">
        <v>339</v>
      </c>
      <c r="B137" s="121" t="s">
        <v>744</v>
      </c>
      <c r="C137" s="122" t="s">
        <v>1211</v>
      </c>
    </row>
    <row r="138" spans="1:3">
      <c r="A138" s="120" t="s">
        <v>341</v>
      </c>
      <c r="B138" s="121" t="s">
        <v>746</v>
      </c>
      <c r="C138" s="122" t="s">
        <v>1212</v>
      </c>
    </row>
    <row r="139" spans="1:3">
      <c r="A139" s="120" t="s">
        <v>342</v>
      </c>
      <c r="B139" s="121" t="s">
        <v>747</v>
      </c>
      <c r="C139" s="122" t="s">
        <v>1213</v>
      </c>
    </row>
    <row r="140" spans="1:3">
      <c r="A140" s="123" t="s">
        <v>1324</v>
      </c>
      <c r="B140" s="55" t="s">
        <v>1588</v>
      </c>
      <c r="C140" s="124" t="s">
        <v>1325</v>
      </c>
    </row>
    <row r="141" spans="1:3">
      <c r="A141" s="120" t="s">
        <v>343</v>
      </c>
      <c r="B141" s="121" t="s">
        <v>748</v>
      </c>
      <c r="C141" s="122" t="s">
        <v>1214</v>
      </c>
    </row>
    <row r="142" spans="1:3">
      <c r="A142" s="123" t="s">
        <v>345</v>
      </c>
      <c r="B142" s="55" t="s">
        <v>749</v>
      </c>
      <c r="C142" s="122" t="s">
        <v>1160</v>
      </c>
    </row>
    <row r="143" spans="1:3">
      <c r="A143" s="120" t="s">
        <v>346</v>
      </c>
      <c r="B143" s="121" t="s">
        <v>750</v>
      </c>
      <c r="C143" s="122" t="s">
        <v>1215</v>
      </c>
    </row>
    <row r="144" spans="1:3">
      <c r="A144" s="120" t="s">
        <v>347</v>
      </c>
      <c r="B144" s="121" t="s">
        <v>751</v>
      </c>
      <c r="C144" s="122" t="s">
        <v>1216</v>
      </c>
    </row>
    <row r="145" spans="1:3">
      <c r="A145" s="120" t="s">
        <v>348</v>
      </c>
      <c r="B145" s="121" t="s">
        <v>752</v>
      </c>
      <c r="C145" s="122" t="s">
        <v>1217</v>
      </c>
    </row>
    <row r="146" spans="1:3">
      <c r="A146" s="120" t="s">
        <v>349</v>
      </c>
      <c r="B146" s="121" t="s">
        <v>753</v>
      </c>
      <c r="C146" s="122" t="s">
        <v>1218</v>
      </c>
    </row>
    <row r="147" spans="1:3">
      <c r="A147" s="163" t="s">
        <v>1379</v>
      </c>
      <c r="B147" s="121" t="s">
        <v>1380</v>
      </c>
      <c r="C147" s="124" t="s">
        <v>1381</v>
      </c>
    </row>
    <row r="148" spans="1:3">
      <c r="A148" s="123" t="s">
        <v>351</v>
      </c>
      <c r="B148" s="55" t="s">
        <v>754</v>
      </c>
      <c r="C148" s="122" t="s">
        <v>1161</v>
      </c>
    </row>
    <row r="149" spans="1:3">
      <c r="A149" s="163" t="s">
        <v>1382</v>
      </c>
      <c r="B149" s="55" t="s">
        <v>754</v>
      </c>
      <c r="C149" s="122" t="s">
        <v>1383</v>
      </c>
    </row>
    <row r="150" spans="1:3">
      <c r="A150" s="163" t="s">
        <v>1384</v>
      </c>
      <c r="B150" s="55" t="s">
        <v>755</v>
      </c>
      <c r="C150" s="122" t="s">
        <v>1385</v>
      </c>
    </row>
    <row r="151" spans="1:3">
      <c r="A151" s="123" t="s">
        <v>352</v>
      </c>
      <c r="B151" s="55" t="s">
        <v>755</v>
      </c>
      <c r="C151" s="122" t="s">
        <v>1162</v>
      </c>
    </row>
    <row r="152" spans="1:3">
      <c r="A152" s="163" t="s">
        <v>1386</v>
      </c>
      <c r="B152" s="55" t="s">
        <v>1387</v>
      </c>
      <c r="C152" s="122" t="s">
        <v>1388</v>
      </c>
    </row>
    <row r="153" spans="1:3">
      <c r="A153" s="120" t="s">
        <v>353</v>
      </c>
      <c r="B153" s="121" t="s">
        <v>756</v>
      </c>
      <c r="C153" s="122" t="s">
        <v>1219</v>
      </c>
    </row>
    <row r="154" spans="1:3">
      <c r="A154" s="120" t="s">
        <v>354</v>
      </c>
      <c r="B154" s="121" t="s">
        <v>756</v>
      </c>
      <c r="C154" s="122" t="s">
        <v>1220</v>
      </c>
    </row>
    <row r="155" spans="1:3">
      <c r="A155" s="120" t="s">
        <v>1542</v>
      </c>
      <c r="B155" s="164" t="s">
        <v>1547</v>
      </c>
      <c r="C155" s="122" t="s">
        <v>1548</v>
      </c>
    </row>
    <row r="156" spans="1:3">
      <c r="A156" s="120" t="s">
        <v>465</v>
      </c>
      <c r="B156" s="121" t="s">
        <v>760</v>
      </c>
      <c r="C156" s="122" t="s">
        <v>1225</v>
      </c>
    </row>
    <row r="157" spans="1:3">
      <c r="A157" s="120" t="s">
        <v>356</v>
      </c>
      <c r="B157" s="121" t="s">
        <v>761</v>
      </c>
      <c r="C157" s="122" t="s">
        <v>1226</v>
      </c>
    </row>
    <row r="158" spans="1:3">
      <c r="A158" s="166" t="s">
        <v>1549</v>
      </c>
      <c r="B158" s="164" t="s">
        <v>758</v>
      </c>
      <c r="C158" s="166" t="s">
        <v>1550</v>
      </c>
    </row>
    <row r="159" spans="1:3">
      <c r="A159" s="120" t="s">
        <v>359</v>
      </c>
      <c r="B159" s="121" t="s">
        <v>758</v>
      </c>
      <c r="C159" s="122" t="s">
        <v>1222</v>
      </c>
    </row>
    <row r="160" spans="1:3">
      <c r="A160" s="120" t="s">
        <v>355</v>
      </c>
      <c r="B160" s="121" t="s">
        <v>757</v>
      </c>
      <c r="C160" s="122" t="s">
        <v>1221</v>
      </c>
    </row>
    <row r="161" spans="1:3">
      <c r="A161" s="120" t="s">
        <v>222</v>
      </c>
      <c r="B161" s="121" t="s">
        <v>638</v>
      </c>
      <c r="C161" s="122" t="s">
        <v>1088</v>
      </c>
    </row>
    <row r="162" spans="1:3">
      <c r="A162" s="120" t="s">
        <v>223</v>
      </c>
      <c r="B162" s="121" t="s">
        <v>639</v>
      </c>
      <c r="C162" s="122" t="s">
        <v>1089</v>
      </c>
    </row>
    <row r="163" spans="1:3">
      <c r="A163" s="120" t="s">
        <v>224</v>
      </c>
      <c r="B163" s="121" t="s">
        <v>640</v>
      </c>
      <c r="C163" s="122" t="s">
        <v>1090</v>
      </c>
    </row>
    <row r="164" spans="1:3">
      <c r="A164" s="120" t="s">
        <v>65</v>
      </c>
      <c r="B164" s="121" t="s">
        <v>519</v>
      </c>
      <c r="C164" s="122" t="s">
        <v>964</v>
      </c>
    </row>
    <row r="165" spans="1:3">
      <c r="A165" s="120" t="s">
        <v>66</v>
      </c>
      <c r="B165" s="121" t="s">
        <v>519</v>
      </c>
      <c r="C165" s="122" t="s">
        <v>965</v>
      </c>
    </row>
    <row r="166" spans="1:3">
      <c r="A166" s="120" t="s">
        <v>438</v>
      </c>
      <c r="B166" s="121" t="s">
        <v>833</v>
      </c>
      <c r="C166" s="122" t="s">
        <v>1296</v>
      </c>
    </row>
    <row r="167" spans="1:3">
      <c r="A167" s="120" t="s">
        <v>439</v>
      </c>
      <c r="B167" s="121" t="s">
        <v>834</v>
      </c>
      <c r="C167" s="122" t="s">
        <v>1297</v>
      </c>
    </row>
    <row r="168" spans="1:3">
      <c r="A168" s="120" t="s">
        <v>52</v>
      </c>
      <c r="B168" s="121" t="s">
        <v>508</v>
      </c>
      <c r="C168" s="122" t="s">
        <v>952</v>
      </c>
    </row>
    <row r="169" spans="1:3">
      <c r="A169" s="120" t="s">
        <v>53</v>
      </c>
      <c r="B169" s="121" t="s">
        <v>508</v>
      </c>
      <c r="C169" s="122" t="s">
        <v>953</v>
      </c>
    </row>
    <row r="170" spans="1:3">
      <c r="A170" s="120" t="s">
        <v>54</v>
      </c>
      <c r="B170" s="121" t="s">
        <v>509</v>
      </c>
      <c r="C170" s="122" t="s">
        <v>954</v>
      </c>
    </row>
    <row r="171" spans="1:3">
      <c r="A171" s="120" t="s">
        <v>55</v>
      </c>
      <c r="B171" s="121" t="s">
        <v>510</v>
      </c>
      <c r="C171" s="122" t="s">
        <v>955</v>
      </c>
    </row>
    <row r="172" spans="1:3">
      <c r="A172" s="120" t="s">
        <v>56</v>
      </c>
      <c r="B172" s="121" t="s">
        <v>511</v>
      </c>
      <c r="C172" s="122" t="s">
        <v>956</v>
      </c>
    </row>
    <row r="173" spans="1:3">
      <c r="A173" s="120" t="s">
        <v>57</v>
      </c>
      <c r="B173" s="121" t="s">
        <v>512</v>
      </c>
      <c r="C173" s="122" t="s">
        <v>957</v>
      </c>
    </row>
    <row r="174" spans="1:3">
      <c r="A174" s="123" t="s">
        <v>58</v>
      </c>
      <c r="B174" s="55" t="s">
        <v>865</v>
      </c>
      <c r="C174" s="122" t="s">
        <v>866</v>
      </c>
    </row>
    <row r="175" spans="1:3">
      <c r="A175" s="120" t="s">
        <v>1339</v>
      </c>
      <c r="B175" s="121" t="s">
        <v>1341</v>
      </c>
      <c r="C175" s="122" t="s">
        <v>1340</v>
      </c>
    </row>
    <row r="176" spans="1:3">
      <c r="A176" s="120" t="s">
        <v>59</v>
      </c>
      <c r="B176" s="121" t="s">
        <v>513</v>
      </c>
      <c r="C176" s="122" t="s">
        <v>958</v>
      </c>
    </row>
    <row r="177" spans="1:3">
      <c r="A177" s="120" t="s">
        <v>60</v>
      </c>
      <c r="B177" s="121" t="s">
        <v>514</v>
      </c>
      <c r="C177" s="122" t="s">
        <v>959</v>
      </c>
    </row>
    <row r="178" spans="1:3">
      <c r="A178" s="163" t="s">
        <v>1389</v>
      </c>
      <c r="B178" s="121" t="s">
        <v>1390</v>
      </c>
      <c r="C178" s="122" t="s">
        <v>1391</v>
      </c>
    </row>
    <row r="179" spans="1:3">
      <c r="A179" s="120" t="s">
        <v>165</v>
      </c>
      <c r="B179" s="121" t="s">
        <v>594</v>
      </c>
      <c r="C179" s="122" t="s">
        <v>1044</v>
      </c>
    </row>
    <row r="180" spans="1:3">
      <c r="A180" s="120" t="s">
        <v>166</v>
      </c>
      <c r="B180" s="121" t="s">
        <v>595</v>
      </c>
      <c r="C180" s="122" t="s">
        <v>1045</v>
      </c>
    </row>
    <row r="181" spans="1:3">
      <c r="A181" s="123" t="s">
        <v>167</v>
      </c>
      <c r="B181" s="55" t="s">
        <v>596</v>
      </c>
      <c r="C181" s="122" t="s">
        <v>1019</v>
      </c>
    </row>
    <row r="182" spans="1:3">
      <c r="A182" s="167" t="s">
        <v>1349</v>
      </c>
      <c r="B182" s="55" t="s">
        <v>594</v>
      </c>
      <c r="C182" s="166" t="s">
        <v>1356</v>
      </c>
    </row>
    <row r="183" spans="1:3">
      <c r="A183" s="163" t="s">
        <v>1392</v>
      </c>
      <c r="B183" s="55" t="s">
        <v>596</v>
      </c>
      <c r="C183" s="122" t="s">
        <v>1393</v>
      </c>
    </row>
    <row r="184" spans="1:3">
      <c r="A184" s="120" t="s">
        <v>168</v>
      </c>
      <c r="B184" s="121" t="s">
        <v>597</v>
      </c>
      <c r="C184" s="122" t="s">
        <v>1046</v>
      </c>
    </row>
    <row r="185" spans="1:3">
      <c r="A185" s="120" t="s">
        <v>169</v>
      </c>
      <c r="B185" s="121" t="s">
        <v>597</v>
      </c>
      <c r="C185" s="122" t="s">
        <v>1047</v>
      </c>
    </row>
    <row r="186" spans="1:3">
      <c r="A186" s="163" t="s">
        <v>1350</v>
      </c>
      <c r="B186" s="121" t="s">
        <v>597</v>
      </c>
      <c r="C186" s="122" t="s">
        <v>1355</v>
      </c>
    </row>
    <row r="187" spans="1:3">
      <c r="A187" s="120" t="s">
        <v>170</v>
      </c>
      <c r="B187" s="121" t="s">
        <v>598</v>
      </c>
      <c r="C187" s="122" t="s">
        <v>1048</v>
      </c>
    </row>
    <row r="188" spans="1:3">
      <c r="A188" s="123" t="s">
        <v>1327</v>
      </c>
      <c r="B188" s="55" t="s">
        <v>1334</v>
      </c>
      <c r="C188" s="122" t="s">
        <v>1333</v>
      </c>
    </row>
    <row r="189" spans="1:3">
      <c r="A189" s="120" t="s">
        <v>171</v>
      </c>
      <c r="B189" s="121" t="s">
        <v>592</v>
      </c>
      <c r="C189" s="122" t="s">
        <v>1049</v>
      </c>
    </row>
    <row r="190" spans="1:3">
      <c r="A190" s="120" t="s">
        <v>172</v>
      </c>
      <c r="B190" s="121" t="s">
        <v>599</v>
      </c>
      <c r="C190" s="122" t="s">
        <v>1050</v>
      </c>
    </row>
    <row r="191" spans="1:3">
      <c r="A191" s="166" t="s">
        <v>1551</v>
      </c>
      <c r="B191" s="164" t="s">
        <v>1322</v>
      </c>
      <c r="C191" s="165" t="s">
        <v>1552</v>
      </c>
    </row>
    <row r="192" spans="1:3">
      <c r="A192" s="163" t="s">
        <v>1553</v>
      </c>
      <c r="B192" s="164" t="s">
        <v>1322</v>
      </c>
      <c r="C192" s="165" t="s">
        <v>1554</v>
      </c>
    </row>
    <row r="193" spans="1:3">
      <c r="A193" s="120" t="s">
        <v>173</v>
      </c>
      <c r="B193" s="121" t="s">
        <v>600</v>
      </c>
      <c r="C193" s="122" t="s">
        <v>1051</v>
      </c>
    </row>
    <row r="194" spans="1:3">
      <c r="A194" s="123" t="s">
        <v>1020</v>
      </c>
      <c r="B194" s="55" t="s">
        <v>1021</v>
      </c>
      <c r="C194" s="122" t="s">
        <v>1022</v>
      </c>
    </row>
    <row r="195" spans="1:3">
      <c r="A195" s="163" t="s">
        <v>1394</v>
      </c>
      <c r="B195" s="121" t="s">
        <v>602</v>
      </c>
      <c r="C195" s="122" t="s">
        <v>1395</v>
      </c>
    </row>
    <row r="196" spans="1:3">
      <c r="A196" s="120" t="s">
        <v>175</v>
      </c>
      <c r="B196" s="121" t="s">
        <v>602</v>
      </c>
      <c r="C196" s="122" t="s">
        <v>1053</v>
      </c>
    </row>
    <row r="197" spans="1:3">
      <c r="A197" s="120" t="s">
        <v>174</v>
      </c>
      <c r="B197" s="121" t="s">
        <v>601</v>
      </c>
      <c r="C197" s="122" t="s">
        <v>1052</v>
      </c>
    </row>
    <row r="198" spans="1:3">
      <c r="A198" s="123" t="s">
        <v>1023</v>
      </c>
      <c r="B198" s="55" t="s">
        <v>1024</v>
      </c>
      <c r="C198" s="122" t="s">
        <v>1025</v>
      </c>
    </row>
    <row r="199" spans="1:3">
      <c r="A199" s="163" t="s">
        <v>1396</v>
      </c>
      <c r="B199" s="55" t="s">
        <v>1024</v>
      </c>
      <c r="C199" s="122" t="s">
        <v>1397</v>
      </c>
    </row>
    <row r="200" spans="1:3">
      <c r="A200" s="120" t="s">
        <v>176</v>
      </c>
      <c r="B200" s="121" t="s">
        <v>597</v>
      </c>
      <c r="C200" s="122" t="s">
        <v>1054</v>
      </c>
    </row>
    <row r="201" spans="1:3">
      <c r="A201" s="120" t="s">
        <v>177</v>
      </c>
      <c r="B201" s="121" t="s">
        <v>603</v>
      </c>
      <c r="C201" s="122" t="s">
        <v>1055</v>
      </c>
    </row>
    <row r="202" spans="1:3">
      <c r="A202" s="123" t="s">
        <v>1026</v>
      </c>
      <c r="B202" s="55" t="s">
        <v>603</v>
      </c>
      <c r="C202" s="122" t="s">
        <v>1027</v>
      </c>
    </row>
    <row r="203" spans="1:3">
      <c r="A203" s="120" t="s">
        <v>178</v>
      </c>
      <c r="B203" s="121" t="s">
        <v>604</v>
      </c>
      <c r="C203" s="122" t="s">
        <v>1056</v>
      </c>
    </row>
    <row r="204" spans="1:3">
      <c r="A204" s="120" t="s">
        <v>179</v>
      </c>
      <c r="B204" s="121" t="s">
        <v>605</v>
      </c>
      <c r="C204" s="122" t="s">
        <v>1057</v>
      </c>
    </row>
    <row r="205" spans="1:3">
      <c r="A205" s="163" t="s">
        <v>1398</v>
      </c>
      <c r="B205" s="121" t="s">
        <v>605</v>
      </c>
      <c r="C205" s="122" t="s">
        <v>1399</v>
      </c>
    </row>
    <row r="206" spans="1:3">
      <c r="A206" s="120" t="s">
        <v>180</v>
      </c>
      <c r="B206" s="121" t="s">
        <v>584</v>
      </c>
      <c r="C206" s="122" t="s">
        <v>1058</v>
      </c>
    </row>
    <row r="207" spans="1:3">
      <c r="A207" s="123" t="s">
        <v>181</v>
      </c>
      <c r="B207" s="55" t="s">
        <v>1344</v>
      </c>
      <c r="C207" s="122" t="s">
        <v>1028</v>
      </c>
    </row>
    <row r="208" spans="1:3">
      <c r="A208" s="120" t="s">
        <v>182</v>
      </c>
      <c r="B208" s="121" t="s">
        <v>585</v>
      </c>
      <c r="C208" s="122" t="s">
        <v>1059</v>
      </c>
    </row>
    <row r="209" spans="1:3">
      <c r="A209" s="167" t="s">
        <v>1351</v>
      </c>
      <c r="B209" s="55" t="s">
        <v>610</v>
      </c>
      <c r="C209" s="124" t="s">
        <v>1353</v>
      </c>
    </row>
    <row r="210" spans="1:3">
      <c r="A210" s="120" t="s">
        <v>183</v>
      </c>
      <c r="B210" s="121" t="s">
        <v>606</v>
      </c>
      <c r="C210" s="122" t="s">
        <v>1060</v>
      </c>
    </row>
    <row r="211" spans="1:3">
      <c r="A211" s="163" t="s">
        <v>1352</v>
      </c>
      <c r="B211" s="121" t="s">
        <v>606</v>
      </c>
      <c r="C211" s="122" t="s">
        <v>1354</v>
      </c>
    </row>
    <row r="212" spans="1:3">
      <c r="A212" s="120" t="s">
        <v>184</v>
      </c>
      <c r="B212" s="121" t="s">
        <v>607</v>
      </c>
      <c r="C212" s="122" t="s">
        <v>1061</v>
      </c>
    </row>
    <row r="213" spans="1:3">
      <c r="A213" s="120" t="s">
        <v>185</v>
      </c>
      <c r="B213" s="121" t="s">
        <v>608</v>
      </c>
      <c r="C213" s="122" t="s">
        <v>1062</v>
      </c>
    </row>
    <row r="214" spans="1:3">
      <c r="A214" s="120" t="s">
        <v>186</v>
      </c>
      <c r="B214" s="121" t="s">
        <v>609</v>
      </c>
      <c r="C214" s="122" t="s">
        <v>1063</v>
      </c>
    </row>
    <row r="215" spans="1:3">
      <c r="A215" s="123" t="s">
        <v>187</v>
      </c>
      <c r="B215" s="55" t="s">
        <v>610</v>
      </c>
      <c r="C215" s="122" t="s">
        <v>1029</v>
      </c>
    </row>
    <row r="216" spans="1:3">
      <c r="A216" s="120" t="s">
        <v>188</v>
      </c>
      <c r="B216" s="121" t="s">
        <v>611</v>
      </c>
      <c r="C216" s="122" t="s">
        <v>1064</v>
      </c>
    </row>
    <row r="217" spans="1:3">
      <c r="A217" s="120" t="s">
        <v>189</v>
      </c>
      <c r="B217" s="121" t="s">
        <v>612</v>
      </c>
      <c r="C217" s="122" t="s">
        <v>1065</v>
      </c>
    </row>
    <row r="218" spans="1:3">
      <c r="A218" s="120" t="s">
        <v>196</v>
      </c>
      <c r="B218" s="121" t="s">
        <v>618</v>
      </c>
      <c r="C218" s="122" t="s">
        <v>1070</v>
      </c>
    </row>
    <row r="219" spans="1:3">
      <c r="A219" s="120" t="s">
        <v>190</v>
      </c>
      <c r="B219" s="121" t="s">
        <v>613</v>
      </c>
      <c r="C219" s="122" t="s">
        <v>1066</v>
      </c>
    </row>
    <row r="220" spans="1:3">
      <c r="A220" s="120" t="s">
        <v>1317</v>
      </c>
      <c r="B220" s="121" t="s">
        <v>1322</v>
      </c>
      <c r="C220" s="124" t="s">
        <v>1323</v>
      </c>
    </row>
    <row r="221" spans="1:3">
      <c r="A221" s="163" t="s">
        <v>1400</v>
      </c>
      <c r="B221" s="121" t="s">
        <v>1322</v>
      </c>
      <c r="C221" s="122" t="s">
        <v>1401</v>
      </c>
    </row>
    <row r="222" spans="1:3">
      <c r="A222" s="123" t="s">
        <v>155</v>
      </c>
      <c r="B222" s="55" t="s">
        <v>584</v>
      </c>
      <c r="C222" s="122" t="s">
        <v>1030</v>
      </c>
    </row>
    <row r="223" spans="1:3">
      <c r="A223" s="123" t="s">
        <v>157</v>
      </c>
      <c r="B223" s="55" t="s">
        <v>586</v>
      </c>
      <c r="C223" s="122" t="s">
        <v>1031</v>
      </c>
    </row>
    <row r="224" spans="1:3">
      <c r="A224" s="123" t="s">
        <v>156</v>
      </c>
      <c r="B224" s="55" t="s">
        <v>585</v>
      </c>
      <c r="C224" s="122" t="s">
        <v>1032</v>
      </c>
    </row>
    <row r="225" spans="1:3">
      <c r="A225" s="120" t="s">
        <v>191</v>
      </c>
      <c r="B225" s="121" t="s">
        <v>614</v>
      </c>
      <c r="C225" s="122" t="s">
        <v>1067</v>
      </c>
    </row>
    <row r="226" spans="1:3">
      <c r="A226" s="120" t="s">
        <v>197</v>
      </c>
      <c r="B226" s="121" t="s">
        <v>619</v>
      </c>
      <c r="C226" s="122" t="s">
        <v>1071</v>
      </c>
    </row>
    <row r="227" spans="1:3">
      <c r="A227" s="120" t="s">
        <v>154</v>
      </c>
      <c r="B227" s="121" t="s">
        <v>583</v>
      </c>
      <c r="C227" s="122" t="s">
        <v>1040</v>
      </c>
    </row>
    <row r="228" spans="1:3">
      <c r="A228" s="123" t="s">
        <v>192</v>
      </c>
      <c r="B228" s="55" t="s">
        <v>615</v>
      </c>
      <c r="C228" s="122" t="s">
        <v>1033</v>
      </c>
    </row>
    <row r="229" spans="1:3">
      <c r="A229" s="123" t="s">
        <v>193</v>
      </c>
      <c r="B229" s="55" t="s">
        <v>610</v>
      </c>
      <c r="C229" s="122" t="s">
        <v>1034</v>
      </c>
    </row>
    <row r="230" spans="1:3">
      <c r="A230" s="120" t="s">
        <v>194</v>
      </c>
      <c r="B230" s="121" t="s">
        <v>616</v>
      </c>
      <c r="C230" s="122" t="s">
        <v>1068</v>
      </c>
    </row>
    <row r="231" spans="1:3">
      <c r="A231" s="120" t="s">
        <v>195</v>
      </c>
      <c r="B231" s="121" t="s">
        <v>617</v>
      </c>
      <c r="C231" s="122" t="s">
        <v>1069</v>
      </c>
    </row>
    <row r="232" spans="1:3">
      <c r="A232" s="123" t="s">
        <v>159</v>
      </c>
      <c r="B232" s="55" t="s">
        <v>588</v>
      </c>
      <c r="C232" s="122" t="s">
        <v>1035</v>
      </c>
    </row>
    <row r="233" spans="1:3">
      <c r="A233" s="120" t="s">
        <v>160</v>
      </c>
      <c r="B233" s="121" t="s">
        <v>589</v>
      </c>
      <c r="C233" s="122" t="s">
        <v>1041</v>
      </c>
    </row>
    <row r="234" spans="1:3">
      <c r="A234" s="123" t="s">
        <v>158</v>
      </c>
      <c r="B234" s="55" t="s">
        <v>587</v>
      </c>
      <c r="C234" s="122" t="s">
        <v>1036</v>
      </c>
    </row>
    <row r="235" spans="1:3">
      <c r="A235" s="123" t="s">
        <v>161</v>
      </c>
      <c r="B235" s="55" t="s">
        <v>590</v>
      </c>
      <c r="C235" s="122" t="s">
        <v>1037</v>
      </c>
    </row>
    <row r="236" spans="1:3">
      <c r="A236" s="120" t="s">
        <v>162</v>
      </c>
      <c r="B236" s="121" t="s">
        <v>591</v>
      </c>
      <c r="C236" s="122" t="s">
        <v>1042</v>
      </c>
    </row>
    <row r="237" spans="1:3">
      <c r="A237" s="123" t="s">
        <v>163</v>
      </c>
      <c r="B237" s="55" t="s">
        <v>592</v>
      </c>
      <c r="C237" s="122" t="s">
        <v>1038</v>
      </c>
    </row>
    <row r="238" spans="1:3">
      <c r="A238" s="120" t="s">
        <v>164</v>
      </c>
      <c r="B238" s="121" t="s">
        <v>593</v>
      </c>
      <c r="C238" s="122" t="s">
        <v>1043</v>
      </c>
    </row>
    <row r="239" spans="1:3">
      <c r="A239" s="123" t="s">
        <v>202</v>
      </c>
      <c r="B239" s="55" t="s">
        <v>808</v>
      </c>
      <c r="C239" s="122" t="s">
        <v>1039</v>
      </c>
    </row>
    <row r="240" spans="1:3">
      <c r="A240" s="120" t="s">
        <v>203</v>
      </c>
      <c r="B240" s="55" t="s">
        <v>809</v>
      </c>
      <c r="C240" s="122" t="s">
        <v>1277</v>
      </c>
    </row>
    <row r="241" spans="1:3">
      <c r="A241" s="120" t="s">
        <v>10</v>
      </c>
      <c r="B241" s="55" t="s">
        <v>479</v>
      </c>
      <c r="C241" s="122" t="s">
        <v>928</v>
      </c>
    </row>
    <row r="242" spans="1:3">
      <c r="A242" s="120" t="s">
        <v>72</v>
      </c>
      <c r="B242" s="121" t="s">
        <v>525</v>
      </c>
      <c r="C242" s="122" t="s">
        <v>970</v>
      </c>
    </row>
    <row r="243" spans="1:3">
      <c r="A243" s="163" t="s">
        <v>1494</v>
      </c>
      <c r="B243" s="121" t="s">
        <v>1500</v>
      </c>
      <c r="C243" s="166" t="s">
        <v>1499</v>
      </c>
    </row>
    <row r="244" spans="1:3">
      <c r="A244" s="120" t="s">
        <v>14</v>
      </c>
      <c r="B244" s="121" t="s">
        <v>483</v>
      </c>
      <c r="C244" s="122" t="s">
        <v>930</v>
      </c>
    </row>
    <row r="245" spans="1:3">
      <c r="A245" s="120" t="s">
        <v>1338</v>
      </c>
      <c r="B245" s="121" t="s">
        <v>1342</v>
      </c>
      <c r="C245" s="122" t="s">
        <v>1343</v>
      </c>
    </row>
    <row r="246" spans="1:3">
      <c r="A246" s="120" t="s">
        <v>15</v>
      </c>
      <c r="B246" s="121" t="s">
        <v>484</v>
      </c>
      <c r="C246" s="122" t="s">
        <v>931</v>
      </c>
    </row>
    <row r="247" spans="1:3">
      <c r="A247" s="120" t="s">
        <v>16</v>
      </c>
      <c r="B247" s="121" t="s">
        <v>484</v>
      </c>
      <c r="C247" s="122" t="s">
        <v>932</v>
      </c>
    </row>
    <row r="248" spans="1:3">
      <c r="A248" s="120" t="s">
        <v>17</v>
      </c>
      <c r="B248" s="121" t="s">
        <v>485</v>
      </c>
      <c r="C248" s="122" t="s">
        <v>933</v>
      </c>
    </row>
    <row r="249" spans="1:3">
      <c r="A249" s="120" t="s">
        <v>18</v>
      </c>
      <c r="B249" s="121" t="s">
        <v>485</v>
      </c>
      <c r="C249" s="122" t="s">
        <v>934</v>
      </c>
    </row>
    <row r="250" spans="1:3">
      <c r="A250" s="163" t="s">
        <v>1402</v>
      </c>
      <c r="B250" s="121" t="s">
        <v>1403</v>
      </c>
      <c r="C250" s="122" t="s">
        <v>1404</v>
      </c>
    </row>
    <row r="251" spans="1:3">
      <c r="A251" s="120" t="s">
        <v>19</v>
      </c>
      <c r="B251" s="121" t="s">
        <v>485</v>
      </c>
      <c r="C251" s="122" t="s">
        <v>935</v>
      </c>
    </row>
    <row r="252" spans="1:3">
      <c r="A252" s="120" t="s">
        <v>20</v>
      </c>
      <c r="B252" s="121" t="s">
        <v>486</v>
      </c>
      <c r="C252" s="122" t="s">
        <v>936</v>
      </c>
    </row>
    <row r="253" spans="1:3">
      <c r="A253" s="120" t="s">
        <v>1326</v>
      </c>
      <c r="B253" s="121" t="s">
        <v>1331</v>
      </c>
      <c r="C253" s="122" t="s">
        <v>1332</v>
      </c>
    </row>
    <row r="254" spans="1:3">
      <c r="A254" s="123" t="s">
        <v>21</v>
      </c>
      <c r="B254" s="55" t="s">
        <v>487</v>
      </c>
      <c r="C254" s="122" t="s">
        <v>867</v>
      </c>
    </row>
    <row r="255" spans="1:3">
      <c r="A255" s="120" t="s">
        <v>22</v>
      </c>
      <c r="B255" s="121" t="s">
        <v>488</v>
      </c>
      <c r="C255" s="122" t="s">
        <v>937</v>
      </c>
    </row>
    <row r="256" spans="1:3">
      <c r="A256" s="120" t="s">
        <v>23</v>
      </c>
      <c r="B256" s="121" t="s">
        <v>488</v>
      </c>
      <c r="C256" s="122" t="s">
        <v>938</v>
      </c>
    </row>
    <row r="257" spans="1:3">
      <c r="A257" s="120" t="s">
        <v>24</v>
      </c>
      <c r="B257" s="121" t="s">
        <v>489</v>
      </c>
      <c r="C257" s="122" t="s">
        <v>939</v>
      </c>
    </row>
    <row r="258" spans="1:3">
      <c r="A258" s="120" t="s">
        <v>25</v>
      </c>
      <c r="B258" s="121" t="s">
        <v>489</v>
      </c>
      <c r="C258" s="122" t="s">
        <v>940</v>
      </c>
    </row>
    <row r="259" spans="1:3">
      <c r="A259" s="120" t="s">
        <v>26</v>
      </c>
      <c r="B259" s="121" t="s">
        <v>488</v>
      </c>
      <c r="C259" s="122" t="s">
        <v>941</v>
      </c>
    </row>
    <row r="260" spans="1:3">
      <c r="A260" s="123" t="s">
        <v>12</v>
      </c>
      <c r="B260" s="55" t="s">
        <v>481</v>
      </c>
      <c r="C260" s="122" t="s">
        <v>868</v>
      </c>
    </row>
    <row r="261" spans="1:3">
      <c r="A261" s="123" t="s">
        <v>13</v>
      </c>
      <c r="B261" s="55" t="s">
        <v>482</v>
      </c>
      <c r="C261" s="122" t="s">
        <v>869</v>
      </c>
    </row>
    <row r="262" spans="1:3">
      <c r="A262" s="120" t="s">
        <v>11</v>
      </c>
      <c r="B262" s="55" t="s">
        <v>480</v>
      </c>
      <c r="C262" s="122" t="s">
        <v>929</v>
      </c>
    </row>
    <row r="263" spans="1:3">
      <c r="A263" s="123" t="s">
        <v>27</v>
      </c>
      <c r="B263" s="55" t="s">
        <v>490</v>
      </c>
      <c r="C263" s="122" t="s">
        <v>870</v>
      </c>
    </row>
    <row r="264" spans="1:3">
      <c r="A264" s="123" t="s">
        <v>28</v>
      </c>
      <c r="B264" s="55" t="s">
        <v>491</v>
      </c>
      <c r="C264" s="122" t="s">
        <v>871</v>
      </c>
    </row>
    <row r="265" spans="1:3">
      <c r="A265" s="123" t="s">
        <v>29</v>
      </c>
      <c r="B265" s="55" t="s">
        <v>492</v>
      </c>
      <c r="C265" s="122" t="s">
        <v>872</v>
      </c>
    </row>
    <row r="266" spans="1:3">
      <c r="A266" s="123" t="s">
        <v>30</v>
      </c>
      <c r="B266" s="55" t="s">
        <v>491</v>
      </c>
      <c r="C266" s="122" t="s">
        <v>873</v>
      </c>
    </row>
    <row r="267" spans="1:3">
      <c r="A267" s="123" t="s">
        <v>31</v>
      </c>
      <c r="B267" s="55" t="s">
        <v>492</v>
      </c>
      <c r="C267" s="122" t="s">
        <v>874</v>
      </c>
    </row>
    <row r="268" spans="1:3">
      <c r="A268" s="120" t="s">
        <v>32</v>
      </c>
      <c r="B268" s="121" t="s">
        <v>493</v>
      </c>
      <c r="C268" s="122" t="s">
        <v>942</v>
      </c>
    </row>
    <row r="269" spans="1:3">
      <c r="A269" s="120" t="s">
        <v>33</v>
      </c>
      <c r="B269" s="121" t="s">
        <v>494</v>
      </c>
      <c r="C269" s="122" t="s">
        <v>943</v>
      </c>
    </row>
    <row r="270" spans="1:3">
      <c r="A270" s="120" t="s">
        <v>34</v>
      </c>
      <c r="B270" s="121" t="s">
        <v>495</v>
      </c>
      <c r="C270" s="122" t="s">
        <v>944</v>
      </c>
    </row>
    <row r="271" spans="1:3">
      <c r="A271" s="120" t="s">
        <v>35</v>
      </c>
      <c r="B271" s="121" t="s">
        <v>494</v>
      </c>
      <c r="C271" s="122" t="s">
        <v>945</v>
      </c>
    </row>
    <row r="272" spans="1:3">
      <c r="A272" s="120" t="s">
        <v>36</v>
      </c>
      <c r="B272" s="121" t="s">
        <v>492</v>
      </c>
      <c r="C272" s="122" t="s">
        <v>946</v>
      </c>
    </row>
    <row r="273" spans="1:3">
      <c r="A273" s="120" t="s">
        <v>37</v>
      </c>
      <c r="B273" s="121" t="s">
        <v>496</v>
      </c>
      <c r="C273" s="122" t="s">
        <v>947</v>
      </c>
    </row>
    <row r="274" spans="1:3">
      <c r="A274" s="123" t="s">
        <v>38</v>
      </c>
      <c r="B274" s="55" t="s">
        <v>497</v>
      </c>
      <c r="C274" s="122" t="s">
        <v>875</v>
      </c>
    </row>
    <row r="275" spans="1:3">
      <c r="A275" s="123" t="s">
        <v>39</v>
      </c>
      <c r="B275" s="55" t="s">
        <v>498</v>
      </c>
      <c r="C275" s="122" t="s">
        <v>876</v>
      </c>
    </row>
    <row r="276" spans="1:3">
      <c r="A276" s="123" t="s">
        <v>40</v>
      </c>
      <c r="B276" s="55" t="s">
        <v>499</v>
      </c>
      <c r="C276" s="122" t="s">
        <v>877</v>
      </c>
    </row>
    <row r="277" spans="1:3">
      <c r="A277" s="123" t="s">
        <v>41</v>
      </c>
      <c r="B277" s="55" t="s">
        <v>500</v>
      </c>
      <c r="C277" s="122" t="s">
        <v>878</v>
      </c>
    </row>
    <row r="278" spans="1:3">
      <c r="A278" s="120" t="s">
        <v>42</v>
      </c>
      <c r="B278" s="121" t="s">
        <v>501</v>
      </c>
      <c r="C278" s="122" t="s">
        <v>948</v>
      </c>
    </row>
    <row r="279" spans="1:3">
      <c r="A279" s="123" t="s">
        <v>43</v>
      </c>
      <c r="B279" s="55" t="s">
        <v>496</v>
      </c>
      <c r="C279" s="122" t="s">
        <v>879</v>
      </c>
    </row>
    <row r="280" spans="1:3">
      <c r="A280" s="123" t="s">
        <v>44</v>
      </c>
      <c r="B280" s="55" t="s">
        <v>502</v>
      </c>
      <c r="C280" s="122" t="s">
        <v>880</v>
      </c>
    </row>
    <row r="281" spans="1:3">
      <c r="A281" s="123" t="s">
        <v>45</v>
      </c>
      <c r="B281" s="55" t="s">
        <v>503</v>
      </c>
      <c r="C281" s="122" t="s">
        <v>881</v>
      </c>
    </row>
    <row r="282" spans="1:3">
      <c r="A282" s="120" t="s">
        <v>46</v>
      </c>
      <c r="B282" s="121" t="s">
        <v>504</v>
      </c>
      <c r="C282" s="122" t="s">
        <v>949</v>
      </c>
    </row>
    <row r="283" spans="1:3">
      <c r="A283" s="120" t="s">
        <v>47</v>
      </c>
      <c r="B283" s="121" t="s">
        <v>505</v>
      </c>
      <c r="C283" s="122" t="s">
        <v>950</v>
      </c>
    </row>
    <row r="284" spans="1:3">
      <c r="A284" s="120" t="s">
        <v>49</v>
      </c>
      <c r="B284" s="121" t="s">
        <v>507</v>
      </c>
      <c r="C284" s="122" t="s">
        <v>951</v>
      </c>
    </row>
    <row r="285" spans="1:3">
      <c r="A285" s="163" t="s">
        <v>1405</v>
      </c>
      <c r="B285" s="121" t="s">
        <v>884</v>
      </c>
      <c r="C285" s="122" t="s">
        <v>1406</v>
      </c>
    </row>
    <row r="286" spans="1:3">
      <c r="A286" s="123" t="s">
        <v>48</v>
      </c>
      <c r="B286" s="55" t="s">
        <v>506</v>
      </c>
      <c r="C286" s="122" t="s">
        <v>882</v>
      </c>
    </row>
    <row r="287" spans="1:3">
      <c r="A287" s="123" t="s">
        <v>50</v>
      </c>
      <c r="B287" s="55" t="s">
        <v>507</v>
      </c>
      <c r="C287" s="122" t="s">
        <v>883</v>
      </c>
    </row>
    <row r="288" spans="1:3">
      <c r="A288" s="123" t="s">
        <v>51</v>
      </c>
      <c r="B288" s="55" t="s">
        <v>884</v>
      </c>
      <c r="C288" s="122" t="s">
        <v>885</v>
      </c>
    </row>
    <row r="289" spans="1:3">
      <c r="A289" s="120" t="s">
        <v>69</v>
      </c>
      <c r="B289" s="164" t="s">
        <v>522</v>
      </c>
      <c r="C289" s="122" t="s">
        <v>1595</v>
      </c>
    </row>
    <row r="290" spans="1:3">
      <c r="A290" s="120" t="s">
        <v>70</v>
      </c>
      <c r="B290" s="121" t="s">
        <v>523</v>
      </c>
      <c r="C290" s="122" t="s">
        <v>968</v>
      </c>
    </row>
    <row r="291" spans="1:3">
      <c r="A291" s="120" t="s">
        <v>71</v>
      </c>
      <c r="B291" s="121" t="s">
        <v>524</v>
      </c>
      <c r="C291" s="122" t="s">
        <v>969</v>
      </c>
    </row>
    <row r="292" spans="1:3">
      <c r="A292" s="120" t="s">
        <v>67</v>
      </c>
      <c r="B292" s="121" t="s">
        <v>520</v>
      </c>
      <c r="C292" s="122" t="s">
        <v>966</v>
      </c>
    </row>
    <row r="293" spans="1:3">
      <c r="A293" s="120" t="s">
        <v>68</v>
      </c>
      <c r="B293" s="121" t="s">
        <v>521</v>
      </c>
      <c r="C293" s="122" t="s">
        <v>967</v>
      </c>
    </row>
    <row r="294" spans="1:3">
      <c r="A294" s="120" t="s">
        <v>279</v>
      </c>
      <c r="B294" s="121" t="s">
        <v>692</v>
      </c>
      <c r="C294" s="122" t="s">
        <v>1144</v>
      </c>
    </row>
    <row r="295" spans="1:3">
      <c r="A295" s="120" t="s">
        <v>278</v>
      </c>
      <c r="B295" s="121" t="s">
        <v>691</v>
      </c>
      <c r="C295" s="122" t="s">
        <v>1143</v>
      </c>
    </row>
    <row r="296" spans="1:3">
      <c r="A296" s="163" t="s">
        <v>1555</v>
      </c>
      <c r="B296" s="164" t="s">
        <v>1556</v>
      </c>
      <c r="C296" s="165" t="s">
        <v>1557</v>
      </c>
    </row>
    <row r="297" spans="1:3">
      <c r="A297" s="120" t="s">
        <v>281</v>
      </c>
      <c r="B297" s="121" t="s">
        <v>694</v>
      </c>
      <c r="C297" s="122" t="s">
        <v>1146</v>
      </c>
    </row>
    <row r="298" spans="1:3">
      <c r="A298" s="120" t="s">
        <v>280</v>
      </c>
      <c r="B298" s="121" t="s">
        <v>693</v>
      </c>
      <c r="C298" s="122" t="s">
        <v>1145</v>
      </c>
    </row>
    <row r="299" spans="1:3">
      <c r="A299" s="120" t="s">
        <v>229</v>
      </c>
      <c r="B299" s="121" t="s">
        <v>644</v>
      </c>
      <c r="C299" s="122" t="s">
        <v>1101</v>
      </c>
    </row>
    <row r="300" spans="1:3">
      <c r="A300" s="120" t="s">
        <v>230</v>
      </c>
      <c r="B300" s="121" t="s">
        <v>645</v>
      </c>
      <c r="C300" s="122" t="s">
        <v>1102</v>
      </c>
    </row>
    <row r="301" spans="1:3">
      <c r="A301" s="120" t="s">
        <v>231</v>
      </c>
      <c r="B301" s="121" t="s">
        <v>645</v>
      </c>
      <c r="C301" s="122" t="s">
        <v>1103</v>
      </c>
    </row>
    <row r="302" spans="1:3">
      <c r="A302" s="120" t="s">
        <v>238</v>
      </c>
      <c r="B302" s="121" t="s">
        <v>652</v>
      </c>
      <c r="C302" s="122" t="s">
        <v>1108</v>
      </c>
    </row>
    <row r="303" spans="1:3">
      <c r="A303" s="120" t="s">
        <v>239</v>
      </c>
      <c r="B303" s="121" t="s">
        <v>653</v>
      </c>
      <c r="C303" s="122" t="s">
        <v>1109</v>
      </c>
    </row>
    <row r="304" spans="1:3">
      <c r="A304" s="120" t="s">
        <v>240</v>
      </c>
      <c r="B304" s="121" t="s">
        <v>654</v>
      </c>
      <c r="C304" s="122" t="s">
        <v>1110</v>
      </c>
    </row>
    <row r="305" spans="1:3">
      <c r="A305" s="120" t="s">
        <v>226</v>
      </c>
      <c r="B305" s="55" t="s">
        <v>641</v>
      </c>
      <c r="C305" s="122" t="s">
        <v>1098</v>
      </c>
    </row>
    <row r="306" spans="1:3">
      <c r="A306" s="120" t="s">
        <v>227</v>
      </c>
      <c r="B306" s="55" t="s">
        <v>642</v>
      </c>
      <c r="C306" s="122" t="s">
        <v>1099</v>
      </c>
    </row>
    <row r="307" spans="1:3">
      <c r="A307" s="120" t="s">
        <v>228</v>
      </c>
      <c r="B307" s="55" t="s">
        <v>643</v>
      </c>
      <c r="C307" s="122" t="s">
        <v>1100</v>
      </c>
    </row>
    <row r="308" spans="1:3">
      <c r="A308" s="123" t="s">
        <v>232</v>
      </c>
      <c r="B308" s="55" t="s">
        <v>646</v>
      </c>
      <c r="C308" s="122" t="s">
        <v>1091</v>
      </c>
    </row>
    <row r="309" spans="1:3">
      <c r="A309" s="120" t="s">
        <v>246</v>
      </c>
      <c r="B309" s="121" t="s">
        <v>660</v>
      </c>
      <c r="C309" s="122" t="s">
        <v>1112</v>
      </c>
    </row>
    <row r="310" spans="1:3">
      <c r="A310" s="120" t="s">
        <v>234</v>
      </c>
      <c r="B310" s="121" t="s">
        <v>648</v>
      </c>
      <c r="C310" s="122" t="s">
        <v>1105</v>
      </c>
    </row>
    <row r="311" spans="1:3">
      <c r="A311" s="120" t="s">
        <v>235</v>
      </c>
      <c r="B311" s="121" t="s">
        <v>649</v>
      </c>
      <c r="C311" s="122" t="s">
        <v>1106</v>
      </c>
    </row>
    <row r="312" spans="1:3">
      <c r="A312" s="123" t="s">
        <v>236</v>
      </c>
      <c r="B312" s="55" t="s">
        <v>650</v>
      </c>
      <c r="C312" s="122" t="s">
        <v>1092</v>
      </c>
    </row>
    <row r="313" spans="1:3">
      <c r="A313" s="163" t="s">
        <v>1407</v>
      </c>
      <c r="B313" s="55" t="s">
        <v>1408</v>
      </c>
      <c r="C313" s="122" t="s">
        <v>1409</v>
      </c>
    </row>
    <row r="314" spans="1:3">
      <c r="A314" s="120" t="s">
        <v>237</v>
      </c>
      <c r="B314" s="121" t="s">
        <v>651</v>
      </c>
      <c r="C314" s="122" t="s">
        <v>1107</v>
      </c>
    </row>
    <row r="315" spans="1:3">
      <c r="A315" s="120" t="s">
        <v>233</v>
      </c>
      <c r="B315" s="121" t="s">
        <v>647</v>
      </c>
      <c r="C315" s="122" t="s">
        <v>1104</v>
      </c>
    </row>
    <row r="316" spans="1:3">
      <c r="A316" s="123" t="s">
        <v>241</v>
      </c>
      <c r="B316" s="55" t="s">
        <v>655</v>
      </c>
      <c r="C316" s="122" t="s">
        <v>1093</v>
      </c>
    </row>
    <row r="317" spans="1:3">
      <c r="A317" s="123" t="s">
        <v>242</v>
      </c>
      <c r="B317" s="55" t="s">
        <v>656</v>
      </c>
      <c r="C317" s="122" t="s">
        <v>1094</v>
      </c>
    </row>
    <row r="318" spans="1:3">
      <c r="A318" s="123" t="s">
        <v>243</v>
      </c>
      <c r="B318" s="55" t="s">
        <v>657</v>
      </c>
      <c r="C318" s="122" t="s">
        <v>1095</v>
      </c>
    </row>
    <row r="319" spans="1:3">
      <c r="A319" s="120" t="s">
        <v>244</v>
      </c>
      <c r="B319" s="121" t="s">
        <v>658</v>
      </c>
      <c r="C319" s="122" t="s">
        <v>1111</v>
      </c>
    </row>
    <row r="320" spans="1:3">
      <c r="A320" s="123" t="s">
        <v>245</v>
      </c>
      <c r="B320" s="55" t="s">
        <v>659</v>
      </c>
      <c r="C320" s="122" t="s">
        <v>1096</v>
      </c>
    </row>
    <row r="321" spans="1:3">
      <c r="A321" s="163" t="s">
        <v>1410</v>
      </c>
      <c r="B321" s="55" t="s">
        <v>1411</v>
      </c>
      <c r="C321" s="122" t="s">
        <v>1412</v>
      </c>
    </row>
    <row r="322" spans="1:3">
      <c r="A322" s="120" t="s">
        <v>247</v>
      </c>
      <c r="B322" s="121" t="s">
        <v>661</v>
      </c>
      <c r="C322" s="122" t="s">
        <v>1113</v>
      </c>
    </row>
    <row r="323" spans="1:3">
      <c r="A323" s="120" t="s">
        <v>248</v>
      </c>
      <c r="B323" s="121" t="s">
        <v>662</v>
      </c>
      <c r="C323" s="122" t="s">
        <v>1114</v>
      </c>
    </row>
    <row r="324" spans="1:3">
      <c r="A324" s="120" t="s">
        <v>252</v>
      </c>
      <c r="B324" s="121" t="s">
        <v>666</v>
      </c>
      <c r="C324" s="122" t="s">
        <v>1118</v>
      </c>
    </row>
    <row r="325" spans="1:3">
      <c r="A325" s="120" t="s">
        <v>253</v>
      </c>
      <c r="B325" s="121" t="s">
        <v>667</v>
      </c>
      <c r="C325" s="122" t="s">
        <v>1119</v>
      </c>
    </row>
    <row r="326" spans="1:3">
      <c r="A326" s="120" t="s">
        <v>249</v>
      </c>
      <c r="B326" s="121" t="s">
        <v>663</v>
      </c>
      <c r="C326" s="122" t="s">
        <v>1115</v>
      </c>
    </row>
    <row r="327" spans="1:3">
      <c r="A327" s="120" t="s">
        <v>250</v>
      </c>
      <c r="B327" s="121" t="s">
        <v>664</v>
      </c>
      <c r="C327" s="122" t="s">
        <v>1116</v>
      </c>
    </row>
    <row r="328" spans="1:3">
      <c r="A328" s="163" t="s">
        <v>1413</v>
      </c>
      <c r="B328" s="121" t="s">
        <v>1414</v>
      </c>
      <c r="C328" s="122" t="s">
        <v>1415</v>
      </c>
    </row>
    <row r="329" spans="1:3">
      <c r="A329" s="120" t="s">
        <v>251</v>
      </c>
      <c r="B329" s="121" t="s">
        <v>665</v>
      </c>
      <c r="C329" s="122" t="s">
        <v>1117</v>
      </c>
    </row>
    <row r="330" spans="1:3">
      <c r="A330" s="120" t="s">
        <v>1541</v>
      </c>
      <c r="B330" s="164" t="s">
        <v>1558</v>
      </c>
      <c r="C330" s="122" t="s">
        <v>1559</v>
      </c>
    </row>
    <row r="331" spans="1:3">
      <c r="A331" s="123" t="s">
        <v>254</v>
      </c>
      <c r="B331" s="55" t="s">
        <v>668</v>
      </c>
      <c r="C331" s="122" t="s">
        <v>1097</v>
      </c>
    </row>
    <row r="332" spans="1:3">
      <c r="A332" s="120" t="s">
        <v>255</v>
      </c>
      <c r="B332" s="121" t="s">
        <v>669</v>
      </c>
      <c r="C332" s="122" t="s">
        <v>1120</v>
      </c>
    </row>
    <row r="333" spans="1:3">
      <c r="A333" s="120" t="s">
        <v>256</v>
      </c>
      <c r="B333" s="121" t="s">
        <v>670</v>
      </c>
      <c r="C333" s="122" t="s">
        <v>1121</v>
      </c>
    </row>
    <row r="334" spans="1:3">
      <c r="A334" s="120" t="s">
        <v>257</v>
      </c>
      <c r="B334" s="121" t="s">
        <v>671</v>
      </c>
      <c r="C334" s="122" t="s">
        <v>1122</v>
      </c>
    </row>
    <row r="335" spans="1:3">
      <c r="A335" s="120" t="s">
        <v>258</v>
      </c>
      <c r="B335" s="121" t="s">
        <v>672</v>
      </c>
      <c r="C335" s="122" t="s">
        <v>1123</v>
      </c>
    </row>
    <row r="336" spans="1:3">
      <c r="A336" s="120" t="s">
        <v>259</v>
      </c>
      <c r="B336" s="121" t="s">
        <v>673</v>
      </c>
      <c r="C336" s="122" t="s">
        <v>1124</v>
      </c>
    </row>
    <row r="337" spans="1:3">
      <c r="A337" s="163" t="s">
        <v>1560</v>
      </c>
      <c r="B337" s="164" t="s">
        <v>673</v>
      </c>
      <c r="C337" s="166" t="s">
        <v>1561</v>
      </c>
    </row>
    <row r="338" spans="1:3">
      <c r="A338" s="120" t="s">
        <v>260</v>
      </c>
      <c r="B338" s="121" t="s">
        <v>674</v>
      </c>
      <c r="C338" s="122" t="s">
        <v>1125</v>
      </c>
    </row>
    <row r="339" spans="1:3">
      <c r="A339" s="120" t="s">
        <v>261</v>
      </c>
      <c r="B339" s="121" t="s">
        <v>675</v>
      </c>
      <c r="C339" s="122" t="s">
        <v>1126</v>
      </c>
    </row>
    <row r="340" spans="1:3">
      <c r="A340" s="163" t="s">
        <v>1416</v>
      </c>
      <c r="B340" s="121" t="s">
        <v>1417</v>
      </c>
      <c r="C340" s="122" t="s">
        <v>1418</v>
      </c>
    </row>
    <row r="341" spans="1:3">
      <c r="A341" s="120" t="s">
        <v>262</v>
      </c>
      <c r="B341" s="121" t="s">
        <v>676</v>
      </c>
      <c r="C341" s="122" t="s">
        <v>1127</v>
      </c>
    </row>
    <row r="342" spans="1:3">
      <c r="A342" s="120" t="s">
        <v>263</v>
      </c>
      <c r="B342" s="121" t="s">
        <v>677</v>
      </c>
      <c r="C342" s="122" t="s">
        <v>1128</v>
      </c>
    </row>
    <row r="343" spans="1:3">
      <c r="A343" s="120" t="s">
        <v>264</v>
      </c>
      <c r="B343" s="121" t="s">
        <v>678</v>
      </c>
      <c r="C343" s="122" t="s">
        <v>1129</v>
      </c>
    </row>
    <row r="344" spans="1:3">
      <c r="A344" s="120" t="s">
        <v>265</v>
      </c>
      <c r="B344" s="121" t="s">
        <v>678</v>
      </c>
      <c r="C344" s="122" t="s">
        <v>1130</v>
      </c>
    </row>
    <row r="345" spans="1:3">
      <c r="A345" s="120" t="s">
        <v>266</v>
      </c>
      <c r="B345" s="121" t="s">
        <v>679</v>
      </c>
      <c r="C345" s="122" t="s">
        <v>1131</v>
      </c>
    </row>
    <row r="346" spans="1:3">
      <c r="A346" s="120" t="s">
        <v>267</v>
      </c>
      <c r="B346" s="121" t="s">
        <v>680</v>
      </c>
      <c r="C346" s="122" t="s">
        <v>1132</v>
      </c>
    </row>
    <row r="347" spans="1:3">
      <c r="A347" s="120" t="s">
        <v>268</v>
      </c>
      <c r="B347" s="121" t="s">
        <v>681</v>
      </c>
      <c r="C347" s="122" t="s">
        <v>1133</v>
      </c>
    </row>
    <row r="348" spans="1:3">
      <c r="A348" s="120" t="s">
        <v>269</v>
      </c>
      <c r="B348" s="121" t="s">
        <v>682</v>
      </c>
      <c r="C348" s="122" t="s">
        <v>1134</v>
      </c>
    </row>
    <row r="349" spans="1:3">
      <c r="A349" s="120" t="s">
        <v>270</v>
      </c>
      <c r="B349" s="121" t="s">
        <v>683</v>
      </c>
      <c r="C349" s="122" t="s">
        <v>1135</v>
      </c>
    </row>
    <row r="350" spans="1:3">
      <c r="A350" s="120" t="s">
        <v>271</v>
      </c>
      <c r="B350" s="121" t="s">
        <v>684</v>
      </c>
      <c r="C350" s="122" t="s">
        <v>1136</v>
      </c>
    </row>
    <row r="351" spans="1:3">
      <c r="A351" s="120" t="s">
        <v>273</v>
      </c>
      <c r="B351" s="121" t="s">
        <v>686</v>
      </c>
      <c r="C351" s="122" t="s">
        <v>1138</v>
      </c>
    </row>
    <row r="352" spans="1:3">
      <c r="A352" s="120" t="s">
        <v>274</v>
      </c>
      <c r="B352" s="121" t="s">
        <v>687</v>
      </c>
      <c r="C352" s="122" t="s">
        <v>1139</v>
      </c>
    </row>
    <row r="353" spans="1:3">
      <c r="A353" s="120" t="s">
        <v>275</v>
      </c>
      <c r="B353" s="121" t="s">
        <v>688</v>
      </c>
      <c r="C353" s="122" t="s">
        <v>1140</v>
      </c>
    </row>
    <row r="354" spans="1:3">
      <c r="A354" s="120" t="s">
        <v>276</v>
      </c>
      <c r="B354" s="121" t="s">
        <v>689</v>
      </c>
      <c r="C354" s="122" t="s">
        <v>1141</v>
      </c>
    </row>
    <row r="355" spans="1:3">
      <c r="A355" s="120" t="s">
        <v>277</v>
      </c>
      <c r="B355" s="121" t="s">
        <v>690</v>
      </c>
      <c r="C355" s="122" t="s">
        <v>1142</v>
      </c>
    </row>
    <row r="356" spans="1:3">
      <c r="A356" s="120" t="s">
        <v>272</v>
      </c>
      <c r="B356" s="121" t="s">
        <v>685</v>
      </c>
      <c r="C356" s="122" t="s">
        <v>1137</v>
      </c>
    </row>
    <row r="357" spans="1:3">
      <c r="A357" s="120" t="s">
        <v>423</v>
      </c>
      <c r="B357" s="55" t="s">
        <v>820</v>
      </c>
      <c r="C357" s="122" t="s">
        <v>1283</v>
      </c>
    </row>
    <row r="358" spans="1:3">
      <c r="A358" s="120" t="s">
        <v>424</v>
      </c>
      <c r="B358" s="55" t="s">
        <v>821</v>
      </c>
      <c r="C358" s="122" t="s">
        <v>1284</v>
      </c>
    </row>
    <row r="359" spans="1:3">
      <c r="A359" s="120" t="s">
        <v>425</v>
      </c>
      <c r="B359" s="55" t="s">
        <v>822</v>
      </c>
      <c r="C359" s="122" t="s">
        <v>1285</v>
      </c>
    </row>
    <row r="360" spans="1:3">
      <c r="A360" s="123" t="s">
        <v>426</v>
      </c>
      <c r="B360" s="55" t="s">
        <v>823</v>
      </c>
      <c r="C360" s="122" t="s">
        <v>863</v>
      </c>
    </row>
    <row r="361" spans="1:3">
      <c r="A361" s="120" t="s">
        <v>427</v>
      </c>
      <c r="B361" s="55" t="s">
        <v>824</v>
      </c>
      <c r="C361" s="122" t="s">
        <v>1286</v>
      </c>
    </row>
    <row r="362" spans="1:3">
      <c r="A362" s="120" t="s">
        <v>428</v>
      </c>
      <c r="B362" s="55" t="s">
        <v>825</v>
      </c>
      <c r="C362" s="122" t="s">
        <v>1287</v>
      </c>
    </row>
    <row r="363" spans="1:3">
      <c r="A363" s="123" t="s">
        <v>429</v>
      </c>
      <c r="B363" s="55" t="s">
        <v>826</v>
      </c>
      <c r="C363" s="122" t="s">
        <v>864</v>
      </c>
    </row>
    <row r="364" spans="1:3">
      <c r="A364" s="120" t="s">
        <v>430</v>
      </c>
      <c r="B364" s="55" t="s">
        <v>827</v>
      </c>
      <c r="C364" s="122" t="s">
        <v>1288</v>
      </c>
    </row>
    <row r="365" spans="1:3">
      <c r="A365" s="163" t="s">
        <v>1491</v>
      </c>
      <c r="B365" s="164" t="s">
        <v>1562</v>
      </c>
      <c r="C365" s="165" t="s">
        <v>1563</v>
      </c>
    </row>
    <row r="366" spans="1:3">
      <c r="A366" s="120" t="s">
        <v>1318</v>
      </c>
      <c r="B366" s="121" t="s">
        <v>477</v>
      </c>
      <c r="C366" s="122" t="s">
        <v>1309</v>
      </c>
    </row>
    <row r="367" spans="1:3">
      <c r="A367" s="120" t="s">
        <v>1319</v>
      </c>
      <c r="B367" s="121" t="s">
        <v>478</v>
      </c>
      <c r="C367" s="122" t="s">
        <v>1310</v>
      </c>
    </row>
    <row r="368" spans="1:3">
      <c r="A368" s="163" t="s">
        <v>1564</v>
      </c>
      <c r="B368" s="168" t="s">
        <v>566</v>
      </c>
      <c r="C368" s="165" t="s">
        <v>1565</v>
      </c>
    </row>
    <row r="369" spans="1:3">
      <c r="A369" s="123" t="s">
        <v>114</v>
      </c>
      <c r="B369" s="55" t="s">
        <v>886</v>
      </c>
      <c r="C369" s="122" t="s">
        <v>887</v>
      </c>
    </row>
    <row r="370" spans="1:3">
      <c r="A370" s="123" t="s">
        <v>113</v>
      </c>
      <c r="B370" s="55" t="s">
        <v>888</v>
      </c>
      <c r="C370" s="122" t="s">
        <v>889</v>
      </c>
    </row>
    <row r="371" spans="1:3">
      <c r="A371" s="123" t="s">
        <v>112</v>
      </c>
      <c r="B371" s="55" t="s">
        <v>890</v>
      </c>
      <c r="C371" s="122" t="s">
        <v>891</v>
      </c>
    </row>
    <row r="372" spans="1:3">
      <c r="A372" s="123" t="s">
        <v>115</v>
      </c>
      <c r="B372" s="55" t="s">
        <v>556</v>
      </c>
      <c r="C372" s="122" t="s">
        <v>892</v>
      </c>
    </row>
    <row r="373" spans="1:3">
      <c r="A373" s="120" t="s">
        <v>116</v>
      </c>
      <c r="B373" s="121" t="s">
        <v>557</v>
      </c>
      <c r="C373" s="122" t="s">
        <v>988</v>
      </c>
    </row>
    <row r="374" spans="1:3">
      <c r="A374" s="163" t="s">
        <v>1419</v>
      </c>
      <c r="B374" s="55" t="s">
        <v>563</v>
      </c>
      <c r="C374" s="122" t="s">
        <v>1420</v>
      </c>
    </row>
    <row r="375" spans="1:3">
      <c r="A375" s="120" t="s">
        <v>126</v>
      </c>
      <c r="B375" s="121" t="s">
        <v>555</v>
      </c>
      <c r="C375" s="122" t="s">
        <v>992</v>
      </c>
    </row>
    <row r="376" spans="1:3">
      <c r="A376" s="123" t="s">
        <v>127</v>
      </c>
      <c r="B376" s="55" t="s">
        <v>554</v>
      </c>
      <c r="C376" s="122" t="s">
        <v>893</v>
      </c>
    </row>
    <row r="377" spans="1:3">
      <c r="A377" s="123" t="s">
        <v>117</v>
      </c>
      <c r="B377" s="55" t="s">
        <v>558</v>
      </c>
      <c r="C377" s="122" t="s">
        <v>894</v>
      </c>
    </row>
    <row r="378" spans="1:3">
      <c r="A378" s="120" t="s">
        <v>118</v>
      </c>
      <c r="B378" s="121" t="s">
        <v>559</v>
      </c>
      <c r="C378" s="122" t="s">
        <v>989</v>
      </c>
    </row>
    <row r="379" spans="1:3">
      <c r="A379" s="163" t="s">
        <v>1421</v>
      </c>
      <c r="B379" s="121" t="s">
        <v>560</v>
      </c>
      <c r="C379" s="122" t="s">
        <v>1422</v>
      </c>
    </row>
    <row r="380" spans="1:3">
      <c r="A380" s="120" t="s">
        <v>119</v>
      </c>
      <c r="B380" s="121" t="s">
        <v>560</v>
      </c>
      <c r="C380" s="122" t="s">
        <v>990</v>
      </c>
    </row>
    <row r="381" spans="1:3">
      <c r="A381" s="120" t="s">
        <v>120</v>
      </c>
      <c r="B381" s="121" t="s">
        <v>561</v>
      </c>
      <c r="C381" s="122" t="s">
        <v>991</v>
      </c>
    </row>
    <row r="382" spans="1:3">
      <c r="A382" s="123" t="s">
        <v>121</v>
      </c>
      <c r="B382" s="55" t="s">
        <v>562</v>
      </c>
      <c r="C382" s="122" t="s">
        <v>895</v>
      </c>
    </row>
    <row r="383" spans="1:3">
      <c r="A383" s="163" t="s">
        <v>1423</v>
      </c>
      <c r="B383" s="55" t="s">
        <v>563</v>
      </c>
      <c r="C383" s="122" t="s">
        <v>1424</v>
      </c>
    </row>
    <row r="384" spans="1:3">
      <c r="A384" s="163" t="s">
        <v>1566</v>
      </c>
      <c r="B384" s="168" t="s">
        <v>563</v>
      </c>
      <c r="C384" s="166" t="s">
        <v>1567</v>
      </c>
    </row>
    <row r="385" spans="1:3">
      <c r="A385" s="123" t="s">
        <v>122</v>
      </c>
      <c r="B385" s="55" t="s">
        <v>563</v>
      </c>
      <c r="C385" s="122" t="s">
        <v>896</v>
      </c>
    </row>
    <row r="386" spans="1:3">
      <c r="A386" s="123" t="s">
        <v>123</v>
      </c>
      <c r="B386" s="55" t="s">
        <v>564</v>
      </c>
      <c r="C386" s="122" t="s">
        <v>897</v>
      </c>
    </row>
    <row r="387" spans="1:3">
      <c r="A387" s="123" t="s">
        <v>124</v>
      </c>
      <c r="B387" s="55" t="s">
        <v>565</v>
      </c>
      <c r="C387" s="122" t="s">
        <v>898</v>
      </c>
    </row>
    <row r="388" spans="1:3">
      <c r="A388" s="123" t="s">
        <v>125</v>
      </c>
      <c r="B388" s="55" t="s">
        <v>566</v>
      </c>
      <c r="C388" s="122" t="s">
        <v>899</v>
      </c>
    </row>
    <row r="389" spans="1:3">
      <c r="A389" s="123" t="s">
        <v>128</v>
      </c>
      <c r="B389" s="55" t="s">
        <v>555</v>
      </c>
      <c r="C389" s="122" t="s">
        <v>900</v>
      </c>
    </row>
    <row r="390" spans="1:3">
      <c r="A390" s="120" t="s">
        <v>111</v>
      </c>
      <c r="B390" s="121" t="s">
        <v>553</v>
      </c>
      <c r="C390" s="122" t="s">
        <v>987</v>
      </c>
    </row>
    <row r="391" spans="1:3">
      <c r="A391" s="120" t="s">
        <v>130</v>
      </c>
      <c r="B391" s="121" t="s">
        <v>553</v>
      </c>
      <c r="C391" s="122" t="s">
        <v>994</v>
      </c>
    </row>
    <row r="392" spans="1:3">
      <c r="A392" s="120" t="s">
        <v>131</v>
      </c>
      <c r="B392" s="121" t="s">
        <v>888</v>
      </c>
      <c r="C392" s="122" t="s">
        <v>995</v>
      </c>
    </row>
    <row r="393" spans="1:3">
      <c r="A393" s="120" t="s">
        <v>134</v>
      </c>
      <c r="B393" s="121" t="s">
        <v>998</v>
      </c>
      <c r="C393" s="122" t="s">
        <v>999</v>
      </c>
    </row>
    <row r="394" spans="1:3">
      <c r="A394" s="120" t="s">
        <v>129</v>
      </c>
      <c r="B394" s="121" t="s">
        <v>554</v>
      </c>
      <c r="C394" s="122" t="s">
        <v>993</v>
      </c>
    </row>
    <row r="395" spans="1:3">
      <c r="A395" s="120" t="s">
        <v>132</v>
      </c>
      <c r="B395" s="121" t="s">
        <v>567</v>
      </c>
      <c r="C395" s="122" t="s">
        <v>996</v>
      </c>
    </row>
    <row r="396" spans="1:3">
      <c r="A396" s="120" t="s">
        <v>133</v>
      </c>
      <c r="B396" s="121" t="s">
        <v>568</v>
      </c>
      <c r="C396" s="122" t="s">
        <v>997</v>
      </c>
    </row>
    <row r="397" spans="1:3">
      <c r="A397" s="123" t="s">
        <v>135</v>
      </c>
      <c r="B397" s="55" t="s">
        <v>569</v>
      </c>
      <c r="C397" s="122" t="s">
        <v>901</v>
      </c>
    </row>
    <row r="398" spans="1:3">
      <c r="A398" s="120" t="s">
        <v>474</v>
      </c>
      <c r="B398" s="121" t="s">
        <v>1015</v>
      </c>
      <c r="C398" s="122" t="s">
        <v>1016</v>
      </c>
    </row>
    <row r="399" spans="1:3">
      <c r="A399" s="120" t="s">
        <v>475</v>
      </c>
      <c r="B399" s="121" t="s">
        <v>1017</v>
      </c>
      <c r="C399" s="122" t="s">
        <v>1018</v>
      </c>
    </row>
    <row r="400" spans="1:3">
      <c r="A400" s="120" t="s">
        <v>136</v>
      </c>
      <c r="B400" s="121" t="s">
        <v>570</v>
      </c>
      <c r="C400" s="122" t="s">
        <v>1000</v>
      </c>
    </row>
    <row r="401" spans="1:3">
      <c r="A401" s="163" t="s">
        <v>1348</v>
      </c>
      <c r="B401" s="121" t="s">
        <v>1357</v>
      </c>
      <c r="C401" s="122" t="s">
        <v>1358</v>
      </c>
    </row>
    <row r="402" spans="1:3">
      <c r="A402" s="120" t="s">
        <v>138</v>
      </c>
      <c r="B402" s="121" t="s">
        <v>571</v>
      </c>
      <c r="C402" s="122" t="s">
        <v>1002</v>
      </c>
    </row>
    <row r="403" spans="1:3">
      <c r="A403" s="120" t="s">
        <v>137</v>
      </c>
      <c r="B403" s="121" t="s">
        <v>571</v>
      </c>
      <c r="C403" s="122" t="s">
        <v>1001</v>
      </c>
    </row>
    <row r="404" spans="1:3">
      <c r="A404" s="120" t="s">
        <v>141</v>
      </c>
      <c r="B404" s="121" t="s">
        <v>574</v>
      </c>
      <c r="C404" s="122" t="s">
        <v>1004</v>
      </c>
    </row>
    <row r="405" spans="1:3">
      <c r="A405" s="123" t="s">
        <v>139</v>
      </c>
      <c r="B405" s="55" t="s">
        <v>572</v>
      </c>
      <c r="C405" s="122" t="s">
        <v>902</v>
      </c>
    </row>
    <row r="406" spans="1:3">
      <c r="A406" s="120" t="s">
        <v>140</v>
      </c>
      <c r="B406" s="121" t="s">
        <v>573</v>
      </c>
      <c r="C406" s="122" t="s">
        <v>1003</v>
      </c>
    </row>
    <row r="407" spans="1:3">
      <c r="A407" s="120" t="s">
        <v>142</v>
      </c>
      <c r="B407" s="121" t="s">
        <v>575</v>
      </c>
      <c r="C407" s="122" t="s">
        <v>1005</v>
      </c>
    </row>
    <row r="408" spans="1:3">
      <c r="A408" s="120" t="s">
        <v>143</v>
      </c>
      <c r="B408" s="121" t="s">
        <v>575</v>
      </c>
      <c r="C408" s="122" t="s">
        <v>1006</v>
      </c>
    </row>
    <row r="409" spans="1:3">
      <c r="A409" s="120" t="s">
        <v>144</v>
      </c>
      <c r="B409" s="121" t="s">
        <v>576</v>
      </c>
      <c r="C409" s="122" t="s">
        <v>1007</v>
      </c>
    </row>
    <row r="410" spans="1:3">
      <c r="A410" s="120" t="s">
        <v>145</v>
      </c>
      <c r="B410" s="121" t="s">
        <v>576</v>
      </c>
      <c r="C410" s="122" t="s">
        <v>1008</v>
      </c>
    </row>
    <row r="411" spans="1:3">
      <c r="A411" s="163" t="s">
        <v>1425</v>
      </c>
      <c r="B411" s="55" t="s">
        <v>577</v>
      </c>
      <c r="C411" s="122" t="s">
        <v>1426</v>
      </c>
    </row>
    <row r="412" spans="1:3">
      <c r="A412" s="123" t="s">
        <v>146</v>
      </c>
      <c r="B412" s="55" t="s">
        <v>577</v>
      </c>
      <c r="C412" s="122" t="s">
        <v>903</v>
      </c>
    </row>
    <row r="413" spans="1:3">
      <c r="A413" s="163" t="s">
        <v>1427</v>
      </c>
      <c r="B413" s="55" t="s">
        <v>577</v>
      </c>
      <c r="C413" s="122" t="s">
        <v>1428</v>
      </c>
    </row>
    <row r="414" spans="1:3">
      <c r="A414" s="120" t="s">
        <v>147</v>
      </c>
      <c r="B414" s="121" t="s">
        <v>578</v>
      </c>
      <c r="C414" s="122" t="s">
        <v>1009</v>
      </c>
    </row>
    <row r="415" spans="1:3">
      <c r="A415" s="120" t="s">
        <v>148</v>
      </c>
      <c r="B415" s="121" t="s">
        <v>579</v>
      </c>
      <c r="C415" s="122" t="s">
        <v>1010</v>
      </c>
    </row>
    <row r="416" spans="1:3">
      <c r="A416" s="163" t="s">
        <v>1429</v>
      </c>
      <c r="B416" s="121" t="s">
        <v>579</v>
      </c>
      <c r="C416" s="122" t="s">
        <v>1430</v>
      </c>
    </row>
    <row r="417" spans="1:3">
      <c r="A417" s="120" t="s">
        <v>149</v>
      </c>
      <c r="B417" s="121" t="s">
        <v>580</v>
      </c>
      <c r="C417" s="122" t="s">
        <v>1011</v>
      </c>
    </row>
    <row r="418" spans="1:3">
      <c r="A418" s="163" t="s">
        <v>1568</v>
      </c>
      <c r="B418" s="164" t="s">
        <v>581</v>
      </c>
      <c r="C418" s="165" t="s">
        <v>1569</v>
      </c>
    </row>
    <row r="419" spans="1:3">
      <c r="A419" s="120" t="s">
        <v>151</v>
      </c>
      <c r="B419" s="121" t="s">
        <v>581</v>
      </c>
      <c r="C419" s="122" t="s">
        <v>1012</v>
      </c>
    </row>
    <row r="420" spans="1:3">
      <c r="A420" s="122" t="s">
        <v>1540</v>
      </c>
      <c r="B420" s="164" t="s">
        <v>581</v>
      </c>
      <c r="C420" s="122" t="s">
        <v>1570</v>
      </c>
    </row>
    <row r="421" spans="1:3">
      <c r="A421" s="163" t="s">
        <v>1431</v>
      </c>
      <c r="B421" s="121" t="s">
        <v>1432</v>
      </c>
      <c r="C421" s="122" t="s">
        <v>1433</v>
      </c>
    </row>
    <row r="422" spans="1:3">
      <c r="A422" s="120" t="s">
        <v>150</v>
      </c>
      <c r="B422" s="121" t="s">
        <v>582</v>
      </c>
      <c r="C422" s="122" t="s">
        <v>1013</v>
      </c>
    </row>
    <row r="423" spans="1:3">
      <c r="A423" s="120" t="s">
        <v>152</v>
      </c>
      <c r="B423" s="121" t="s">
        <v>1539</v>
      </c>
      <c r="C423" s="122" t="s">
        <v>1014</v>
      </c>
    </row>
    <row r="424" spans="1:3">
      <c r="A424" s="120" t="s">
        <v>1571</v>
      </c>
      <c r="B424" s="164" t="s">
        <v>1539</v>
      </c>
      <c r="C424" s="122" t="s">
        <v>1572</v>
      </c>
    </row>
    <row r="425" spans="1:3">
      <c r="A425" s="163" t="s">
        <v>1495</v>
      </c>
      <c r="B425" s="121" t="s">
        <v>1497</v>
      </c>
      <c r="C425" s="121" t="s">
        <v>1496</v>
      </c>
    </row>
    <row r="426" spans="1:3">
      <c r="A426" s="120" t="s">
        <v>421</v>
      </c>
      <c r="B426" s="55" t="s">
        <v>818</v>
      </c>
      <c r="C426" s="122" t="s">
        <v>1281</v>
      </c>
    </row>
    <row r="427" spans="1:3">
      <c r="A427" s="120" t="s">
        <v>422</v>
      </c>
      <c r="B427" s="55" t="s">
        <v>819</v>
      </c>
      <c r="C427" s="122" t="s">
        <v>1282</v>
      </c>
    </row>
    <row r="428" spans="1:3">
      <c r="A428" s="123" t="s">
        <v>364</v>
      </c>
      <c r="B428" s="55" t="s">
        <v>765</v>
      </c>
      <c r="C428" s="122" t="s">
        <v>1227</v>
      </c>
    </row>
    <row r="429" spans="1:3">
      <c r="A429" s="123" t="s">
        <v>365</v>
      </c>
      <c r="B429" s="55" t="s">
        <v>766</v>
      </c>
      <c r="C429" s="122" t="s">
        <v>1228</v>
      </c>
    </row>
    <row r="430" spans="1:3">
      <c r="A430" s="120" t="s">
        <v>366</v>
      </c>
      <c r="B430" s="121" t="s">
        <v>767</v>
      </c>
      <c r="C430" s="122" t="s">
        <v>1237</v>
      </c>
    </row>
    <row r="431" spans="1:3">
      <c r="A431" s="120" t="s">
        <v>367</v>
      </c>
      <c r="B431" s="121" t="s">
        <v>768</v>
      </c>
      <c r="C431" s="122" t="s">
        <v>1238</v>
      </c>
    </row>
    <row r="432" spans="1:3">
      <c r="A432" s="120" t="s">
        <v>368</v>
      </c>
      <c r="B432" s="121" t="s">
        <v>769</v>
      </c>
      <c r="C432" s="122" t="s">
        <v>1239</v>
      </c>
    </row>
    <row r="433" spans="1:3">
      <c r="A433" s="123" t="s">
        <v>369</v>
      </c>
      <c r="B433" s="55" t="s">
        <v>770</v>
      </c>
      <c r="C433" s="122" t="s">
        <v>1229</v>
      </c>
    </row>
    <row r="434" spans="1:3">
      <c r="A434" s="120" t="s">
        <v>370</v>
      </c>
      <c r="B434" s="121" t="s">
        <v>771</v>
      </c>
      <c r="C434" s="122" t="s">
        <v>1240</v>
      </c>
    </row>
    <row r="435" spans="1:3">
      <c r="A435" s="120" t="s">
        <v>371</v>
      </c>
      <c r="B435" s="121" t="s">
        <v>772</v>
      </c>
      <c r="C435" s="122" t="s">
        <v>1241</v>
      </c>
    </row>
    <row r="436" spans="1:3">
      <c r="A436" s="120" t="s">
        <v>372</v>
      </c>
      <c r="B436" s="121" t="s">
        <v>773</v>
      </c>
      <c r="C436" s="122" t="s">
        <v>1242</v>
      </c>
    </row>
    <row r="437" spans="1:3">
      <c r="A437" s="120" t="s">
        <v>373</v>
      </c>
      <c r="B437" s="121" t="s">
        <v>774</v>
      </c>
      <c r="C437" s="122" t="s">
        <v>1243</v>
      </c>
    </row>
    <row r="438" spans="1:3">
      <c r="A438" s="120" t="s">
        <v>374</v>
      </c>
      <c r="B438" s="121" t="s">
        <v>774</v>
      </c>
      <c r="C438" s="122" t="s">
        <v>1244</v>
      </c>
    </row>
    <row r="439" spans="1:3">
      <c r="A439" s="120" t="s">
        <v>375</v>
      </c>
      <c r="B439" s="121" t="s">
        <v>775</v>
      </c>
      <c r="C439" s="122" t="s">
        <v>1245</v>
      </c>
    </row>
    <row r="440" spans="1:3">
      <c r="A440" s="120" t="s">
        <v>376</v>
      </c>
      <c r="B440" s="121" t="s">
        <v>776</v>
      </c>
      <c r="C440" s="122" t="s">
        <v>1246</v>
      </c>
    </row>
    <row r="441" spans="1:3">
      <c r="A441" s="120" t="s">
        <v>377</v>
      </c>
      <c r="B441" s="121" t="s">
        <v>777</v>
      </c>
      <c r="C441" s="122" t="s">
        <v>1247</v>
      </c>
    </row>
    <row r="442" spans="1:3">
      <c r="A442" s="120" t="s">
        <v>378</v>
      </c>
      <c r="B442" s="121" t="s">
        <v>778</v>
      </c>
      <c r="C442" s="122" t="s">
        <v>1248</v>
      </c>
    </row>
    <row r="443" spans="1:3">
      <c r="A443" s="120" t="s">
        <v>379</v>
      </c>
      <c r="B443" s="121" t="s">
        <v>779</v>
      </c>
      <c r="C443" s="122" t="s">
        <v>1249</v>
      </c>
    </row>
    <row r="444" spans="1:3">
      <c r="A444" s="120" t="s">
        <v>380</v>
      </c>
      <c r="B444" s="121" t="s">
        <v>779</v>
      </c>
      <c r="C444" s="122" t="s">
        <v>1250</v>
      </c>
    </row>
    <row r="445" spans="1:3">
      <c r="A445" s="120" t="s">
        <v>381</v>
      </c>
      <c r="B445" s="121" t="s">
        <v>779</v>
      </c>
      <c r="C445" s="122" t="s">
        <v>1251</v>
      </c>
    </row>
    <row r="446" spans="1:3">
      <c r="A446" s="120" t="s">
        <v>382</v>
      </c>
      <c r="B446" s="121" t="s">
        <v>780</v>
      </c>
      <c r="C446" s="122" t="s">
        <v>1252</v>
      </c>
    </row>
    <row r="447" spans="1:3">
      <c r="A447" s="120" t="s">
        <v>383</v>
      </c>
      <c r="B447" s="121" t="s">
        <v>781</v>
      </c>
      <c r="C447" s="122" t="s">
        <v>1253</v>
      </c>
    </row>
    <row r="448" spans="1:3">
      <c r="A448" s="120" t="s">
        <v>384</v>
      </c>
      <c r="B448" s="121" t="s">
        <v>782</v>
      </c>
      <c r="C448" s="122" t="s">
        <v>1254</v>
      </c>
    </row>
    <row r="449" spans="1:3">
      <c r="A449" s="123" t="s">
        <v>385</v>
      </c>
      <c r="B449" s="55" t="s">
        <v>783</v>
      </c>
      <c r="C449" s="122" t="s">
        <v>1230</v>
      </c>
    </row>
    <row r="450" spans="1:3">
      <c r="A450" s="123" t="s">
        <v>386</v>
      </c>
      <c r="B450" s="55" t="s">
        <v>784</v>
      </c>
      <c r="C450" s="122" t="s">
        <v>1231</v>
      </c>
    </row>
    <row r="451" spans="1:3">
      <c r="A451" s="120" t="s">
        <v>387</v>
      </c>
      <c r="B451" s="121" t="s">
        <v>785</v>
      </c>
      <c r="C451" s="122" t="s">
        <v>1255</v>
      </c>
    </row>
    <row r="452" spans="1:3">
      <c r="A452" s="120" t="s">
        <v>431</v>
      </c>
      <c r="B452" s="55" t="s">
        <v>828</v>
      </c>
      <c r="C452" s="122" t="s">
        <v>1289</v>
      </c>
    </row>
    <row r="453" spans="1:3">
      <c r="A453" s="120" t="s">
        <v>432</v>
      </c>
      <c r="B453" s="55" t="s">
        <v>829</v>
      </c>
      <c r="C453" s="122" t="s">
        <v>1290</v>
      </c>
    </row>
    <row r="454" spans="1:3">
      <c r="A454" s="123" t="s">
        <v>391</v>
      </c>
      <c r="B454" s="55" t="s">
        <v>806</v>
      </c>
      <c r="C454" s="122" t="s">
        <v>1232</v>
      </c>
    </row>
    <row r="455" spans="1:3">
      <c r="A455" s="123" t="s">
        <v>392</v>
      </c>
      <c r="B455" s="55" t="s">
        <v>807</v>
      </c>
      <c r="C455" s="122" t="s">
        <v>1233</v>
      </c>
    </row>
    <row r="456" spans="1:3">
      <c r="A456" s="163" t="s">
        <v>1434</v>
      </c>
      <c r="B456" s="121" t="s">
        <v>1435</v>
      </c>
      <c r="C456" s="122" t="s">
        <v>1436</v>
      </c>
    </row>
    <row r="457" spans="1:3">
      <c r="A457" s="120" t="s">
        <v>397</v>
      </c>
      <c r="B457" s="55" t="s">
        <v>792</v>
      </c>
      <c r="C457" s="122" t="s">
        <v>1268</v>
      </c>
    </row>
    <row r="458" spans="1:3">
      <c r="A458" s="120" t="s">
        <v>398</v>
      </c>
      <c r="B458" s="121" t="s">
        <v>793</v>
      </c>
      <c r="C458" s="122" t="s">
        <v>1269</v>
      </c>
    </row>
    <row r="459" spans="1:3">
      <c r="A459" s="123" t="s">
        <v>399</v>
      </c>
      <c r="B459" s="55" t="s">
        <v>794</v>
      </c>
      <c r="C459" s="122" t="s">
        <v>1259</v>
      </c>
    </row>
    <row r="460" spans="1:3">
      <c r="A460" s="120" t="s">
        <v>400</v>
      </c>
      <c r="B460" s="121" t="s">
        <v>795</v>
      </c>
      <c r="C460" s="122" t="s">
        <v>1270</v>
      </c>
    </row>
    <row r="461" spans="1:3">
      <c r="A461" s="123" t="s">
        <v>401</v>
      </c>
      <c r="B461" s="55" t="s">
        <v>796</v>
      </c>
      <c r="C461" s="122" t="s">
        <v>1260</v>
      </c>
    </row>
    <row r="462" spans="1:3">
      <c r="A462" s="120" t="s">
        <v>402</v>
      </c>
      <c r="B462" s="55" t="s">
        <v>797</v>
      </c>
      <c r="C462" s="122" t="s">
        <v>1271</v>
      </c>
    </row>
    <row r="463" spans="1:3">
      <c r="A463" s="123" t="s">
        <v>394</v>
      </c>
      <c r="B463" s="55" t="s">
        <v>789</v>
      </c>
      <c r="C463" s="122" t="s">
        <v>1261</v>
      </c>
    </row>
    <row r="464" spans="1:3">
      <c r="A464" s="123" t="s">
        <v>396</v>
      </c>
      <c r="B464" s="55" t="s">
        <v>791</v>
      </c>
      <c r="C464" s="122" t="s">
        <v>1262</v>
      </c>
    </row>
    <row r="465" spans="1:3">
      <c r="A465" s="123" t="s">
        <v>395</v>
      </c>
      <c r="B465" s="55" t="s">
        <v>790</v>
      </c>
      <c r="C465" s="122" t="s">
        <v>1263</v>
      </c>
    </row>
    <row r="466" spans="1:3">
      <c r="A466" s="123" t="s">
        <v>403</v>
      </c>
      <c r="B466" s="55" t="s">
        <v>798</v>
      </c>
      <c r="C466" s="122" t="s">
        <v>1264</v>
      </c>
    </row>
    <row r="467" spans="1:3">
      <c r="A467" s="120" t="s">
        <v>404</v>
      </c>
      <c r="B467" s="55" t="s">
        <v>799</v>
      </c>
      <c r="C467" s="122" t="s">
        <v>1272</v>
      </c>
    </row>
    <row r="468" spans="1:3">
      <c r="A468" s="120" t="s">
        <v>405</v>
      </c>
      <c r="B468" s="55" t="s">
        <v>800</v>
      </c>
      <c r="C468" s="122" t="s">
        <v>1273</v>
      </c>
    </row>
    <row r="469" spans="1:3">
      <c r="A469" s="120" t="s">
        <v>406</v>
      </c>
      <c r="B469" s="55" t="s">
        <v>801</v>
      </c>
      <c r="C469" s="122" t="s">
        <v>1274</v>
      </c>
    </row>
    <row r="470" spans="1:3">
      <c r="A470" s="120" t="s">
        <v>407</v>
      </c>
      <c r="B470" s="55" t="s">
        <v>802</v>
      </c>
      <c r="C470" s="122" t="s">
        <v>1275</v>
      </c>
    </row>
    <row r="471" spans="1:3">
      <c r="A471" s="123" t="s">
        <v>408</v>
      </c>
      <c r="B471" s="55" t="s">
        <v>803</v>
      </c>
      <c r="C471" s="122" t="s">
        <v>1265</v>
      </c>
    </row>
    <row r="472" spans="1:3">
      <c r="A472" s="120" t="s">
        <v>409</v>
      </c>
      <c r="B472" s="55" t="s">
        <v>804</v>
      </c>
      <c r="C472" s="124" t="s">
        <v>1276</v>
      </c>
    </row>
    <row r="473" spans="1:3">
      <c r="A473" s="123" t="s">
        <v>410</v>
      </c>
      <c r="B473" s="55" t="s">
        <v>805</v>
      </c>
      <c r="C473" s="122" t="s">
        <v>1266</v>
      </c>
    </row>
    <row r="474" spans="1:3">
      <c r="A474" s="163" t="s">
        <v>1573</v>
      </c>
      <c r="B474" s="168" t="s">
        <v>1574</v>
      </c>
      <c r="C474" s="165" t="s">
        <v>1575</v>
      </c>
    </row>
    <row r="475" spans="1:3">
      <c r="A475" s="120" t="s">
        <v>411</v>
      </c>
      <c r="B475" s="55" t="s">
        <v>810</v>
      </c>
      <c r="C475" s="122" t="s">
        <v>1278</v>
      </c>
    </row>
    <row r="476" spans="1:3">
      <c r="A476" s="123" t="s">
        <v>412</v>
      </c>
      <c r="B476" s="55" t="s">
        <v>811</v>
      </c>
      <c r="C476" s="122" t="s">
        <v>1267</v>
      </c>
    </row>
    <row r="477" spans="1:3">
      <c r="A477" s="120" t="s">
        <v>74</v>
      </c>
      <c r="B477" s="121" t="s">
        <v>526</v>
      </c>
      <c r="C477" s="122" t="s">
        <v>971</v>
      </c>
    </row>
    <row r="478" spans="1:3">
      <c r="A478" s="123" t="s">
        <v>420</v>
      </c>
      <c r="B478" s="55" t="s">
        <v>817</v>
      </c>
      <c r="C478" s="122" t="s">
        <v>862</v>
      </c>
    </row>
    <row r="479" spans="1:3">
      <c r="A479" s="120" t="s">
        <v>75</v>
      </c>
      <c r="B479" s="121" t="s">
        <v>527</v>
      </c>
      <c r="C479" s="122" t="s">
        <v>972</v>
      </c>
    </row>
    <row r="480" spans="1:3">
      <c r="A480" s="163" t="s">
        <v>1437</v>
      </c>
      <c r="B480" s="121" t="s">
        <v>1438</v>
      </c>
      <c r="C480" s="122" t="s">
        <v>1439</v>
      </c>
    </row>
    <row r="481" spans="1:3">
      <c r="A481" s="123" t="s">
        <v>76</v>
      </c>
      <c r="B481" s="55" t="s">
        <v>527</v>
      </c>
      <c r="C481" s="122" t="s">
        <v>904</v>
      </c>
    </row>
    <row r="482" spans="1:3">
      <c r="A482" s="163" t="s">
        <v>1440</v>
      </c>
      <c r="B482" s="55" t="s">
        <v>527</v>
      </c>
      <c r="C482" s="122" t="s">
        <v>1441</v>
      </c>
    </row>
    <row r="483" spans="1:3">
      <c r="A483" s="163" t="s">
        <v>1442</v>
      </c>
      <c r="B483" s="121" t="s">
        <v>1438</v>
      </c>
      <c r="C483" s="122" t="s">
        <v>1443</v>
      </c>
    </row>
    <row r="484" spans="1:3">
      <c r="A484" s="123" t="s">
        <v>77</v>
      </c>
      <c r="B484" s="55" t="s">
        <v>528</v>
      </c>
      <c r="C484" s="122" t="s">
        <v>905</v>
      </c>
    </row>
    <row r="485" spans="1:3">
      <c r="A485" s="123" t="s">
        <v>78</v>
      </c>
      <c r="B485" s="55" t="s">
        <v>529</v>
      </c>
      <c r="C485" s="122" t="s">
        <v>906</v>
      </c>
    </row>
    <row r="486" spans="1:3">
      <c r="A486" s="163" t="s">
        <v>1576</v>
      </c>
      <c r="B486" s="164" t="s">
        <v>530</v>
      </c>
      <c r="C486" s="166" t="s">
        <v>1577</v>
      </c>
    </row>
    <row r="487" spans="1:3">
      <c r="A487" s="120" t="s">
        <v>79</v>
      </c>
      <c r="B487" s="121" t="s">
        <v>530</v>
      </c>
      <c r="C487" s="122" t="s">
        <v>973</v>
      </c>
    </row>
    <row r="488" spans="1:3">
      <c r="A488" s="120" t="s">
        <v>80</v>
      </c>
      <c r="B488" s="121" t="s">
        <v>531</v>
      </c>
      <c r="C488" s="122" t="s">
        <v>974</v>
      </c>
    </row>
    <row r="489" spans="1:3">
      <c r="A489" s="163" t="s">
        <v>1578</v>
      </c>
      <c r="B489" s="168" t="s">
        <v>1579</v>
      </c>
      <c r="C489" s="166" t="s">
        <v>1580</v>
      </c>
    </row>
    <row r="490" spans="1:3">
      <c r="A490" s="169" t="s">
        <v>1479</v>
      </c>
      <c r="B490" s="121" t="s">
        <v>1481</v>
      </c>
      <c r="C490" s="122" t="s">
        <v>1480</v>
      </c>
    </row>
    <row r="491" spans="1:3">
      <c r="A491" s="120" t="s">
        <v>81</v>
      </c>
      <c r="B491" s="121" t="s">
        <v>532</v>
      </c>
      <c r="C491" s="122" t="s">
        <v>975</v>
      </c>
    </row>
    <row r="492" spans="1:3">
      <c r="A492" s="120" t="s">
        <v>82</v>
      </c>
      <c r="B492" s="121" t="s">
        <v>533</v>
      </c>
      <c r="C492" s="122" t="s">
        <v>976</v>
      </c>
    </row>
    <row r="493" spans="1:3">
      <c r="A493" s="123" t="s">
        <v>83</v>
      </c>
      <c r="B493" s="55" t="s">
        <v>534</v>
      </c>
      <c r="C493" s="122" t="s">
        <v>907</v>
      </c>
    </row>
    <row r="494" spans="1:3">
      <c r="A494" s="123" t="s">
        <v>1444</v>
      </c>
      <c r="B494" s="121" t="s">
        <v>534</v>
      </c>
      <c r="C494" s="122" t="s">
        <v>1537</v>
      </c>
    </row>
    <row r="495" spans="1:3">
      <c r="A495" s="120" t="s">
        <v>84</v>
      </c>
      <c r="B495" s="121" t="s">
        <v>526</v>
      </c>
      <c r="C495" s="122" t="s">
        <v>977</v>
      </c>
    </row>
    <row r="496" spans="1:3">
      <c r="A496" s="120" t="s">
        <v>85</v>
      </c>
      <c r="B496" s="121" t="s">
        <v>526</v>
      </c>
      <c r="C496" s="122" t="s">
        <v>978</v>
      </c>
    </row>
    <row r="497" spans="1:3">
      <c r="A497" s="163" t="s">
        <v>1445</v>
      </c>
      <c r="B497" s="121" t="s">
        <v>535</v>
      </c>
      <c r="C497" s="122" t="s">
        <v>1446</v>
      </c>
    </row>
    <row r="498" spans="1:3">
      <c r="A498" s="163" t="s">
        <v>1447</v>
      </c>
      <c r="B498" s="55" t="s">
        <v>536</v>
      </c>
      <c r="C498" s="122" t="s">
        <v>1448</v>
      </c>
    </row>
    <row r="499" spans="1:3">
      <c r="A499" s="120" t="s">
        <v>86</v>
      </c>
      <c r="B499" s="121" t="s">
        <v>535</v>
      </c>
      <c r="C499" s="122" t="s">
        <v>979</v>
      </c>
    </row>
    <row r="500" spans="1:3">
      <c r="A500" s="123" t="s">
        <v>87</v>
      </c>
      <c r="B500" s="55" t="s">
        <v>536</v>
      </c>
      <c r="C500" s="122" t="s">
        <v>908</v>
      </c>
    </row>
    <row r="501" spans="1:3">
      <c r="A501" s="123" t="s">
        <v>1449</v>
      </c>
      <c r="B501" s="121" t="s">
        <v>536</v>
      </c>
      <c r="C501" s="122" t="s">
        <v>1538</v>
      </c>
    </row>
    <row r="502" spans="1:3">
      <c r="A502" s="123" t="s">
        <v>88</v>
      </c>
      <c r="B502" s="55" t="s">
        <v>537</v>
      </c>
      <c r="C502" s="122" t="s">
        <v>909</v>
      </c>
    </row>
    <row r="503" spans="1:3">
      <c r="A503" s="123" t="s">
        <v>1581</v>
      </c>
      <c r="B503" s="168" t="s">
        <v>537</v>
      </c>
      <c r="C503" s="122" t="s">
        <v>1582</v>
      </c>
    </row>
    <row r="504" spans="1:3">
      <c r="A504" s="163" t="s">
        <v>1450</v>
      </c>
      <c r="B504" s="121" t="s">
        <v>538</v>
      </c>
      <c r="C504" s="122" t="s">
        <v>1451</v>
      </c>
    </row>
    <row r="505" spans="1:3">
      <c r="A505" s="120" t="s">
        <v>89</v>
      </c>
      <c r="B505" s="121" t="s">
        <v>538</v>
      </c>
      <c r="C505" s="122" t="s">
        <v>980</v>
      </c>
    </row>
    <row r="506" spans="1:3">
      <c r="A506" s="163" t="s">
        <v>1452</v>
      </c>
      <c r="B506" s="55" t="s">
        <v>539</v>
      </c>
      <c r="C506" s="122" t="s">
        <v>1453</v>
      </c>
    </row>
    <row r="507" spans="1:3">
      <c r="A507" s="123" t="s">
        <v>90</v>
      </c>
      <c r="B507" s="55" t="s">
        <v>539</v>
      </c>
      <c r="C507" s="122" t="s">
        <v>910</v>
      </c>
    </row>
    <row r="508" spans="1:3">
      <c r="A508" s="123" t="s">
        <v>91</v>
      </c>
      <c r="B508" s="55" t="s">
        <v>540</v>
      </c>
      <c r="C508" s="122" t="s">
        <v>911</v>
      </c>
    </row>
    <row r="509" spans="1:3">
      <c r="A509" s="163" t="s">
        <v>1454</v>
      </c>
      <c r="B509" s="55" t="s">
        <v>540</v>
      </c>
      <c r="C509" s="122" t="s">
        <v>1455</v>
      </c>
    </row>
    <row r="510" spans="1:3">
      <c r="A510" s="163" t="s">
        <v>1456</v>
      </c>
      <c r="B510" s="121" t="s">
        <v>1457</v>
      </c>
      <c r="C510" s="122" t="s">
        <v>1482</v>
      </c>
    </row>
    <row r="511" spans="1:3">
      <c r="A511" s="123" t="s">
        <v>92</v>
      </c>
      <c r="B511" s="55" t="s">
        <v>541</v>
      </c>
      <c r="C511" s="122" t="s">
        <v>912</v>
      </c>
    </row>
    <row r="512" spans="1:3">
      <c r="A512" s="163" t="s">
        <v>1458</v>
      </c>
      <c r="B512" s="121" t="s">
        <v>541</v>
      </c>
      <c r="C512" s="122" t="s">
        <v>1483</v>
      </c>
    </row>
    <row r="513" spans="1:3">
      <c r="A513" s="123" t="s">
        <v>93</v>
      </c>
      <c r="B513" s="55" t="s">
        <v>542</v>
      </c>
      <c r="C513" s="122" t="s">
        <v>913</v>
      </c>
    </row>
    <row r="514" spans="1:3">
      <c r="A514" s="123" t="s">
        <v>94</v>
      </c>
      <c r="B514" s="55" t="s">
        <v>914</v>
      </c>
      <c r="C514" s="122" t="s">
        <v>915</v>
      </c>
    </row>
    <row r="515" spans="1:3">
      <c r="A515" s="163" t="s">
        <v>1459</v>
      </c>
      <c r="B515" s="121" t="s">
        <v>1460</v>
      </c>
      <c r="C515" s="122" t="s">
        <v>1461</v>
      </c>
    </row>
    <row r="516" spans="1:3">
      <c r="A516" s="120" t="s">
        <v>95</v>
      </c>
      <c r="B516" s="121" t="s">
        <v>527</v>
      </c>
      <c r="C516" s="122" t="s">
        <v>981</v>
      </c>
    </row>
    <row r="517" spans="1:3">
      <c r="A517" s="120" t="s">
        <v>96</v>
      </c>
      <c r="B517" s="121" t="s">
        <v>543</v>
      </c>
      <c r="C517" s="122" t="s">
        <v>982</v>
      </c>
    </row>
    <row r="518" spans="1:3">
      <c r="A518" s="163" t="s">
        <v>1462</v>
      </c>
      <c r="B518" s="121" t="s">
        <v>532</v>
      </c>
      <c r="C518" s="122" t="s">
        <v>1463</v>
      </c>
    </row>
    <row r="519" spans="1:3">
      <c r="A519" s="120" t="s">
        <v>97</v>
      </c>
      <c r="B519" s="121" t="s">
        <v>539</v>
      </c>
      <c r="C519" s="122" t="s">
        <v>983</v>
      </c>
    </row>
    <row r="520" spans="1:3">
      <c r="A520" s="163" t="s">
        <v>1464</v>
      </c>
      <c r="B520" s="121" t="s">
        <v>1465</v>
      </c>
      <c r="C520" s="124" t="s">
        <v>1466</v>
      </c>
    </row>
    <row r="521" spans="1:3">
      <c r="A521" s="120" t="s">
        <v>98</v>
      </c>
      <c r="B521" s="121" t="s">
        <v>544</v>
      </c>
      <c r="C521" s="122" t="s">
        <v>984</v>
      </c>
    </row>
    <row r="522" spans="1:3">
      <c r="A522" s="163" t="s">
        <v>1467</v>
      </c>
      <c r="B522" s="55" t="s">
        <v>547</v>
      </c>
      <c r="C522" s="122" t="s">
        <v>1468</v>
      </c>
    </row>
    <row r="523" spans="1:3">
      <c r="A523" s="123" t="s">
        <v>1316</v>
      </c>
      <c r="B523" s="55" t="s">
        <v>1321</v>
      </c>
      <c r="C523" s="124" t="s">
        <v>1320</v>
      </c>
    </row>
    <row r="524" spans="1:3">
      <c r="A524" s="120" t="s">
        <v>103</v>
      </c>
      <c r="B524" s="121" t="s">
        <v>545</v>
      </c>
      <c r="C524" s="122" t="s">
        <v>985</v>
      </c>
    </row>
    <row r="525" spans="1:3">
      <c r="A525" s="123" t="s">
        <v>104</v>
      </c>
      <c r="B525" s="55" t="s">
        <v>547</v>
      </c>
      <c r="C525" s="122" t="s">
        <v>916</v>
      </c>
    </row>
    <row r="526" spans="1:3">
      <c r="A526" s="163" t="s">
        <v>1469</v>
      </c>
      <c r="B526" s="55" t="s">
        <v>1470</v>
      </c>
      <c r="C526" s="122" t="s">
        <v>1471</v>
      </c>
    </row>
    <row r="527" spans="1:3">
      <c r="A527" s="123" t="s">
        <v>100</v>
      </c>
      <c r="B527" s="55" t="s">
        <v>545</v>
      </c>
      <c r="C527" s="122" t="s">
        <v>917</v>
      </c>
    </row>
    <row r="528" spans="1:3">
      <c r="A528" s="167" t="s">
        <v>1347</v>
      </c>
      <c r="B528" s="55" t="s">
        <v>1359</v>
      </c>
      <c r="C528" s="166" t="s">
        <v>1360</v>
      </c>
    </row>
    <row r="529" spans="1:3">
      <c r="A529" s="123" t="s">
        <v>101</v>
      </c>
      <c r="B529" s="55" t="s">
        <v>545</v>
      </c>
      <c r="C529" s="122" t="s">
        <v>918</v>
      </c>
    </row>
    <row r="530" spans="1:3">
      <c r="A530" s="123" t="s">
        <v>105</v>
      </c>
      <c r="B530" s="55" t="s">
        <v>548</v>
      </c>
      <c r="C530" s="122" t="s">
        <v>919</v>
      </c>
    </row>
    <row r="531" spans="1:3">
      <c r="A531" s="123" t="s">
        <v>920</v>
      </c>
      <c r="B531" s="55" t="s">
        <v>921</v>
      </c>
      <c r="C531" s="122" t="s">
        <v>922</v>
      </c>
    </row>
    <row r="532" spans="1:3">
      <c r="A532" s="123" t="s">
        <v>106</v>
      </c>
      <c r="B532" s="55" t="s">
        <v>549</v>
      </c>
      <c r="C532" s="122" t="s">
        <v>923</v>
      </c>
    </row>
    <row r="533" spans="1:3">
      <c r="A533" s="123" t="s">
        <v>107</v>
      </c>
      <c r="B533" s="55" t="s">
        <v>550</v>
      </c>
      <c r="C533" s="122" t="s">
        <v>924</v>
      </c>
    </row>
    <row r="534" spans="1:3">
      <c r="A534" s="123" t="s">
        <v>108</v>
      </c>
      <c r="B534" s="55" t="s">
        <v>551</v>
      </c>
      <c r="C534" s="122" t="s">
        <v>925</v>
      </c>
    </row>
    <row r="535" spans="1:3">
      <c r="A535" s="120" t="s">
        <v>473</v>
      </c>
      <c r="B535" s="121" t="s">
        <v>551</v>
      </c>
      <c r="C535" s="122" t="s">
        <v>986</v>
      </c>
    </row>
    <row r="536" spans="1:3">
      <c r="A536" s="123" t="s">
        <v>1313</v>
      </c>
      <c r="B536" s="55" t="s">
        <v>1314</v>
      </c>
      <c r="C536" s="122" t="s">
        <v>1315</v>
      </c>
    </row>
    <row r="537" spans="1:3">
      <c r="A537" s="123" t="s">
        <v>109</v>
      </c>
      <c r="B537" s="55" t="s">
        <v>552</v>
      </c>
      <c r="C537" s="122" t="s">
        <v>926</v>
      </c>
    </row>
    <row r="538" spans="1:3">
      <c r="A538" s="163" t="s">
        <v>1472</v>
      </c>
      <c r="B538" s="55" t="s">
        <v>546</v>
      </c>
      <c r="C538" s="122" t="s">
        <v>1473</v>
      </c>
    </row>
    <row r="539" spans="1:3">
      <c r="A539" s="123" t="s">
        <v>102</v>
      </c>
      <c r="B539" s="55" t="s">
        <v>546</v>
      </c>
      <c r="C539" s="122" t="s">
        <v>927</v>
      </c>
    </row>
    <row r="540" spans="1:3">
      <c r="A540" s="163" t="s">
        <v>1474</v>
      </c>
      <c r="B540" s="55" t="s">
        <v>1475</v>
      </c>
      <c r="C540" s="122" t="s">
        <v>1476</v>
      </c>
    </row>
    <row r="541" spans="1:3">
      <c r="A541" s="163" t="s">
        <v>1477</v>
      </c>
      <c r="B541" s="55" t="s">
        <v>549</v>
      </c>
      <c r="C541" s="122" t="s">
        <v>1478</v>
      </c>
    </row>
    <row r="542" spans="1:3">
      <c r="A542" s="58" t="s">
        <v>1592</v>
      </c>
      <c r="B542" s="164" t="s">
        <v>1403</v>
      </c>
      <c r="C542" s="166" t="s">
        <v>1594</v>
      </c>
    </row>
  </sheetData>
  <conditionalFormatting sqref="A470">
    <cfRule type="duplicateValues" dxfId="3" priority="4"/>
  </conditionalFormatting>
  <conditionalFormatting sqref="A521">
    <cfRule type="duplicateValues" dxfId="2" priority="3"/>
  </conditionalFormatting>
  <conditionalFormatting sqref="A528:A541 A1:A521 A543:A1048576">
    <cfRule type="duplicateValues" dxfId="1" priority="2"/>
  </conditionalFormatting>
  <conditionalFormatting sqref="A542">
    <cfRule type="duplicateValues" dxfId="0" priority="1"/>
  </conditionalFormatting>
  <hyperlinks>
    <hyperlink ref="B2" r:id="rId1" xr:uid="{03F775CB-C3FD-461C-A6F3-D1E8136C1659}"/>
    <hyperlink ref="C2" r:id="rId2" xr:uid="{811D193C-8292-4BC1-B6E4-44E9D8BC4D55}"/>
    <hyperlink ref="B3" r:id="rId3" xr:uid="{36ECC47A-D835-4330-BBA3-3F7D494EAECC}"/>
    <hyperlink ref="B4" r:id="rId4" xr:uid="{B78BF0F3-BA17-4784-973D-6837E8CDDD13}"/>
    <hyperlink ref="B5" r:id="rId5" xr:uid="{7CC8C5E5-EB38-45D4-A333-F5467A20A532}"/>
    <hyperlink ref="B6" r:id="rId6" xr:uid="{2C7EF9A3-E953-4DDE-A723-683DFB882614}"/>
    <hyperlink ref="B7" r:id="rId7" xr:uid="{1C8C7DDF-BA38-4E03-906C-8AC7AB6549A9}"/>
    <hyperlink ref="B8" r:id="rId8" xr:uid="{36F5A718-6EF7-4F4F-B26F-FF422B0B98A2}"/>
    <hyperlink ref="B9" r:id="rId9" xr:uid="{8925D520-7788-486F-A7DA-656A82367790}"/>
    <hyperlink ref="B10" r:id="rId10" xr:uid="{F020CC7C-71D5-4536-B31D-115CBFE73E99}"/>
    <hyperlink ref="B11" r:id="rId11" xr:uid="{11A8699D-735D-451B-85D4-70170C7AD1A4}"/>
    <hyperlink ref="B12" r:id="rId12" xr:uid="{F71B61BB-49B6-4D33-B81B-5B62450AEED7}"/>
    <hyperlink ref="B13" r:id="rId13" xr:uid="{9DAE1C77-BAA8-4987-9667-6AFF4E385F55}"/>
    <hyperlink ref="B14" r:id="rId14" xr:uid="{29F55044-9728-4F36-A96E-0A5503890FF2}"/>
    <hyperlink ref="B15" r:id="rId15" xr:uid="{525ABB5A-7643-4C23-8FB6-7CAC4FB07C5A}"/>
    <hyperlink ref="B16" r:id="rId16" xr:uid="{B0987C4F-44DE-4C5A-A73A-15DE67F63271}"/>
    <hyperlink ref="B17" r:id="rId17" xr:uid="{04EF9A6D-B9E3-4B32-995A-E48CC64A3B2B}"/>
    <hyperlink ref="B18" r:id="rId18" xr:uid="{D71A15C6-7DB7-44C0-B436-D51B93F65700}"/>
    <hyperlink ref="B19" r:id="rId19" xr:uid="{D4DB3457-4E9C-4ED4-8452-658B029C4025}"/>
    <hyperlink ref="B20" r:id="rId20" xr:uid="{65D558A9-AC5C-4F0F-AA36-FF32999EE429}"/>
    <hyperlink ref="B21" r:id="rId21" xr:uid="{D055751A-9F9D-43AA-8E45-8928C176D7DA}"/>
    <hyperlink ref="B22" r:id="rId22" xr:uid="{764688F0-BE59-47B9-92C0-A1D1354CAE5F}"/>
    <hyperlink ref="B23" r:id="rId23" xr:uid="{0125A642-11A0-4156-B675-DB5AA166C6D8}"/>
    <hyperlink ref="B24" r:id="rId24" xr:uid="{C0E05A11-B555-4F7D-BFF1-B42B178B43BA}"/>
    <hyperlink ref="B25" r:id="rId25" xr:uid="{A12CDE0B-C79B-4D90-AB08-A51C763E52B8}"/>
    <hyperlink ref="B26" r:id="rId26" xr:uid="{F615FB44-C037-42A2-B22C-1E722C19D945}"/>
    <hyperlink ref="B27" r:id="rId27" location="/Tabs=section-spareparts/" xr:uid="{68EF09C0-F1E3-41A5-8F85-8450729F7C24}"/>
    <hyperlink ref="B28" r:id="rId28" xr:uid="{6EBB7FEE-2768-4F8B-8C7A-B1BE7D3B98CC}"/>
    <hyperlink ref="B29" r:id="rId29" xr:uid="{E7A2FAC0-ADC5-430F-9A5E-8379DFF49ADD}"/>
    <hyperlink ref="B30" r:id="rId30" xr:uid="{1D56DA8E-4CCB-4DA3-B47E-F09A88D1E252}"/>
    <hyperlink ref="B31" r:id="rId31" xr:uid="{741CE809-B9D2-4A19-8C6C-032CD98675CB}"/>
    <hyperlink ref="B32" r:id="rId32" xr:uid="{11336EE6-CA37-4E94-B536-8D0E50A7771F}"/>
    <hyperlink ref="B33" r:id="rId33" xr:uid="{16700F3E-B826-4BF2-B9EA-1FE80430718F}"/>
    <hyperlink ref="B34" r:id="rId34" xr:uid="{BB8CED9D-EC71-4499-915D-E77B615AA0F8}"/>
    <hyperlink ref="B35" r:id="rId35" xr:uid="{4DD75134-BD81-467B-83FF-38CA3F54CB36}"/>
    <hyperlink ref="B36" r:id="rId36" xr:uid="{3B5281A9-2B12-4452-8122-D5D0F3F5942B}"/>
    <hyperlink ref="B37" r:id="rId37" xr:uid="{70A5AB4F-535C-4C60-B801-AF72FD8FEBFE}"/>
    <hyperlink ref="B38" r:id="rId38" xr:uid="{150DAA4F-FB5B-49F0-9742-6F1EB0A63CB8}"/>
    <hyperlink ref="B40" r:id="rId39" xr:uid="{D08F8D96-8A64-4B41-92A3-65B040321EFD}"/>
    <hyperlink ref="B41" r:id="rId40" xr:uid="{C61DC6E0-9FB6-496B-B6F1-102059A8505E}"/>
    <hyperlink ref="B42" r:id="rId41" xr:uid="{957A322C-12DD-44C8-9731-203AB76953C2}"/>
    <hyperlink ref="B43" r:id="rId42" xr:uid="{09859407-EC01-4DE9-AB0A-0E48D175D682}"/>
    <hyperlink ref="B44" r:id="rId43" xr:uid="{C482662B-8EF2-4E4A-8473-0E11571BDA68}"/>
    <hyperlink ref="B45" r:id="rId44" xr:uid="{18C11F99-1EB0-4EDB-BD5D-E08B7C7F5FAE}"/>
    <hyperlink ref="B46" r:id="rId45" xr:uid="{1D8E9E5A-75CF-4513-9AC2-C7D28484C7F7}"/>
    <hyperlink ref="B47" r:id="rId46" xr:uid="{1E8B47DA-4EE6-4B8B-A59A-37C76132A680}"/>
    <hyperlink ref="B48" r:id="rId47" xr:uid="{C2311977-7530-4940-9D8A-241E0EAE044A}"/>
    <hyperlink ref="B49" r:id="rId48" xr:uid="{FF594A94-670E-424D-817C-D1263D23F981}"/>
    <hyperlink ref="B50" r:id="rId49" location="/Tabs=section-spareparts/" xr:uid="{0FF6D492-6E19-4E22-8260-227156619FE5}"/>
    <hyperlink ref="B51" r:id="rId50" xr:uid="{8803E2A7-6228-441F-90D7-947B51CB387E}"/>
    <hyperlink ref="B52" r:id="rId51" xr:uid="{0D723F49-93F9-4B01-AF33-B9AD7446513D}"/>
    <hyperlink ref="B53" r:id="rId52" xr:uid="{A8C01AC7-C0E0-41E5-A27D-2758AE6465C2}"/>
    <hyperlink ref="B54" r:id="rId53" xr:uid="{516A8CFD-E1C2-4141-BAE3-B3F6C38135F8}"/>
    <hyperlink ref="B55" r:id="rId54" xr:uid="{75BFFBA2-63B5-4D67-B53F-EE1F17F33808}"/>
    <hyperlink ref="B56" r:id="rId55" xr:uid="{CCCD3731-4F7D-45F5-8933-53BB763CE839}"/>
    <hyperlink ref="B57" r:id="rId56" xr:uid="{A4F23729-0425-4D75-AE67-F020EB04658D}"/>
    <hyperlink ref="B58" r:id="rId57" xr:uid="{EC09C433-C27A-42BD-83CF-C5BA777713BD}"/>
    <hyperlink ref="B59" r:id="rId58" xr:uid="{79574988-086E-4880-8AB9-F4BEDEF2806B}"/>
    <hyperlink ref="B60" r:id="rId59" xr:uid="{212542FA-196A-4362-864E-870E895AD1D6}"/>
    <hyperlink ref="B61" r:id="rId60" xr:uid="{DC8D15EB-9B3E-42D3-8729-6CBC97F140C6}"/>
    <hyperlink ref="B62" r:id="rId61" xr:uid="{C8CE0E00-BA80-4E63-9BC7-506F9D42FEEC}"/>
    <hyperlink ref="B63" r:id="rId62" xr:uid="{1F339D01-152C-4CEB-9A3C-9672D2DF77E8}"/>
    <hyperlink ref="B64" r:id="rId63" xr:uid="{E7DB7457-DAAB-4AD9-A62A-C0390B47503E}"/>
    <hyperlink ref="B65" r:id="rId64" xr:uid="{A6233BE0-2CD9-4EA7-B000-FD4B490A488B}"/>
    <hyperlink ref="B66" r:id="rId65" xr:uid="{76F381B3-F1DB-453B-A78E-BA568E09AE3E}"/>
    <hyperlink ref="B67" r:id="rId66" xr:uid="{CA6E5944-EE3C-427A-BF87-8063C44E117C}"/>
    <hyperlink ref="B68" r:id="rId67" xr:uid="{341512AC-AE8B-4752-B2BC-A44F4987491F}"/>
    <hyperlink ref="C68" r:id="rId68" xr:uid="{F863333C-3AE2-4D85-ABEB-60960DB6E6F9}"/>
    <hyperlink ref="B69" r:id="rId69" xr:uid="{D73C4362-4396-43A6-9D36-E8B8C41BDF7E}"/>
    <hyperlink ref="B70" r:id="rId70" xr:uid="{C242B7EC-5A53-481E-BE26-3DBB6B375FD3}"/>
    <hyperlink ref="B71" r:id="rId71" xr:uid="{D2AEC5A1-8AAF-4212-B6FC-788DD1B803D9}"/>
    <hyperlink ref="B72" r:id="rId72" xr:uid="{B34A8D6B-6E02-49C0-A2E0-2B0E152D1ABA}"/>
    <hyperlink ref="B73" r:id="rId73" xr:uid="{171AC4D3-EC09-4640-9491-AC30DA408857}"/>
    <hyperlink ref="B74" r:id="rId74" xr:uid="{5BAAAD6C-151F-4D9B-BA1D-CC69CF3FC5F5}"/>
    <hyperlink ref="B75" r:id="rId75" xr:uid="{54C47139-99B9-4DC6-B1A5-EDA1649ACF18}"/>
    <hyperlink ref="B76" r:id="rId76" xr:uid="{6D676971-1613-4575-91A2-50A21A8BDC8A}"/>
    <hyperlink ref="C76" r:id="rId77" xr:uid="{A9C37107-68CD-4D35-A223-4CCCAD9FCC80}"/>
    <hyperlink ref="B77" r:id="rId78" xr:uid="{6CE402B4-3DB2-4DAD-A3E1-57928BF6AB34}"/>
    <hyperlink ref="B78" r:id="rId79" xr:uid="{65EC7DA7-3AC9-4BCC-A520-2671F1B72A11}"/>
    <hyperlink ref="B79" r:id="rId80" xr:uid="{8D51C6D2-1210-45EF-839E-E40A6FF2DA6F}"/>
    <hyperlink ref="B80" r:id="rId81" xr:uid="{1A28ECEE-143E-42E8-B802-87B30E88C4BF}"/>
    <hyperlink ref="B81" r:id="rId82" xr:uid="{63FFBAE8-849C-47B7-9B43-705A7568BE8D}"/>
    <hyperlink ref="B82" r:id="rId83" xr:uid="{03F2F330-1D3F-436E-88E6-832621A7E6E0}"/>
    <hyperlink ref="B83" r:id="rId84" xr:uid="{261229A0-669E-4929-894C-D68DD2381044}"/>
    <hyperlink ref="B85" r:id="rId85" xr:uid="{C396592B-D2D8-42A4-94F3-6568CFC1837B}"/>
    <hyperlink ref="B86" r:id="rId86" xr:uid="{24BE0367-5D30-452A-AFC8-7DC06AEDAD53}"/>
    <hyperlink ref="C86" r:id="rId87" xr:uid="{BD0B00B9-A2AE-4633-B2EC-76ABF9A3BCAC}"/>
    <hyperlink ref="B87" r:id="rId88" xr:uid="{563C4B28-7416-4637-8E85-4F7D853CE4AC}"/>
    <hyperlink ref="B88" r:id="rId89" xr:uid="{674EB4DD-55E5-41C5-BB91-A6A610942AF2}"/>
    <hyperlink ref="B89" r:id="rId90" xr:uid="{22D81699-3826-4FA6-AC83-8B75310E5779}"/>
    <hyperlink ref="B90" r:id="rId91" xr:uid="{3391DB2A-8787-4B5F-A598-D45DEEDAC8BF}"/>
    <hyperlink ref="B91" r:id="rId92" xr:uid="{55F0CAC9-8800-4784-992A-354D5275D6D1}"/>
    <hyperlink ref="B92" r:id="rId93" xr:uid="{B0E9B80A-DBF5-4E92-80FC-F3A5A15AAD0C}"/>
    <hyperlink ref="B93" r:id="rId94" xr:uid="{D6C91627-319F-464A-BC39-9C7CB5983AB5}"/>
    <hyperlink ref="B94" r:id="rId95" xr:uid="{EBA90ED9-CECC-4276-9054-317317BE03F9}"/>
    <hyperlink ref="B95" r:id="rId96" xr:uid="{A47EAE81-CFBE-4CB6-A0D7-B8AB86840430}"/>
    <hyperlink ref="B96" r:id="rId97" xr:uid="{5BEE89C1-5A99-4850-9A50-D9364216D712}"/>
    <hyperlink ref="B97" r:id="rId98" xr:uid="{06C99394-7031-4CAD-AB64-97552034B585}"/>
    <hyperlink ref="B98" r:id="rId99" xr:uid="{DECECF33-D8D5-47E2-A6F1-FE3D24533D43}"/>
    <hyperlink ref="B99" r:id="rId100" xr:uid="{F94989BA-DA0E-4028-86E0-3524DFF0D5B6}"/>
    <hyperlink ref="B100" r:id="rId101" xr:uid="{26F003C3-B153-496A-A293-1697DA57528E}"/>
    <hyperlink ref="B101" r:id="rId102" xr:uid="{C97A914E-323C-4D78-BB3B-AA2BC67D2CBD}"/>
    <hyperlink ref="B102" r:id="rId103" xr:uid="{A8AAACCE-A006-4B46-8171-AAD9D4E4404B}"/>
    <hyperlink ref="B103" r:id="rId104" xr:uid="{ABC432E0-A302-43F4-8E3F-04915EEB8D88}"/>
    <hyperlink ref="B104" r:id="rId105" xr:uid="{02DFB4C2-AAE2-40E0-B3FA-5C45037E1205}"/>
    <hyperlink ref="B105" r:id="rId106" xr:uid="{33985781-631E-4511-9FFD-DBD43A0AF6F8}"/>
    <hyperlink ref="B106" r:id="rId107" xr:uid="{3A5B2F43-FA17-43A5-9664-0EF75D390BF1}"/>
    <hyperlink ref="B107" r:id="rId108" xr:uid="{0C366CDD-CA68-45D4-86D5-1CECC613656B}"/>
    <hyperlink ref="B108" r:id="rId109" xr:uid="{926F2E53-14E8-4264-BAF3-A8C3C436E840}"/>
    <hyperlink ref="B109" r:id="rId110" xr:uid="{92D7B542-9FFD-409C-AA7F-A81617BAE043}"/>
    <hyperlink ref="B110" r:id="rId111" xr:uid="{D93F8A93-0063-4100-9513-AEE273E1426B}"/>
    <hyperlink ref="B111" r:id="rId112" xr:uid="{7EB257F9-8904-49E9-AAE5-9A16E49F7F54}"/>
    <hyperlink ref="B112" r:id="rId113" xr:uid="{823B3F17-5236-49C1-8891-175D893B4F29}"/>
    <hyperlink ref="B113" r:id="rId114" xr:uid="{14DEC563-9618-4C6B-9A57-6A5C7AB37B83}"/>
    <hyperlink ref="B114" r:id="rId115" xr:uid="{18974AA8-9BA5-4A9C-BE4C-CC0BB326F9DA}"/>
    <hyperlink ref="B115" r:id="rId116" xr:uid="{51DC7A63-B778-4C23-BE6B-1BE928806A3F}"/>
    <hyperlink ref="B116" r:id="rId117" xr:uid="{2AE0758C-82B8-46AD-832A-A5D8D666A222}"/>
    <hyperlink ref="B117" r:id="rId118" xr:uid="{D84CEA68-7B29-4246-AA0E-55246700A4BF}"/>
    <hyperlink ref="B118" r:id="rId119" xr:uid="{DE12D70E-0022-4794-A574-D3565A4574A8}"/>
    <hyperlink ref="B119" r:id="rId120" xr:uid="{B3016DF3-D1F7-40DF-859C-BCBB5CB51D5E}"/>
    <hyperlink ref="B120" r:id="rId121" xr:uid="{D23BC06F-C3EA-4A4D-A87F-72903539EE22}"/>
    <hyperlink ref="B121" r:id="rId122" xr:uid="{3DDAE226-6325-4CFE-930E-53405C82CF16}"/>
    <hyperlink ref="B122" r:id="rId123" xr:uid="{C04BA632-CEEA-4D8E-8288-4DEFED50715C}"/>
    <hyperlink ref="B123" r:id="rId124" xr:uid="{2BD6CEBC-8E1D-4F98-8782-2892D9D66718}"/>
    <hyperlink ref="B124" r:id="rId125" xr:uid="{D4A1BB1F-6999-401A-9091-CE69112CEC6B}"/>
    <hyperlink ref="B125" r:id="rId126" xr:uid="{14CC3ED8-5359-4F21-8FD4-82195438B839}"/>
    <hyperlink ref="B126" r:id="rId127" xr:uid="{A96A9067-B263-4975-ADB6-D2727B119CE6}"/>
    <hyperlink ref="B127" r:id="rId128" xr:uid="{6999FF45-83E9-4A6F-987E-B45FE9FD685B}"/>
    <hyperlink ref="B128" r:id="rId129" xr:uid="{A1049414-5221-4385-A63A-A1FD72D5E420}"/>
    <hyperlink ref="B129" r:id="rId130" xr:uid="{B8C5D9BE-33CD-4244-BAB5-AE52AEE856CB}"/>
    <hyperlink ref="B130" r:id="rId131" xr:uid="{04C7C47F-8BFB-4F92-A362-AF71596F665E}"/>
    <hyperlink ref="B131" r:id="rId132" xr:uid="{D39A0FC9-096F-4798-9497-B5698B9D8787}"/>
    <hyperlink ref="B132" r:id="rId133" xr:uid="{BF32E380-7E35-46AB-9238-7B8CC28738DD}"/>
    <hyperlink ref="B133" r:id="rId134" xr:uid="{740D0D17-5B11-4D21-8AB7-5E9974B35650}"/>
    <hyperlink ref="B134" r:id="rId135" xr:uid="{6B5505AD-2445-41D3-889A-87CDD7889DD7}"/>
    <hyperlink ref="B135" r:id="rId136" xr:uid="{AF511A10-E0A5-4BFA-B223-A8C96A6AABBF}"/>
    <hyperlink ref="B136" r:id="rId137" xr:uid="{0109A0AC-7A66-4EFF-BC47-93DFB7461960}"/>
    <hyperlink ref="B137" r:id="rId138" xr:uid="{B549B744-0A12-49F0-A09A-1ECA041701DC}"/>
    <hyperlink ref="B138" r:id="rId139" xr:uid="{EC1FE69F-3E5C-4D66-BF41-90D300B18368}"/>
    <hyperlink ref="B139" r:id="rId140" xr:uid="{93B56083-FDD0-4114-B5BE-1028B7E073EB}"/>
    <hyperlink ref="B140" r:id="rId141" display="iQ700 Gazlı Ocak, 90cm, 5 Gözlü, Sert Cam, Siyah, Döküm, Wok" xr:uid="{4AED8BBB-94C9-4389-A2A4-605725CDE10C}"/>
    <hyperlink ref="C140" r:id="rId142" xr:uid="{CBE6FCAB-4D4E-4DF1-AC8A-CAEF37468787}"/>
    <hyperlink ref="B141" r:id="rId143" xr:uid="{A03E7FD4-22E7-4853-A31D-C2B6004C65D5}"/>
    <hyperlink ref="B142" r:id="rId144" xr:uid="{8AD17465-B1F3-49D7-B1A1-499D5E5010DD}"/>
    <hyperlink ref="B143" r:id="rId145" xr:uid="{0A1291F7-047C-47C1-9845-CDF4C3FAB018}"/>
    <hyperlink ref="B144" r:id="rId146" xr:uid="{1B8C0381-AEDD-4710-A1F3-28968EAE2080}"/>
    <hyperlink ref="B145" r:id="rId147" xr:uid="{92C55885-2923-4D26-BF8C-5DB26674D55C}"/>
    <hyperlink ref="B146" r:id="rId148" xr:uid="{63EC1BD6-425D-4E0C-9737-D9750A6FFEC6}"/>
    <hyperlink ref="B147" r:id="rId149" xr:uid="{034CC6F3-90AE-4F34-A724-9FA98CC5614A}"/>
    <hyperlink ref="C147" r:id="rId150" xr:uid="{D3DBB320-4E3F-499E-82FB-2444FCE2FA03}"/>
    <hyperlink ref="B148" r:id="rId151" xr:uid="{524AF1F8-4422-4330-A2A3-8B7100C03D28}"/>
    <hyperlink ref="B149" r:id="rId152" xr:uid="{7C3F54F3-D4B2-4184-936D-D2B1D3CCB211}"/>
    <hyperlink ref="B150" r:id="rId153" xr:uid="{C42834AE-F5D8-46B0-BFBC-89A3C28A45E4}"/>
    <hyperlink ref="B151" r:id="rId154" xr:uid="{E0FCA0DC-57D0-4CCC-B4D6-55AF57B3BB71}"/>
    <hyperlink ref="B152" r:id="rId155" xr:uid="{9C1EC036-F1A1-4CF2-BFE9-19B6CC9D14EB}"/>
    <hyperlink ref="B153" r:id="rId156" xr:uid="{A4E08BFB-0AE2-4152-B817-017421FE09CC}"/>
    <hyperlink ref="B154" r:id="rId157" xr:uid="{91B2D10B-BE15-4F61-8BB0-29D85ACAA1FA}"/>
    <hyperlink ref="B156" r:id="rId158" xr:uid="{8129F5EE-1C91-4B6E-8139-3D127027B451}"/>
    <hyperlink ref="B157" r:id="rId159" xr:uid="{15089543-7A54-4FB9-BA35-C7F4E98FC135}"/>
    <hyperlink ref="B158" r:id="rId160" xr:uid="{78C0088D-C4E7-449F-B624-C9A57E20F661}"/>
    <hyperlink ref="B159" r:id="rId161" xr:uid="{32260607-69C0-46E4-909C-6677FE5F8899}"/>
    <hyperlink ref="B160" r:id="rId162" xr:uid="{A1D6D523-6712-4CBA-9844-B80D2917439E}"/>
    <hyperlink ref="B161" r:id="rId163" xr:uid="{EDBE3711-B788-4D9D-B654-BB5CDADD91F8}"/>
    <hyperlink ref="B162" r:id="rId164" xr:uid="{7001A825-6BC1-4E8B-9D8C-C3ACD59587AF}"/>
    <hyperlink ref="B163" r:id="rId165" xr:uid="{62FCC9CD-EC04-4A7A-BC92-B256D5BC8905}"/>
    <hyperlink ref="B164" r:id="rId166" xr:uid="{982793CD-6299-40CB-9533-2896B4DD1698}"/>
    <hyperlink ref="B165" r:id="rId167" xr:uid="{058488E4-A830-48A2-BA39-16539AC4F5C1}"/>
    <hyperlink ref="B166" r:id="rId168" xr:uid="{34702CCD-F2DF-4465-8657-A190706CE3B2}"/>
    <hyperlink ref="B167" r:id="rId169" xr:uid="{E733C74F-7C2A-4C39-8035-33A97FC66AC3}"/>
    <hyperlink ref="B168" r:id="rId170" xr:uid="{AB7A7A3F-4AC0-4713-9AA5-350C1BFB84B3}"/>
    <hyperlink ref="B169" r:id="rId171" xr:uid="{7E55D7C4-70A7-4C2B-9009-96AB4E1027C1}"/>
    <hyperlink ref="B170" r:id="rId172" xr:uid="{3EB63110-BCB7-49D7-B5B4-22BB2EB69880}"/>
    <hyperlink ref="B171" r:id="rId173" xr:uid="{DE22B32F-47C9-4A44-AEFD-94BD92CAC7EE}"/>
    <hyperlink ref="B172" r:id="rId174" xr:uid="{1CAE788C-DF84-4986-8F37-5102F7EAE065}"/>
    <hyperlink ref="B173" r:id="rId175" xr:uid="{503A52C8-C3B5-4F44-8194-C16F19D43579}"/>
    <hyperlink ref="B174" r:id="rId176" xr:uid="{23E2C9FC-4964-4AE5-8E80-B7EAB5EF8A35}"/>
    <hyperlink ref="B175" r:id="rId177" xr:uid="{637A2B60-7341-41AE-8745-F503615B84DC}"/>
    <hyperlink ref="B176" r:id="rId178" xr:uid="{9E591A6A-9B29-4186-BE60-A5E3D91A5834}"/>
    <hyperlink ref="B177" r:id="rId179" xr:uid="{BD95CF39-7D63-4F98-823C-C0827F13A807}"/>
    <hyperlink ref="B178" r:id="rId180" xr:uid="{2BEC7A1A-66EE-478D-8088-202EF980C9F4}"/>
    <hyperlink ref="B179" r:id="rId181" xr:uid="{22B66F88-4420-4732-976B-123FC5A85B82}"/>
    <hyperlink ref="B180" r:id="rId182" xr:uid="{5563928B-CB0D-4FB2-BB22-E5F9EBAF0FC8}"/>
    <hyperlink ref="B181" r:id="rId183" xr:uid="{D2760ABC-2072-40E4-AF7C-56DD748CA79D}"/>
    <hyperlink ref="B182" r:id="rId184" xr:uid="{5907EF94-DCD8-4F47-8A9F-BF486C98F022}"/>
    <hyperlink ref="B183" r:id="rId185" xr:uid="{81F618D2-58F8-47EE-9F86-3A03829987CD}"/>
    <hyperlink ref="B184" r:id="rId186" xr:uid="{D6F439D5-1918-4596-A89D-909E2DA72A88}"/>
    <hyperlink ref="B185" r:id="rId187" xr:uid="{DF177398-473B-4CAF-A5A1-CCA7746DDEE9}"/>
    <hyperlink ref="B186" r:id="rId188" xr:uid="{44205EE1-9985-4D58-9D69-0F5676210EAE}"/>
    <hyperlink ref="B187" r:id="rId189" xr:uid="{D92C9C3E-B00C-4009-B194-4282D60ED41C}"/>
    <hyperlink ref="B188" r:id="rId190" xr:uid="{FD844538-27C0-40BC-AEAC-BE7217C749DD}"/>
    <hyperlink ref="B189" r:id="rId191" xr:uid="{7321F388-C94B-434B-930B-4FB131CA2A65}"/>
    <hyperlink ref="B190" r:id="rId192" xr:uid="{6D18EA87-4CA2-4C61-92EA-97A0E1F091CA}"/>
    <hyperlink ref="B191" r:id="rId193" xr:uid="{131FFC79-8FED-4632-9D1C-7EF82BD51E43}"/>
    <hyperlink ref="C191" r:id="rId194" xr:uid="{8C7B9DFD-ED88-4839-A268-6BFBCB9FDC91}"/>
    <hyperlink ref="B192" r:id="rId195" xr:uid="{769DFE5E-582C-4557-A8F3-DC2EACE4E75F}"/>
    <hyperlink ref="C192" r:id="rId196" xr:uid="{9E402745-98C4-4611-89F3-7CACEA63A1B9}"/>
    <hyperlink ref="B193" r:id="rId197" xr:uid="{7EFE7ECD-8850-40DD-B37C-C146B315CAFE}"/>
    <hyperlink ref="B194" r:id="rId198" xr:uid="{B402BA60-747D-45E1-B765-BFEAE1EEFF90}"/>
    <hyperlink ref="B195" r:id="rId199" xr:uid="{784A09A7-55C6-43EB-932B-C717E6FF65B6}"/>
    <hyperlink ref="B196" r:id="rId200" xr:uid="{68BB2AF5-C636-49D1-8489-C7945C0F29B1}"/>
    <hyperlink ref="B197" r:id="rId201" xr:uid="{5FFB7BF3-AC44-462E-9F05-8B81A2117419}"/>
    <hyperlink ref="B198" r:id="rId202" xr:uid="{03AA5D96-8B90-4EB0-B372-0A27ABD25F3E}"/>
    <hyperlink ref="B199" r:id="rId203" xr:uid="{61948D50-3376-4C9E-88A5-20E33C1B98A2}"/>
    <hyperlink ref="B200" r:id="rId204" xr:uid="{044B2671-1C65-46AC-9667-9D32BB741DEA}"/>
    <hyperlink ref="B201" r:id="rId205" xr:uid="{C15EBFCD-CD03-47AA-A6CC-8E4DCA61A172}"/>
    <hyperlink ref="B202" r:id="rId206" xr:uid="{165F9765-6D2E-467E-AE0F-CCE9A3676111}"/>
    <hyperlink ref="B203" r:id="rId207" xr:uid="{CF1F28D0-A5FF-4891-8F24-E81BCB30F831}"/>
    <hyperlink ref="B204" r:id="rId208" xr:uid="{D0C9BB06-9E60-4CBE-8E15-1F52B1A38C3B}"/>
    <hyperlink ref="B205" r:id="rId209" xr:uid="{4E41DA8D-13FE-4433-973D-5E548C4C6A6B}"/>
    <hyperlink ref="B206" r:id="rId210" xr:uid="{A764DA34-9147-445C-9879-E3768D4702E9}"/>
    <hyperlink ref="B207" r:id="rId211" xr:uid="{C1F49D53-D93C-4B19-93E8-48DC714CD5EC}"/>
    <hyperlink ref="B208" r:id="rId212" xr:uid="{36EC3872-BAFC-4EEE-998C-B3729093D98C}"/>
    <hyperlink ref="B209" r:id="rId213" xr:uid="{E95CB286-5CDC-4FDF-AFC3-A5E1EA4A6587}"/>
    <hyperlink ref="C209" r:id="rId214" xr:uid="{EA1BB662-91FB-4D04-A821-01CAF482BB9A}"/>
    <hyperlink ref="B210" r:id="rId215" xr:uid="{5BEA4279-1DC4-4E9C-A4C9-933A0D33471F}"/>
    <hyperlink ref="B211" r:id="rId216" xr:uid="{1B93168A-34A8-4C9E-AAD5-C6602BFECC25}"/>
    <hyperlink ref="B212" r:id="rId217" xr:uid="{71E977A6-5DC9-416A-850D-490DD72E26BB}"/>
    <hyperlink ref="B213" r:id="rId218" xr:uid="{6C1452FC-A2AC-4BEB-B5F2-257923C3927C}"/>
    <hyperlink ref="B214" r:id="rId219" xr:uid="{BE631099-C040-4DCC-97E4-45E7FB484AFF}"/>
    <hyperlink ref="B215" r:id="rId220" xr:uid="{24259B50-D795-436D-9EF2-A31A48DEF40B}"/>
    <hyperlink ref="B216" r:id="rId221" xr:uid="{7409B8E6-1874-4963-8330-F6F3EEC37B2A}"/>
    <hyperlink ref="B217" r:id="rId222" xr:uid="{3410281F-29CC-4A59-994D-269BC424AFAD}"/>
    <hyperlink ref="B218" r:id="rId223" xr:uid="{A7891D11-79F5-403E-9D21-8C0EFA1AE376}"/>
    <hyperlink ref="B219" r:id="rId224" xr:uid="{ED3A85DA-8A2C-474D-82F7-BF6DBE3F9135}"/>
    <hyperlink ref="B220" r:id="rId225" xr:uid="{95F08716-EEB5-470F-A486-43B654BC256F}"/>
    <hyperlink ref="C220" r:id="rId226" xr:uid="{3103AE1E-47D4-4299-89CB-B30093BF2AC2}"/>
    <hyperlink ref="B221" r:id="rId227" xr:uid="{559144FB-84E3-49B3-9805-F41D91B43923}"/>
    <hyperlink ref="B222" r:id="rId228" xr:uid="{CB721E23-328C-4F6E-8E31-9BFC22DBAA60}"/>
    <hyperlink ref="B223" r:id="rId229" xr:uid="{E015AC3F-9E8F-442F-AB7C-32859DF7272D}"/>
    <hyperlink ref="B224" r:id="rId230" xr:uid="{E9E5D39A-0685-483E-B7BE-63CA6551BCB1}"/>
    <hyperlink ref="B225" r:id="rId231" xr:uid="{CB01D206-7289-4DFD-9DD2-A9FE5345D48A}"/>
    <hyperlink ref="B226" r:id="rId232" xr:uid="{EF55FD11-25AE-40B9-A323-AF6C2378A129}"/>
    <hyperlink ref="B227" r:id="rId233" xr:uid="{345A07FB-BBCA-4A2B-B575-B398F856A674}"/>
    <hyperlink ref="B228" r:id="rId234" xr:uid="{9CF045A2-FF65-4695-8513-2A6E9DBEDC9B}"/>
    <hyperlink ref="B229" r:id="rId235" xr:uid="{CA38CE59-7E9F-454E-A447-5CD5C9DC3F56}"/>
    <hyperlink ref="B230" r:id="rId236" xr:uid="{1CBA6728-5352-47BD-8011-D484EEA543E9}"/>
    <hyperlink ref="B231" r:id="rId237" xr:uid="{058B9753-3F07-4C1F-B715-161D8E8DDDA3}"/>
    <hyperlink ref="B232" r:id="rId238" xr:uid="{6EDD14A2-FBAC-4263-B335-2863C2AFE9D6}"/>
    <hyperlink ref="B233" r:id="rId239" xr:uid="{F941C46A-095A-45C2-97A5-F4466F9B821A}"/>
    <hyperlink ref="B234" r:id="rId240" xr:uid="{3EEC681C-7AF6-479C-8BD6-B0166198BA0D}"/>
    <hyperlink ref="B235" r:id="rId241" xr:uid="{CA775C67-8C91-4D4B-B0BD-4B82C0B35362}"/>
    <hyperlink ref="B236" r:id="rId242" xr:uid="{98F4EDE1-C165-43BF-8703-D7E99BC36856}"/>
    <hyperlink ref="B237" r:id="rId243" xr:uid="{CD25F04D-98FA-4026-9284-CF8E742BDFF6}"/>
    <hyperlink ref="B238" r:id="rId244" xr:uid="{7CB6B222-ABDF-45CE-A855-47F2B8CB0534}"/>
    <hyperlink ref="B239" r:id="rId245" xr:uid="{0D8349C9-40B3-40C8-A1E7-CA1AB572D808}"/>
    <hyperlink ref="B240" r:id="rId246" xr:uid="{3E6A4BDA-931F-4E7B-AF57-1315F14465C3}"/>
    <hyperlink ref="B241" r:id="rId247" xr:uid="{D2506C90-735A-48C2-9269-4012281C6BC9}"/>
    <hyperlink ref="B242" r:id="rId248" xr:uid="{1129F1FC-2E17-411C-B9BE-DC49D7681A44}"/>
    <hyperlink ref="B243" r:id="rId249" xr:uid="{DCFA0B7B-D3E3-4E66-9CB6-5FE9993ABBD5}"/>
    <hyperlink ref="B244" r:id="rId250" xr:uid="{4FE1AB40-A4B7-4BB3-8F6B-218C7D4B65B8}"/>
    <hyperlink ref="B245" r:id="rId251" xr:uid="{02E91234-7F28-4D06-823C-B93402E3FF03}"/>
    <hyperlink ref="B246" r:id="rId252" xr:uid="{E6361817-CA70-4946-9A6D-9A9D60AB5783}"/>
    <hyperlink ref="B247" r:id="rId253" xr:uid="{54E9A24C-224D-449B-AB3E-314B4DCFBBB7}"/>
    <hyperlink ref="B248" r:id="rId254" xr:uid="{8430087B-1189-42D4-BE0A-5DCB49AED5C0}"/>
    <hyperlink ref="B249" r:id="rId255" xr:uid="{2C08F209-9E70-47D9-BD20-A14BF27F94AC}"/>
    <hyperlink ref="B250" r:id="rId256" xr:uid="{D7666DBF-CE8E-4175-8780-42BCDA65F903}"/>
    <hyperlink ref="B251" r:id="rId257" xr:uid="{3D8C1EE9-7B07-4B4E-A620-45AEAEBD831C}"/>
    <hyperlink ref="B252" r:id="rId258" xr:uid="{A35645AE-C5DE-44F6-BE90-774583A19697}"/>
    <hyperlink ref="B253" r:id="rId259" xr:uid="{C78B1E36-85CB-4382-A2BC-666A5B135402}"/>
    <hyperlink ref="B254" r:id="rId260" xr:uid="{C9B7FD10-96EA-4800-A9BF-9E2360C8E440}"/>
    <hyperlink ref="B255" r:id="rId261" xr:uid="{85B177A7-E544-4B4F-B24B-D475D4F5D450}"/>
    <hyperlink ref="B256" r:id="rId262" xr:uid="{D13B5278-B623-43A3-936E-C61AFA5F033E}"/>
    <hyperlink ref="B257" r:id="rId263" xr:uid="{AACE1FA9-2BCF-4CB8-AE3F-D52BB1CA67D5}"/>
    <hyperlink ref="B258" r:id="rId264" xr:uid="{6F8950EE-0D88-4303-822A-EA38A8EAD758}"/>
    <hyperlink ref="B259" r:id="rId265" xr:uid="{AF81A090-DB55-47E8-93EC-19C88EC18F00}"/>
    <hyperlink ref="B260" r:id="rId266" xr:uid="{08446BBB-7B01-44BA-BC83-64B6D251DF4D}"/>
    <hyperlink ref="B261" r:id="rId267" xr:uid="{11323F8F-ECFB-4339-B8B2-EA0C1275F8F9}"/>
    <hyperlink ref="B262" r:id="rId268" xr:uid="{207CC0C4-019B-4D42-96A7-9466F5F037EB}"/>
    <hyperlink ref="B263" r:id="rId269" xr:uid="{722B707B-D714-4FC6-AABB-E62089878265}"/>
    <hyperlink ref="B264" r:id="rId270" xr:uid="{314268F8-1044-49FF-B3A5-CB3BC91DF491}"/>
    <hyperlink ref="B265" r:id="rId271" xr:uid="{2B2E9934-8065-4BE1-B8DE-6C42403FC8D0}"/>
    <hyperlink ref="B266" r:id="rId272" xr:uid="{26E9D9D9-1FD6-4CA4-9F6C-7A62FB058E5C}"/>
    <hyperlink ref="B267" r:id="rId273" xr:uid="{81829072-DA3C-44A0-AD15-CF72B39EB3B0}"/>
    <hyperlink ref="B268" r:id="rId274" xr:uid="{643F9736-F4AA-4128-B13B-DFAACD1966A8}"/>
    <hyperlink ref="B269" r:id="rId275" xr:uid="{CD145A38-9896-4ED9-9A3D-FB13A9ACA88F}"/>
    <hyperlink ref="B270" r:id="rId276" xr:uid="{A16F473D-A648-4EB6-9C90-296CB948074F}"/>
    <hyperlink ref="B271" r:id="rId277" xr:uid="{8AB99E82-8AB9-4C85-93C3-85CF7D7038C3}"/>
    <hyperlink ref="B272" r:id="rId278" xr:uid="{21702416-2DA8-46CB-9497-EC1E2D265F36}"/>
    <hyperlink ref="B273" r:id="rId279" xr:uid="{E61F90BF-9072-4733-B3D9-D21B29803672}"/>
    <hyperlink ref="B274" r:id="rId280" xr:uid="{BC1DF27F-A28B-44B6-B21C-E0115D690BA7}"/>
    <hyperlink ref="B275" r:id="rId281" xr:uid="{2DB11408-622A-40F3-965F-5A8FF69F5772}"/>
    <hyperlink ref="B276" r:id="rId282" xr:uid="{8ED2F2E9-10FC-4DF8-AEED-D40E3431A15A}"/>
    <hyperlink ref="B277" r:id="rId283" xr:uid="{0519715B-156F-4614-99C7-D6E573C0943A}"/>
    <hyperlink ref="B278" r:id="rId284" xr:uid="{E093F0F0-9E3E-4431-897F-AAC7E40FA62F}"/>
    <hyperlink ref="B279" r:id="rId285" xr:uid="{513BEFFE-51D2-4731-9EF3-787E4DD84A48}"/>
    <hyperlink ref="B280" r:id="rId286" xr:uid="{AE1F2833-73DD-44DB-9E81-49CF68823F22}"/>
    <hyperlink ref="B281" r:id="rId287" xr:uid="{8FC5F2AF-F6B0-40F0-BD3B-84DE6DC0AF97}"/>
    <hyperlink ref="B282" r:id="rId288" xr:uid="{756397CC-1114-43E2-9B9E-EF185E0C13F1}"/>
    <hyperlink ref="B283" r:id="rId289" xr:uid="{D15EF992-F0D9-4CA7-83D1-5DA91345DBB9}"/>
    <hyperlink ref="B284" r:id="rId290" xr:uid="{2AFA5B4E-84D8-4922-8DED-AE972A8D2DAE}"/>
    <hyperlink ref="B285" r:id="rId291" xr:uid="{CEF7E777-FF86-480E-B49C-607E167B6B82}"/>
    <hyperlink ref="B286" r:id="rId292" xr:uid="{677E50AF-3D92-4D5E-A874-28F0DC333CB0}"/>
    <hyperlink ref="B287" r:id="rId293" xr:uid="{E46CAA95-980E-4649-A2F2-464003D8CCEF}"/>
    <hyperlink ref="B288" r:id="rId294" xr:uid="{A8E73B68-2C94-4452-8918-E72F8B16C926}"/>
    <hyperlink ref="B289" r:id="rId295" xr:uid="{64CA61AF-B459-4C24-B49D-B7107EE6B993}"/>
    <hyperlink ref="B290" r:id="rId296" xr:uid="{93836B97-42E3-4EC2-86DF-9BAEE5D39C37}"/>
    <hyperlink ref="B291" r:id="rId297" xr:uid="{588DF835-D71D-4A7B-9B2E-A9762A42CC13}"/>
    <hyperlink ref="B292" r:id="rId298" xr:uid="{D167F6F5-4F2D-4929-BC4B-CFA8A778F546}"/>
    <hyperlink ref="B293" r:id="rId299" xr:uid="{CF327D05-7DDE-4A0C-81B3-2A69F4986029}"/>
    <hyperlink ref="B294" r:id="rId300" xr:uid="{85842B35-5561-422A-822B-E3870A45066C}"/>
    <hyperlink ref="B295" r:id="rId301" xr:uid="{BB4FDE9F-56F1-4EF5-8796-9B941AF4A147}"/>
    <hyperlink ref="B296" r:id="rId302" xr:uid="{3A2E149F-A764-4231-A44B-6F2BC11B0D2B}"/>
    <hyperlink ref="C296" r:id="rId303" xr:uid="{AD29BD98-07AD-4E0A-BF83-1379C2B3AF7C}"/>
    <hyperlink ref="B297" r:id="rId304" xr:uid="{03DEBEA7-7F4B-4D30-B78A-A9D78B0C8F6A}"/>
    <hyperlink ref="B298" r:id="rId305" xr:uid="{7DAA7CC2-3B5B-4B54-A64F-68E3E2152F82}"/>
    <hyperlink ref="B299" r:id="rId306" xr:uid="{4D804B90-204D-47DD-85EF-D01834D88D92}"/>
    <hyperlink ref="B300" r:id="rId307" xr:uid="{2616AB39-5281-4C87-ADAB-5F8293DC89A5}"/>
    <hyperlink ref="B301" r:id="rId308" xr:uid="{90483D4E-6C94-4763-8B74-DBAD584C4AD0}"/>
    <hyperlink ref="B302" r:id="rId309" xr:uid="{424D6FE2-75CC-415A-85D7-79111260FE8F}"/>
    <hyperlink ref="B303" r:id="rId310" xr:uid="{CE295A18-83D2-448A-BE39-A9AA14A3FF57}"/>
    <hyperlink ref="B304" r:id="rId311" xr:uid="{92C25F4A-B624-4338-83D3-3F4F42E5B4E5}"/>
    <hyperlink ref="B305" r:id="rId312" xr:uid="{4E20175B-476C-430C-B7C5-74706CD7FB3F}"/>
    <hyperlink ref="B306" r:id="rId313" xr:uid="{FAD1525B-FDA2-4802-A78F-B6D6130FCA57}"/>
    <hyperlink ref="B307" r:id="rId314" xr:uid="{EC77C8A7-46D7-4201-BAF1-E524E81DD55D}"/>
    <hyperlink ref="B308" r:id="rId315" xr:uid="{AA4844BB-D46C-4FC9-A742-26BA0E368560}"/>
    <hyperlink ref="B309" r:id="rId316" xr:uid="{4383208D-D01D-409A-B49F-2A03D71B664F}"/>
    <hyperlink ref="B310" r:id="rId317" xr:uid="{FA64EF87-94EB-4F32-BB3A-BAD093A6C180}"/>
    <hyperlink ref="B311" r:id="rId318" xr:uid="{849B225C-00F0-4CC9-946E-CE4E09F4CC8A}"/>
    <hyperlink ref="B312" r:id="rId319" xr:uid="{B68D8D17-2322-4FD5-BE68-E499FF4CB7F5}"/>
    <hyperlink ref="B313" r:id="rId320" xr:uid="{E2C12E69-6A09-4C5B-822C-3E08A18B7CD4}"/>
    <hyperlink ref="B314" r:id="rId321" xr:uid="{40BC8B77-0CAF-4DD2-B447-6DD403ECF215}"/>
    <hyperlink ref="B315" r:id="rId322" xr:uid="{ADD9DBFE-8A91-4BB5-AA0A-5CFB014A7095}"/>
    <hyperlink ref="B316" r:id="rId323" xr:uid="{F58D513B-ACF7-451B-BCB9-E404930D048D}"/>
    <hyperlink ref="B317" r:id="rId324" xr:uid="{51898ADF-6F63-4FC1-BCE7-2AF3DC9BB857}"/>
    <hyperlink ref="B318" r:id="rId325" xr:uid="{B0D0C002-7F2F-4998-9864-22621940C582}"/>
    <hyperlink ref="B319" r:id="rId326" xr:uid="{6D62B2C3-E496-4E92-95BB-EFBB2A48E11C}"/>
    <hyperlink ref="B320" r:id="rId327" xr:uid="{F7E141D0-B977-4BF5-9D28-D61DCE5AF4D0}"/>
    <hyperlink ref="B321" r:id="rId328" xr:uid="{AAB03518-120F-4304-9BA5-9EC7D7EB224F}"/>
    <hyperlink ref="B322" r:id="rId329" xr:uid="{441C2508-3B0E-4840-A787-E1FD1BDB4D46}"/>
    <hyperlink ref="B323" r:id="rId330" xr:uid="{7E62604C-E12F-41F4-9BB7-4A5F5BDF1B12}"/>
    <hyperlink ref="B324" r:id="rId331" xr:uid="{946289E1-FEC7-4496-A252-ED32BF715910}"/>
    <hyperlink ref="B325" r:id="rId332" xr:uid="{073714B1-F792-436E-AD13-94BE711E225D}"/>
    <hyperlink ref="B326" r:id="rId333" xr:uid="{1AB94454-0AB3-4B1A-8F1F-780BCC075A1B}"/>
    <hyperlink ref="B327" r:id="rId334" xr:uid="{0E1C3274-EFF2-4FB3-AA0E-4405E901E11B}"/>
    <hyperlink ref="B328" r:id="rId335" xr:uid="{F38DBF43-69A4-471A-AF69-8C5EEB843079}"/>
    <hyperlink ref="B329" r:id="rId336" xr:uid="{6C28705E-0358-4167-9D65-C984448B076C}"/>
    <hyperlink ref="B331" r:id="rId337" xr:uid="{22408266-99F6-4CB5-9C4E-C5DECD494BBF}"/>
    <hyperlink ref="B332" r:id="rId338" xr:uid="{AF229C07-C0E7-4D6B-AF3E-93DAD97530FE}"/>
    <hyperlink ref="B333" r:id="rId339" xr:uid="{3F900DED-1522-4DDF-93EE-DAD4ADE5BD30}"/>
    <hyperlink ref="B334" r:id="rId340" xr:uid="{A4301657-3F40-42AE-B7BF-6C124C337B14}"/>
    <hyperlink ref="B335" r:id="rId341" xr:uid="{CBB60022-4D4C-4BF3-9DD6-4A9EE18C2C68}"/>
    <hyperlink ref="B336" r:id="rId342" xr:uid="{8F39E1ED-C3D7-4916-8A6F-2AF1E67179E5}"/>
    <hyperlink ref="B337" r:id="rId343" xr:uid="{48A17C12-5046-4766-A7B6-B577149BCA6A}"/>
    <hyperlink ref="B338" r:id="rId344" xr:uid="{B56C3BC3-16E9-4D57-9D68-75370610F31A}"/>
    <hyperlink ref="B339" r:id="rId345" xr:uid="{F0D9F03B-E876-4D0A-BFC3-6462D01A50A0}"/>
    <hyperlink ref="B340" r:id="rId346" xr:uid="{0F5180DB-A44C-4E2B-B119-D6269C80CB29}"/>
    <hyperlink ref="B341" r:id="rId347" xr:uid="{CCC751DF-49C0-49CA-8151-FF16C822701C}"/>
    <hyperlink ref="B342" r:id="rId348" xr:uid="{F5E7BD12-8D64-4F64-A8A9-1AD0D286C861}"/>
    <hyperlink ref="B343" r:id="rId349" xr:uid="{034217FF-55E9-4EDD-8990-D6236BEC7D8D}"/>
    <hyperlink ref="B344" r:id="rId350" xr:uid="{75B9638F-6730-4829-AC1C-B03ECD389656}"/>
    <hyperlink ref="B345" r:id="rId351" xr:uid="{502D58A4-A9B7-4740-98C7-0F8C8597554F}"/>
    <hyperlink ref="B346" r:id="rId352" xr:uid="{B080C757-4FD8-4B03-AC03-B2E655CB7513}"/>
    <hyperlink ref="B347" r:id="rId353" xr:uid="{2394B182-180B-495F-8105-DC4BC52157BB}"/>
    <hyperlink ref="B348" r:id="rId354" xr:uid="{468814ED-0FC6-4DA6-BD5E-7D51659D0871}"/>
    <hyperlink ref="B349" r:id="rId355" xr:uid="{1F781FD7-813F-44E2-A773-0E1E149E64E4}"/>
    <hyperlink ref="B350" r:id="rId356" xr:uid="{ED1DDF86-EB99-4926-B833-7C2C933AD29D}"/>
    <hyperlink ref="B351" r:id="rId357" xr:uid="{5966383A-B938-4D10-896D-326E5A8E088B}"/>
    <hyperlink ref="B352" r:id="rId358" xr:uid="{78C239C9-A5A0-4FE6-BFEC-4CB0031DA712}"/>
    <hyperlink ref="B353" r:id="rId359" xr:uid="{1347170D-43AD-4D05-BA5D-9205CFA51B2C}"/>
    <hyperlink ref="B354" r:id="rId360" xr:uid="{0DD649F1-9C6C-4F01-836B-3C91DE35DCE1}"/>
    <hyperlink ref="B355" r:id="rId361" xr:uid="{DF4DCD21-C1C7-413D-A693-E59A4F3159AF}"/>
    <hyperlink ref="B356" r:id="rId362" xr:uid="{FD11DB06-210F-465C-A293-7A9FA57D1D72}"/>
    <hyperlink ref="B357" r:id="rId363" xr:uid="{C1895F0E-1D56-47AB-A671-C01DBA1EB7AE}"/>
    <hyperlink ref="B358" r:id="rId364" xr:uid="{CA78B78E-C503-4E04-A5E5-48B6FE527AEC}"/>
    <hyperlink ref="B359" r:id="rId365" xr:uid="{AA5B1A73-975C-47B7-BD4F-A5BED5A4A08E}"/>
    <hyperlink ref="B360" r:id="rId366" xr:uid="{716C3B98-933F-4EA9-830F-0BAAC239F004}"/>
    <hyperlink ref="B361" r:id="rId367" xr:uid="{E7D494F2-B7FC-4E19-8CFA-CE0859C6D40D}"/>
    <hyperlink ref="B362" r:id="rId368" xr:uid="{27394A20-ED50-4B9B-8C97-A4C1C88BA766}"/>
    <hyperlink ref="B363" r:id="rId369" xr:uid="{AD38E638-AF38-47F4-8BA3-C4411BDB66DB}"/>
    <hyperlink ref="B364" r:id="rId370" xr:uid="{A043C695-49B3-4EE2-834C-DFD8B2BA02AB}"/>
    <hyperlink ref="B365" r:id="rId371" xr:uid="{834327A7-CD65-4643-8A6A-55C8A29DF357}"/>
    <hyperlink ref="C365" r:id="rId372" xr:uid="{CF17B73E-6B3A-4FB6-A091-E3F45EB301BC}"/>
    <hyperlink ref="B366" r:id="rId373" xr:uid="{20E2B1BE-080C-4E81-A95A-9E2FDC10E733}"/>
    <hyperlink ref="B367" r:id="rId374" xr:uid="{088370D2-7EB6-403B-AE47-9FDB1BF79342}"/>
    <hyperlink ref="B368" r:id="rId375" xr:uid="{03AF34A1-7EE0-46D3-9499-615D093D3579}"/>
    <hyperlink ref="C368" r:id="rId376" xr:uid="{385B129B-AF2A-4D0A-B089-0FB0C18EDD2D}"/>
    <hyperlink ref="B369" r:id="rId377" xr:uid="{07DDF3AC-E6AD-42EB-810F-6E9AFF835B3E}"/>
    <hyperlink ref="B370" r:id="rId378" xr:uid="{721C0043-5B7C-40AB-8D14-DA419927C450}"/>
    <hyperlink ref="B371" r:id="rId379" xr:uid="{FE2644D3-6A5E-409F-860B-7D0C3EEA2B15}"/>
    <hyperlink ref="B372" r:id="rId380" xr:uid="{C58E5636-0BF3-4EBB-80FD-89BEF8FD9EB5}"/>
    <hyperlink ref="B373" r:id="rId381" xr:uid="{AA557B58-672C-441C-B7D3-077F833BE150}"/>
    <hyperlink ref="B374" r:id="rId382" xr:uid="{AD6EB048-15DD-4EEC-94B1-F7630D06C7B3}"/>
    <hyperlink ref="B375" r:id="rId383" xr:uid="{2E91C4B3-5747-44B0-A645-07580F1114C6}"/>
    <hyperlink ref="B376" r:id="rId384" xr:uid="{25623885-D453-4433-9D99-B7443AA2014A}"/>
    <hyperlink ref="B377" r:id="rId385" xr:uid="{FABF6F42-CF50-4FE2-B0FD-94AE55E5C326}"/>
    <hyperlink ref="B378" r:id="rId386" xr:uid="{96BB3088-E866-45CB-889E-E4501A3B5D77}"/>
    <hyperlink ref="B379" r:id="rId387" xr:uid="{178A7B63-CDB7-4AFD-AAF6-31EC14A85DF9}"/>
    <hyperlink ref="B380" r:id="rId388" xr:uid="{8F855284-7A7A-41D4-8F85-2DAE9CF3E436}"/>
    <hyperlink ref="B381" r:id="rId389" xr:uid="{A8817F99-DA7A-4623-B34E-AD8FB5257D2C}"/>
    <hyperlink ref="B382" r:id="rId390" xr:uid="{DA993C58-952A-49D1-8EEC-603095645C57}"/>
    <hyperlink ref="B383" r:id="rId391" xr:uid="{B64BBA65-89BF-48AB-8340-67D3A50C5834}"/>
    <hyperlink ref="B384" r:id="rId392" xr:uid="{4606F37A-70A0-48FB-A092-F9C14B77AB78}"/>
    <hyperlink ref="B385" r:id="rId393" xr:uid="{49AB76D3-31DC-473C-80EF-FC126EB541B7}"/>
    <hyperlink ref="B386" r:id="rId394" xr:uid="{4852CFD4-6840-43FC-94EA-6A36E253C34C}"/>
    <hyperlink ref="B387" r:id="rId395" xr:uid="{EBED3CF0-1A1E-45B7-B6F5-6CD0589CE080}"/>
    <hyperlink ref="B388" r:id="rId396" xr:uid="{A951784E-2FB1-4E72-8789-74E05B19AAB3}"/>
    <hyperlink ref="B389" r:id="rId397" xr:uid="{A4C044DC-AA3E-42F5-B0B7-8C0985D427D2}"/>
    <hyperlink ref="B390" r:id="rId398" xr:uid="{EF918DC3-30D7-410C-8B8E-015ED6ACD23F}"/>
    <hyperlink ref="B391" r:id="rId399" xr:uid="{3B2169C8-7642-4836-8C05-D4DABEE8623F}"/>
    <hyperlink ref="B392" r:id="rId400" xr:uid="{F91E73C6-FDB1-4AE9-8BDD-A85DB5B718C2}"/>
    <hyperlink ref="B393" r:id="rId401" xr:uid="{5C5AF9B8-56BE-4F17-9D0A-D8750B74382A}"/>
    <hyperlink ref="B394" r:id="rId402" xr:uid="{FF3118E4-81D2-4934-ADFE-397A70A4F88F}"/>
    <hyperlink ref="B395" r:id="rId403" xr:uid="{179C5FEC-8141-49D9-B8DF-6308856E4266}"/>
    <hyperlink ref="B396" r:id="rId404" xr:uid="{4BE1FA58-0EAB-4061-A182-C7A37A7FCC1C}"/>
    <hyperlink ref="B397" r:id="rId405" xr:uid="{90C24B0B-06D5-4B93-A285-1FCACFCEE216}"/>
    <hyperlink ref="B398" r:id="rId406" xr:uid="{E64EF09B-C5F1-48FF-BC0C-F39F4C1934F6}"/>
    <hyperlink ref="C398" r:id="rId407" xr:uid="{E14F68A0-7A5B-4DC7-88E0-194D9EB5E15C}"/>
    <hyperlink ref="B399" r:id="rId408" xr:uid="{3FAA8261-54B0-41CC-9F31-C547661E6B39}"/>
    <hyperlink ref="C399" r:id="rId409" xr:uid="{A87204AA-D5E0-49F5-89F3-0FE73B3169EE}"/>
    <hyperlink ref="B400" r:id="rId410" xr:uid="{36211EE4-FDA9-4B85-89B8-BB2F3E3FF986}"/>
    <hyperlink ref="B401" r:id="rId411" xr:uid="{92508D22-807B-407D-BDE2-3326F598AA69}"/>
    <hyperlink ref="B402" r:id="rId412" xr:uid="{CF5DA0C9-4C69-45F6-A46E-7F56D3CFF1B4}"/>
    <hyperlink ref="B403" r:id="rId413" xr:uid="{299F7489-E36C-44B1-B9C5-A963918BB9E0}"/>
    <hyperlink ref="B404" r:id="rId414" xr:uid="{91219329-163B-4EEC-AA49-0A91A4852199}"/>
    <hyperlink ref="B405" r:id="rId415" xr:uid="{1051D13D-D0D2-44C7-9961-CCB0485EC474}"/>
    <hyperlink ref="B406" r:id="rId416" xr:uid="{7DEFCE99-333A-454B-B692-221AA47DE9E4}"/>
    <hyperlink ref="B407" r:id="rId417" xr:uid="{3BAC5E7A-AAD4-40CC-B050-CB6B1E8E95F0}"/>
    <hyperlink ref="B408" r:id="rId418" xr:uid="{C2AFC2FC-FDC8-4437-8586-3595DFD93968}"/>
    <hyperlink ref="B409" r:id="rId419" xr:uid="{7FA1D83B-1823-47F6-899B-5A8E277A324A}"/>
    <hyperlink ref="B410" r:id="rId420" xr:uid="{5916D0EC-2E00-42A4-A5ED-C2C1A8FF3201}"/>
    <hyperlink ref="B411" r:id="rId421" xr:uid="{4D80A064-7F86-401E-931C-4B7F01B3A667}"/>
    <hyperlink ref="B412" r:id="rId422" xr:uid="{7FEB5B33-B928-4AF7-82BF-0260CF1C11C5}"/>
    <hyperlink ref="B413" r:id="rId423" xr:uid="{4FA667B6-83BF-46BA-8609-90D5DD7EDBCD}"/>
    <hyperlink ref="B414" r:id="rId424" xr:uid="{CA48670F-A7E2-4B4E-832F-27A9CF8FA5F7}"/>
    <hyperlink ref="B415" r:id="rId425" xr:uid="{3D796F5C-C39E-42DA-9C5A-9A78066F0132}"/>
    <hyperlink ref="B416" r:id="rId426" xr:uid="{70029C9D-E8B5-43C3-A85A-C08793FB94F3}"/>
    <hyperlink ref="B417" r:id="rId427" xr:uid="{79A2A839-3615-47E5-B86D-2EAA1E22199B}"/>
    <hyperlink ref="B418" r:id="rId428" xr:uid="{4C1DD55C-581C-463A-B5F5-0F2B0D14EA76}"/>
    <hyperlink ref="C418" r:id="rId429" xr:uid="{B7FFAE85-6E6A-4F00-8F16-A5941232C25F}"/>
    <hyperlink ref="B419" r:id="rId430" xr:uid="{4B01791B-17E0-446C-8F71-D99CF8BA5167}"/>
    <hyperlink ref="B421" r:id="rId431" xr:uid="{668E7660-EC97-4ED7-9C9D-7F5357DB3F53}"/>
    <hyperlink ref="B422" r:id="rId432" xr:uid="{05698C05-7463-41C7-895C-C632252CAC3A}"/>
    <hyperlink ref="B423" r:id="rId433" xr:uid="{A346553E-868A-4013-90E4-4CC5237C8D93}"/>
    <hyperlink ref="B425" r:id="rId434" xr:uid="{4AEF2C8D-DB3D-45AE-89F3-DE8461CE81FA}"/>
    <hyperlink ref="C425" r:id="rId435" xr:uid="{3D0B5CEA-C4E2-40DC-8DD8-70BC00F150B4}"/>
    <hyperlink ref="B426" r:id="rId436" xr:uid="{073F3403-1054-4BD1-ABA0-DE042B21106C}"/>
    <hyperlink ref="B427" r:id="rId437" xr:uid="{E05DA2D5-1235-4F69-9BC1-082ADC455C53}"/>
    <hyperlink ref="B428" r:id="rId438" xr:uid="{BA66995F-9BC3-4B97-8141-443589E5A6EE}"/>
    <hyperlink ref="B429" r:id="rId439" xr:uid="{757826B5-68AC-48FA-B128-9C43910A267F}"/>
    <hyperlink ref="B430" r:id="rId440" xr:uid="{0EF2C93C-0752-4299-8B4E-7AD14254E1E9}"/>
    <hyperlink ref="B431" r:id="rId441" xr:uid="{BEA602E8-EFBD-4619-A194-A4DD4D4643BF}"/>
    <hyperlink ref="B432" r:id="rId442" xr:uid="{B62496A3-F1FC-4881-9011-E1C2C0EE3BC3}"/>
    <hyperlink ref="B433" r:id="rId443" xr:uid="{62E4481A-D20E-4026-91EB-9C8C84AE380F}"/>
    <hyperlink ref="B434" r:id="rId444" xr:uid="{0E7667CE-E3A5-4B3D-A63F-BFE2C533B49A}"/>
    <hyperlink ref="B435" r:id="rId445" xr:uid="{3EAD05B8-95D6-400B-BFC5-C4AC648E45C5}"/>
    <hyperlink ref="B436" r:id="rId446" xr:uid="{C3509BDF-C2C5-4C86-AFC5-5F15E09C337E}"/>
    <hyperlink ref="B437" r:id="rId447" xr:uid="{7718FA3E-82D4-4AC9-8723-4BFB892116B9}"/>
    <hyperlink ref="B438" r:id="rId448" xr:uid="{FC7CC025-3EF6-4187-93AA-F46C8333BD39}"/>
    <hyperlink ref="B439" r:id="rId449" xr:uid="{134C7101-14BC-4FBB-9468-25BDB2152B4C}"/>
    <hyperlink ref="B440" r:id="rId450" xr:uid="{9E731D0D-C7C7-43DD-A9CA-37C4D2365A33}"/>
    <hyperlink ref="B441" r:id="rId451" xr:uid="{B234740F-385D-4CCC-ADF7-9F4C05D5F088}"/>
    <hyperlink ref="B442" r:id="rId452" xr:uid="{4BCEDB32-C881-4C24-9E10-C57804799547}"/>
    <hyperlink ref="B443" r:id="rId453" xr:uid="{20B3E0D9-D559-4706-AC6A-48594CB06ED7}"/>
    <hyperlink ref="B444" r:id="rId454" xr:uid="{04F451ED-5937-4B21-83EA-1F2D8EE6830A}"/>
    <hyperlink ref="B445" r:id="rId455" xr:uid="{7A42D38F-08E6-4F67-AD33-489275DA5F7A}"/>
    <hyperlink ref="B446" r:id="rId456" xr:uid="{D33863E6-79EB-4C26-84D7-218D3B8442CF}"/>
    <hyperlink ref="B447" r:id="rId457" xr:uid="{C8C19B1E-8301-47D5-AB85-D1F8519E9FA6}"/>
    <hyperlink ref="B448" r:id="rId458" xr:uid="{07AC17CF-5B4F-4112-AD8D-28B9FB8BD0BA}"/>
    <hyperlink ref="B449" r:id="rId459" xr:uid="{8F834728-4605-469E-95FA-E980D1771DD7}"/>
    <hyperlink ref="B450" r:id="rId460" xr:uid="{40765C5D-39C9-4616-8751-4F87C11356E6}"/>
    <hyperlink ref="B451" r:id="rId461" xr:uid="{82D7B98A-7B20-472E-878A-EE131A9AE929}"/>
    <hyperlink ref="B452" r:id="rId462" xr:uid="{90C7D07D-6F0D-45FE-8A2C-4E58B1C57F91}"/>
    <hyperlink ref="B453" r:id="rId463" xr:uid="{FFE561E0-FB6D-4B6B-ABEE-2C2D3662DFFF}"/>
    <hyperlink ref="B454" r:id="rId464" xr:uid="{154B1898-44E6-485D-B559-85E923CED46B}"/>
    <hyperlink ref="B455" r:id="rId465" xr:uid="{762A29FC-9324-4989-8175-2CFD9AE5B43A}"/>
    <hyperlink ref="B456" r:id="rId466" xr:uid="{BB817E2A-5DD3-4BAC-83B7-C78021A5750D}"/>
    <hyperlink ref="B457" r:id="rId467" xr:uid="{8EEA96CE-D607-4D83-889B-E58C9A516449}"/>
    <hyperlink ref="B458" r:id="rId468" xr:uid="{B4E77931-6800-437A-893F-8998DF72420E}"/>
    <hyperlink ref="B459" r:id="rId469" xr:uid="{040561F1-95AE-401A-9BCC-3516CBDCEC61}"/>
    <hyperlink ref="B460" r:id="rId470" xr:uid="{C442D681-BE76-48E1-90A6-C6D2456BC135}"/>
    <hyperlink ref="B461" r:id="rId471" xr:uid="{9A9FC1D5-B1BB-4325-AACF-BA2AEB609A8D}"/>
    <hyperlink ref="B462" r:id="rId472" xr:uid="{1245ADD7-C9F6-443C-8FD6-8A59F8E18468}"/>
    <hyperlink ref="B463" r:id="rId473" xr:uid="{1D29CDBC-BC81-4EE9-B60E-BDD906EE5334}"/>
    <hyperlink ref="B464" r:id="rId474" xr:uid="{4F0D4AAF-8DD3-4844-AD58-D0B2855AB62B}"/>
    <hyperlink ref="B465" r:id="rId475" xr:uid="{E7B59EEF-88AE-467B-8820-8C6EA10F2069}"/>
    <hyperlink ref="B466" r:id="rId476" xr:uid="{DD0A580F-E476-4726-8629-4536E27241A3}"/>
    <hyperlink ref="B467" r:id="rId477" xr:uid="{CAC7EA88-2407-4E9A-9356-6CC1B0C2DF59}"/>
    <hyperlink ref="B468" r:id="rId478" xr:uid="{492A2A42-E7A0-456B-B94B-26B1C73E7DE4}"/>
    <hyperlink ref="B469" r:id="rId479" xr:uid="{28C8CDA9-9A55-4B39-A47F-2917B98EF25E}"/>
    <hyperlink ref="B470" r:id="rId480" xr:uid="{584A76ED-7B9F-4DF7-92E7-0E307E8DA82B}"/>
    <hyperlink ref="B471" r:id="rId481" xr:uid="{C8799909-E66F-4B22-AE40-482E4CB3C319}"/>
    <hyperlink ref="B472" r:id="rId482" xr:uid="{B7C8CF0E-432A-4E99-83A9-1A17336F1765}"/>
    <hyperlink ref="C472" r:id="rId483" xr:uid="{09E2ECC5-B912-4C43-ABA3-A416510B0904}"/>
    <hyperlink ref="B473" r:id="rId484" xr:uid="{133978D8-84EC-4D86-B703-DFF8909995A1}"/>
    <hyperlink ref="B474" r:id="rId485" xr:uid="{04EBE619-E73D-4851-918F-DE763721224B}"/>
    <hyperlink ref="C474" r:id="rId486" xr:uid="{E44F8CA6-D42B-4E1F-B2B5-8C3404DADFEF}"/>
    <hyperlink ref="B475" r:id="rId487" xr:uid="{E4CD256C-9719-40D1-8B99-9158B46796DA}"/>
    <hyperlink ref="B476" r:id="rId488" xr:uid="{F257DD47-9394-4B4F-A864-A099608C1F34}"/>
    <hyperlink ref="B477" r:id="rId489" xr:uid="{D9B08675-58FF-4BF0-B325-5C278DD07FD6}"/>
    <hyperlink ref="B478" r:id="rId490" xr:uid="{99F4B0B1-5AE2-4A8E-96C6-7E5DF6DCC708}"/>
    <hyperlink ref="B479" r:id="rId491" xr:uid="{56457112-BE55-4984-9D16-E7262F7F6BC6}"/>
    <hyperlink ref="B480" r:id="rId492" xr:uid="{CE81C095-1837-45D6-8AB6-21E378C853B5}"/>
    <hyperlink ref="B481" r:id="rId493" xr:uid="{9E80C89C-3B7F-48EA-9714-FD9F8384990D}"/>
    <hyperlink ref="B482" r:id="rId494" xr:uid="{967BC25D-76E1-4B40-9F84-F75A5A410244}"/>
    <hyperlink ref="B483" r:id="rId495" xr:uid="{1B9ADC59-3CA0-46B7-8F73-5B5617BABDA3}"/>
    <hyperlink ref="B484" r:id="rId496" xr:uid="{28966089-E316-4032-A84E-122E9D30EB52}"/>
    <hyperlink ref="B485" r:id="rId497" xr:uid="{0B2ACA75-46C7-4182-B64A-018EF7038703}"/>
    <hyperlink ref="B486" r:id="rId498" xr:uid="{2A35F0E9-66CA-493D-AD93-19D393850D2A}"/>
    <hyperlink ref="B487" r:id="rId499" xr:uid="{AA37D24B-F017-4E31-B454-AF66AF2AA92C}"/>
    <hyperlink ref="B488" r:id="rId500" xr:uid="{54D56EDE-0BCA-4122-8951-64103D756E2A}"/>
    <hyperlink ref="B489" r:id="rId501" xr:uid="{9779C005-39F7-4927-BA08-97A4DF664E40}"/>
    <hyperlink ref="B490" r:id="rId502" xr:uid="{31EA5E78-45DA-45DF-ACEC-1BCB0DBC35CD}"/>
    <hyperlink ref="B491" r:id="rId503" xr:uid="{5751C5DD-4351-44C9-9D46-5B01762D4798}"/>
    <hyperlink ref="B492" r:id="rId504" xr:uid="{B564152C-9A03-4DD9-8A82-81FD4CC3F426}"/>
    <hyperlink ref="B493" r:id="rId505" xr:uid="{247B1ABD-955F-4BA5-985A-9BEF1CC1B2E9}"/>
    <hyperlink ref="B494" r:id="rId506" xr:uid="{461321E1-B3F6-43AB-8E31-EF9D2E1441D8}"/>
    <hyperlink ref="B495" r:id="rId507" xr:uid="{48348EFA-2D9B-44E1-AF19-81211F16275B}"/>
    <hyperlink ref="B496" r:id="rId508" xr:uid="{334554FD-6197-470A-9559-F9935ECB315B}"/>
    <hyperlink ref="B497" r:id="rId509" xr:uid="{F1E86313-AAF0-43D5-AE03-2FFBC76C578A}"/>
    <hyperlink ref="B498" r:id="rId510" xr:uid="{143F1500-B965-4EC9-842E-FD4138E91F82}"/>
    <hyperlink ref="B499" r:id="rId511" xr:uid="{B6F838BC-02E5-4B86-8F05-05F00BDC76F4}"/>
    <hyperlink ref="B500" r:id="rId512" xr:uid="{345EA5A9-FD20-4A95-8884-15B2A07CCBDE}"/>
    <hyperlink ref="B501" r:id="rId513" xr:uid="{8C8BE2EE-E64C-41CA-8DE4-9092D7BEC525}"/>
    <hyperlink ref="B502" r:id="rId514" xr:uid="{B7FD94D1-01A3-48A6-BE7D-AA86BD90E001}"/>
    <hyperlink ref="B504" r:id="rId515" xr:uid="{A2132DED-8F1B-44C3-8E64-D00E32E644FB}"/>
    <hyperlink ref="B505" r:id="rId516" xr:uid="{457B720B-AFEA-4B51-B6BE-4263CCE9909F}"/>
    <hyperlink ref="B506" r:id="rId517" xr:uid="{229E011C-28A0-422B-909F-BD6802E68304}"/>
    <hyperlink ref="B507" r:id="rId518" xr:uid="{349738F1-ED1C-4CFE-9C06-0D6DAC029B30}"/>
    <hyperlink ref="B508" r:id="rId519" xr:uid="{17FD9593-19D2-4F5C-B3EF-D727E7958C99}"/>
    <hyperlink ref="B509" r:id="rId520" xr:uid="{6E76794A-AC27-436C-8F73-E1E0344B1502}"/>
    <hyperlink ref="B510" r:id="rId521" xr:uid="{9E58B82F-0DD0-4040-A222-498AB5E8975E}"/>
    <hyperlink ref="B511" r:id="rId522" xr:uid="{F713F659-5E1D-4785-A15C-AD3957C10E0E}"/>
    <hyperlink ref="B512" r:id="rId523" xr:uid="{CA15FB5E-C4C0-4729-9CF0-43C5AA41A6CD}"/>
    <hyperlink ref="B513" r:id="rId524" xr:uid="{1FC4D308-AF5F-4643-B122-AA6427DE2C09}"/>
    <hyperlink ref="B514" r:id="rId525" xr:uid="{AD71644B-1FCB-4D28-A915-1590E10AE24C}"/>
    <hyperlink ref="B515" r:id="rId526" xr:uid="{C927B7F3-AFDD-4097-A749-C54B1D851CD1}"/>
    <hyperlink ref="B516" r:id="rId527" xr:uid="{7D3241AE-CFAE-43D0-8B6E-8C99FC612890}"/>
    <hyperlink ref="B517" r:id="rId528" xr:uid="{B55FB858-F2EB-46B3-9266-FCD849130A15}"/>
    <hyperlink ref="B518" r:id="rId529" xr:uid="{49BC8A44-2302-4349-A32E-69F945BBA7B1}"/>
    <hyperlink ref="B519" r:id="rId530" xr:uid="{3339864A-DA73-46C7-B451-BC18E580AD25}"/>
    <hyperlink ref="B520" r:id="rId531" xr:uid="{D2E3DE8F-4FF4-4804-B6A1-AC8F97D9EA9B}"/>
    <hyperlink ref="C520" r:id="rId532" xr:uid="{4A1A4F23-528E-4FC6-84F2-E9273B54E0EA}"/>
    <hyperlink ref="B521" r:id="rId533" xr:uid="{DEC58CFE-8712-4213-9C5A-0AE1F66DBCC8}"/>
    <hyperlink ref="B522" r:id="rId534" xr:uid="{104C3001-D859-42BA-89F9-4105E1413F3D}"/>
    <hyperlink ref="B523" r:id="rId535" xr:uid="{32E4404B-073B-4D73-90B8-9807DFDC5485}"/>
    <hyperlink ref="C523" r:id="rId536" xr:uid="{4FAEE751-47AB-4129-A8CB-B4D46C5C899A}"/>
    <hyperlink ref="B524" r:id="rId537" xr:uid="{469874ED-A3DA-4BCC-BA79-89B053FBD99D}"/>
    <hyperlink ref="B525" r:id="rId538" xr:uid="{625DAB43-5130-479C-B4F8-718679C1A788}"/>
    <hyperlink ref="B526" r:id="rId539" xr:uid="{F627A36D-8727-4FD1-92AB-EABFEA4DE4D7}"/>
    <hyperlink ref="B527" r:id="rId540" xr:uid="{1567A45D-C373-40D2-850F-162C1F9F5FAB}"/>
    <hyperlink ref="B528" r:id="rId541" xr:uid="{489DA41B-D75B-4BF0-9C49-258EA7C2842D}"/>
    <hyperlink ref="B529" r:id="rId542" xr:uid="{B2FB7506-7DBD-48FE-B635-77A3D7287D2D}"/>
    <hyperlink ref="B530" r:id="rId543" xr:uid="{9F0CA8C5-D51F-4250-A081-9FCFC1BEEAC5}"/>
    <hyperlink ref="B531" r:id="rId544" xr:uid="{2828267B-032C-415D-8636-64F76C7D59E0}"/>
    <hyperlink ref="B532" r:id="rId545" xr:uid="{C362672B-B3E3-4EAF-83F2-1FBBD4AA13B2}"/>
    <hyperlink ref="B533" r:id="rId546" xr:uid="{33F99A5B-167E-4679-B2E1-BDB03B4D408C}"/>
    <hyperlink ref="B534" r:id="rId547" xr:uid="{2AA942DB-D1E7-448D-B6D8-90B8CF740F82}"/>
    <hyperlink ref="B535" r:id="rId548" xr:uid="{0D652063-659C-47BF-847D-69846044D6A1}"/>
    <hyperlink ref="C536" r:id="rId549" xr:uid="{371BB338-8F7A-4346-87D5-83987F714FDB}"/>
    <hyperlink ref="B537" r:id="rId550" xr:uid="{A90E34F3-6A7F-4496-8D54-A2DBB496167E}"/>
    <hyperlink ref="B538" r:id="rId551" xr:uid="{73295828-89DB-4B7B-94B1-7F6FD1A4D7A7}"/>
    <hyperlink ref="B539" r:id="rId552" xr:uid="{8722958B-BC0B-4FB8-B295-BB1C07C59373}"/>
    <hyperlink ref="B540" r:id="rId553" xr:uid="{2D9D677F-84D9-4D76-9476-F442A7AEBEE8}"/>
    <hyperlink ref="B541" r:id="rId554" xr:uid="{4DF4802B-C0AA-4F99-8401-41E8B9391567}"/>
    <hyperlink ref="B84" r:id="rId555" xr:uid="{D0DEBA18-4A4E-43C4-AAAE-1194CACC9A42}"/>
    <hyperlink ref="B420" r:id="rId556" xr:uid="{A215E147-F621-4D40-A31D-D9F93F4DD3E5}"/>
    <hyperlink ref="B155" r:id="rId557" xr:uid="{8EDAE2BC-92C8-4CDC-A32D-513F10748005}"/>
    <hyperlink ref="B503" r:id="rId558" xr:uid="{8EA880B3-052D-4674-9DFA-0B1493D3B7E4}"/>
    <hyperlink ref="B330" r:id="rId559" xr:uid="{36BFEA83-9330-471E-8F64-770C0A0F1E9D}"/>
    <hyperlink ref="B424" r:id="rId560" xr:uid="{4AE06C43-A13C-475A-929B-164DD8DE3677}"/>
    <hyperlink ref="B39" r:id="rId561" xr:uid="{4B8EE9A5-2A21-43BC-995D-9D90348BBE2B}"/>
    <hyperlink ref="B542" r:id="rId562" display="iQ500 Üstten Donduruculu Kulplu Buzdolabı, 75cm, Inox" xr:uid="{8959584A-1898-49A6-ADAC-AAFED34F916E}"/>
  </hyperlinks>
  <pageMargins left="0.7" right="0.7" top="0.75" bottom="0.75" header="0.3" footer="0.3"/>
  <pageSetup paperSize="9" orientation="portrait" verticalDpi="0" r:id="rId5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2026-04-24T10:47:07Z</dcterms:modified>
</cp:coreProperties>
</file>