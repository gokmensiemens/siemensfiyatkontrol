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213" documentId="8_{04D112BD-6BD0-48D2-BCD0-B02DB0158664}" xr6:coauthVersionLast="47" xr6:coauthVersionMax="47" xr10:uidLastSave="{975A4034-F016-47D6-9185-D401D958400A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2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34" i="13" s="1"/>
  <c r="N417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416" i="13" s="1"/>
  <c r="N382" i="13"/>
  <c r="N381" i="13"/>
  <c r="N379" i="13"/>
  <c r="N378" i="13"/>
  <c r="N377" i="13"/>
  <c r="N376" i="13"/>
  <c r="N380" i="13" s="1"/>
  <c r="N374" i="13"/>
  <c r="N373" i="13"/>
  <c r="N372" i="13"/>
  <c r="N371" i="13"/>
  <c r="N370" i="13"/>
  <c r="N369" i="13"/>
  <c r="N368" i="13"/>
  <c r="N367" i="13"/>
  <c r="N375" i="13" s="1"/>
  <c r="N366" i="13"/>
  <c r="N365" i="13"/>
  <c r="N363" i="13"/>
  <c r="N362" i="13"/>
  <c r="N361" i="13"/>
  <c r="N360" i="13"/>
  <c r="N364" i="13" s="1"/>
  <c r="N359" i="13"/>
  <c r="N358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357" i="13" s="1"/>
  <c r="N289" i="13"/>
  <c r="N288" i="13"/>
  <c r="N287" i="13"/>
  <c r="N286" i="13"/>
  <c r="N285" i="13"/>
  <c r="N284" i="13"/>
  <c r="N283" i="13"/>
  <c r="N282" i="13"/>
  <c r="N290" i="13" s="1"/>
  <c r="N281" i="13"/>
  <c r="N280" i="13"/>
  <c r="N279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78" i="13" s="1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27" i="13" s="1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209" i="13" s="1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69" i="13" s="1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47" i="13" s="1"/>
  <c r="N121" i="13"/>
  <c r="N119" i="13"/>
  <c r="N118" i="13"/>
  <c r="N117" i="13"/>
  <c r="N116" i="13"/>
  <c r="N115" i="13"/>
  <c r="N114" i="13"/>
  <c r="N113" i="13"/>
  <c r="N112" i="13"/>
  <c r="N120" i="13" s="1"/>
  <c r="N111" i="13"/>
  <c r="N110" i="13"/>
  <c r="N109" i="13"/>
  <c r="N108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107" i="13" s="1"/>
  <c r="N79" i="13"/>
  <c r="N78" i="13"/>
  <c r="N77" i="13"/>
  <c r="N76" i="13"/>
  <c r="N74" i="13"/>
  <c r="N73" i="13"/>
  <c r="N72" i="13"/>
  <c r="N71" i="13"/>
  <c r="N70" i="13"/>
  <c r="N69" i="13"/>
  <c r="N68" i="13"/>
  <c r="N67" i="13"/>
  <c r="N66" i="13"/>
  <c r="N65" i="13"/>
  <c r="N64" i="13"/>
  <c r="N75" i="13" s="1"/>
  <c r="N63" i="13"/>
  <c r="N62" i="13"/>
  <c r="N61" i="13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X40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49" i="13" s="1"/>
  <c r="N2" i="13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180800CE-7F05-452A-980D-7B8477AB8B1F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<sst xmlns="http://schemas.openxmlformats.org/spreadsheetml/2006/main" count="4050" uniqueCount="1854">
  <si>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</si>
  <si>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</si>
  <si>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</si>
  <si>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</si>
  <si>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</si>
  <si>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</si>
  <si>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</si>
  <si>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</si>
  <si>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</si>
  <si>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</si>
  <si>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</si>
  <si>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</si>
  <si>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</si>
  <si>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</si>
  <si>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</si>
  <si>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</si>
  <si>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</si>
  <si>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</si>
  <si>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</si>
  <si>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</si>
  <si>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</si>
  <si>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</si>
  <si>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</si>
  <si>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</si>
  <si>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</si>
  <si>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</si>
  <si>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</si>
  <si>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</si>
  <si>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</si>
  <si>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</si>
  <si>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</si>
  <si>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</si>
  <si>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</si>
  <si>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</si>
  <si>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</si>
  <si>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</si>
  <si>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</si>
  <si>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</si>
  <si>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</si>
  <si>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</si>
  <si>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</si>
  <si>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</si>
  <si>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</si>
  <si>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</si>
  <si>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</si>
  <si>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</si>
  <si>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</si>
  <si>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</si>
  <si>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</si>
  <si>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</si>
  <si>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</si>
  <si>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</si>
  <si>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</si>
  <si>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</si>
  <si>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</si>
  <si>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</si>
  <si>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</si>
  <si>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</si>
  <si>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</si>
  <si>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</si>
  <si>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</si>
  <si>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</si>
  <si>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</si>
  <si>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</si>
  <si>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</si>
  <si>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</si>
  <si>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</si>
  <si>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</si>
  <si>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</si>
  <si>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</si>
  <si>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</si>
  <si>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</si>
  <si>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</si>
  <si>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</si>
  <si>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</si>
  <si>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</si>
  <si>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</si>
  <si>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</si>
  <si>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</si>
  <si>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</si>
  <si>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</si>
  <si>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</si>
  <si>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</si>
  <si>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</si>
  <si>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</si>
  <si>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</si>
  <si>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</si>
  <si>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</si>
  <si>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</si>
  <si>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</si>
  <si>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</si>
  <si>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</si>
  <si>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</si>
  <si>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</si>
  <si>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</si>
  <si>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</si>
  <si>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</si>
  <si>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</si>
  <si>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</si>
  <si>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</si>
  <si>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</si>
  <si>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</si>
  <si>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</si>
  <si>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</si>
  <si>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</si>
  <si>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</si>
  <si>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</si>
  <si>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</si>
  <si>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</si>
  <si>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</si>
  <si>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</si>
  <si>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</si>
  <si>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</si>
  <si>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</si>
  <si>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</si>
  <si>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</si>
  <si>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</si>
  <si>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</si>
  <si>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</si>
  <si>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</si>
  <si>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</si>
  <si>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</si>
  <si>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</si>
  <si>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</si>
  <si>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</si>
  <si>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</si>
  <si>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</si>
  <si>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</si>
  <si>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</si>
  <si>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</si>
  <si>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</si>
  <si>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</si>
  <si>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</si>
  <si>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</si>
  <si>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</si>
  <si>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</si>
  <si>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</si>
  <si>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</si>
  <si>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</si>
  <si>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</si>
  <si>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</si>
  <si>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</si>
  <si>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</si>
  <si>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</si>
  <si>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</si>
  <si>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</si>
  <si>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</si>
  <si>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</si>
  <si>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</si>
  <si>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</si>
  <si>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</si>
  <si>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</si>
  <si>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</si>
  <si>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</si>
  <si>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</si>
  <si>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</si>
  <si>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</si>
  <si>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</si>
  <si>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</si>
  <si>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</si>
  <si>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</si>
  <si>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</si>
  <si>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</si>
  <si>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</si>
  <si>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</si>
  <si>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</si>
  <si>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</si>
  <si>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</si>
  <si>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</si>
  <si>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</si>
  <si>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</si>
  <si>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</si>
  <si>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</si>
  <si>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</si>
  <si>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</si>
  <si>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</si>
  <si>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</si>
  <si>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</si>
  <si>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</si>
  <si>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</si>
  <si>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</si>
  <si>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</si>
  <si>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</si>
  <si>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</si>
  <si>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</si>
  <si>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</si>
  <si>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</si>
  <si>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</si>
  <si>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</si>
  <si>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</si>
  <si>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</si>
  <si>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</si>
  <si>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</si>
  <si>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</si>
  <si>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</si>
  <si>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</si>
  <si>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</si>
  <si>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</si>
  <si>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</si>
  <si>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</si>
  <si>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</si>
  <si>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</si>
  <si>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</si>
  <si>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</si>
  <si>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</si>
  <si>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</si>
  <si>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</si>
  <si>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</si>
  <si>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</si>
  <si>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</si>
  <si>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</si>
  <si>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</si>
  <si>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</si>
  <si>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</si>
  <si>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</si>
  <si>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</si>
  <si>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</si>
  <si>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</si>
  <si>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</si>
  <si>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</si>
  <si>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</si>
  <si>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</si>
  <si>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</si>
  <si>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</si>
  <si>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</si>
  <si>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</si>
  <si>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</si>
  <si>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</si>
  <si>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</si>
  <si>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</si>
  <si>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</si>
  <si>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</si>
  <si>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</si>
  <si>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</si>
  <si>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</si>
  <si>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</si>
  <si>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</si>
  <si>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</si>
  <si>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</si>
  <si>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</si>
  <si>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</si>
  <si>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</si>
  <si>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</si>
  <si>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</si>
  <si>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</si>
  <si>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</si>
  <si>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</si>
  <si>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</si>
  <si>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</si>
  <si>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</si>
  <si>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</si>
  <si>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</si>
  <si>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</si>
  <si>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</si>
  <si>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</si>
  <si>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</si>
  <si>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</si>
  <si>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</si>
  <si>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</si>
  <si>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</si>
  <si>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</si>
  <si>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</si>
  <si>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</si>
  <si>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</si>
  <si>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</si>
  <si>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</si>
  <si>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</si>
  <si>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</si>
  <si>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</si>
  <si>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</si>
  <si>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</si>
  <si>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</si>
  <si>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</si>
  <si>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</si>
  <si>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</si>
  <si>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</si>
  <si>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</si>
  <si>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</si>
  <si>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</si>
  <si>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</si>
  <si>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</si>
  <si>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</si>
  <si>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</si>
  <si>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</si>
  <si>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</si>
  <si>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</si>
  <si>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</si>
  <si>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</si>
  <si>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</si>
  <si>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</si>
  <si>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</si>
  <si>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</si>
  <si>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</si>
  <si>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</si>
  <si>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</si>
  <si>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</si>
  <si>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</si>
  <si>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</si>
  <si>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</si>
  <si>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</si>
  <si>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</si>
  <si>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</si>
  <si>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</si>
  <si>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</si>
  <si>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</si>
  <si>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</si>
  <si>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</si>
  <si>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</si>
  <si>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</si>
  <si>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</si>
  <si>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</si>
  <si>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</si>
  <si>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</si>
  <si>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</si>
  <si>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</si>
  <si>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</si>
  <si>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</si>
  <si>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</si>
  <si>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</si>
  <si>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</si>
  <si>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</si>
  <si>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</si>
  <si>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</si>
  <si>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</si>
  <si>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</si>
  <si>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</si>
  <si>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</si>
  <si>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</si>
  <si>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</si>
  <si>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</si>
  <si>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</si>
  <si>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</si>
  <si>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</si>
  <si>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</si>
  <si>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</si>
  <si>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</si>
  <si>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</si>
  <si>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</si>
  <si>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</si>
  <si>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</si>
  <si>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</si>
  <si>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</si>
  <si>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</si>
  <si>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</si>
  <si>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</si>
  <si>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</si>
  <si>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</si>
  <si>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</si>
  <si>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</si>
  <si>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</si>
  <si>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</si>
  <si>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</si>
  <si>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</si>
  <si>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</si>
  <si>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</si>
  <si>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</si>
  <si>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</si>
  <si>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</si>
  <si>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</si>
  <si>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</si>
  <si>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</si>
  <si>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</si>
  <si>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</si>
  <si>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</si>
  <si>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</si>
  <si>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</si>
  <si>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</si>
  <si>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</si>
  <si>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</si>
  <si>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</si>
  <si>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</si>
  <si>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</si>
  <si>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</si>
  <si>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</si>
  <si>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</si>
  <si>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</si>
  <si>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</si>
  <si>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</si>
  <si>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</si>
  <si>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</si>
  <si>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</si>
  <si>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</si>
  <si>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</si>
  <si>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</si>
  <si>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</si>
  <si>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</si>
  <si>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</si>
  <si>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</si>
  <si>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</si>
  <si>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</si>
  <si>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</si>
  <si>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</si>
  <si>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</si>
  <si>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</si>
  <si>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</si>
  <si>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</si>
  <si>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</si>
  <si>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</si>
  <si>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</si>
  <si>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</si>
  <si>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</si>
  <si>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</si>
  <si>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</si>
  <si>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</si>
  <si>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</si>
  <si>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</si>
  <si>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</si>
  <si>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</si>
  <si>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</si>
  <si>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</si>
  <si>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</si>
  <si>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</si>
  <si>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</si>
  <si>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</si>
  <si>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</si>
  <si>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</si>
  <si>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</si>
  <si>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</si>
  <si>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</si>
  <si>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</si>
  <si>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</si>
  <si>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</si>
  <si>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</si>
  <si>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</si>
  <si>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</si>
  <si>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</si>
  <si>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</si>
  <si>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</si>
  <si>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</si>
  <si>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</si>
  <si>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</si>
  <si>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</si>
  <si>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</si>
  <si>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</si>
  <si>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</si>
  <si>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</si>
  <si>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</si>
  <si>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</si>
  <si>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</si>
  <si>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</si>
  <si>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</si>
  <si>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</si>
  <si>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</si>
  <si>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</si>
  <si>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</si>
  <si>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</si>
  <si>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</si>
  <si>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</si>
  <si>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</si>
  <si>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</si>
  <si>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</si>
  <si>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</si>
  <si>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</si>
  <si>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</si>
  <si>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</si>
  <si>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</si>
  <si>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</si>
  <si>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</si>
  <si>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</si>
  <si>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</si>
  <si>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</si>
  <si>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</si>
  <si>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</si>
  <si>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</si>
  <si>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</si>
  <si>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</si>
  <si>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</si>
  <si>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</si>
  <si>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</si>
  <si>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</si>
  <si>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</si>
  <si>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</si>
  <si>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</si>
  <si>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</si>
  <si>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</si>
  <si>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</si>
  <si>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</si>
  <si>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</si>
  <si>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</si>
  <si>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</si>
  <si>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</si>
  <si>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</si>
  <si>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</si>
  <si>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</si>
  <si>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</si>
  <si>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</si>
  <si>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</si>
  <si>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</si>
  <si>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</si>
  <si>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</si>
  <si>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</si>
  <si>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</si>
  <si>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</si>
  <si>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</si>
  <si>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</si>
  <si>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</si>
  <si>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</si>
  <si>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</si>
  <si>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</si>
  <si>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</si>
  <si>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</si>
  <si>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</si>
  <si>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</si>
  <si>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</si>
  <si>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</si>
  <si>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</si>
  <si>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</si>
  <si>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</si>
  <si>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</si>
  <si>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</si>
  <si>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</si>
  <si>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</si>
  <si>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</si>
  <si>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</si>
  <si>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</si>
  <si>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</si>
  <si>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</si>
  <si>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</si>
  <si>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</si>
  <si>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</si>
  <si>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</si>
  <si>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</si>
  <si>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</si>
  <si>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</si>
  <si>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</si>
  <si>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</si>
  <si>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</si>
  <si>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</si>
  <si>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</si>
  <si>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</si>
  <si>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</si>
  <si>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</si>
  <si>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</si>
  <si>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</si>
  <si>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</si>
  <si>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</si>
  <si>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</si>
  <si>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</si>
  <si>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</si>
  <si>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</si>
  <si>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</si>
  <si>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</si>
  <si>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</si>
  <si>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</si>
  <si>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</si>
  <si>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</si>
  <si>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</si>
  <si>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</si>
  <si>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</si>
  <si>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</si>
  <si>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</si>
  <si>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</si>
  <si>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</si>
  <si>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</si>
  <si>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</si>
  <si>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</si>
  <si>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</si>
  <si>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</si>
  <si>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</si>
  <si>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</si>
  <si>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</si>
  <si>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</si>
  <si>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</si>
  <si>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</si>
  <si>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</si>
  <si>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</si>
  <si>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</si>
  <si>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</si>
  <si>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</si>
  <si>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</si>
  <si>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</si>
  <si>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</si>
  <si>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</si>
  <si>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</si>
  <si>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</si>
  <si>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</si>
  <si>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</si>
  <si>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</si>
  <si>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</si>
  <si>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</si>
  <si>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</si>
  <si>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</si>
  <si>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</si>
  <si>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</si>
  <si>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</si>
  <si>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</si>
  <si>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</si>
  <si>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</si>
  <si>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</si>
  <si>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</si>
  <si>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</si>
  <si>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</si>
  <si>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</si>
  <si>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</si>
  <si>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</si>
  <si>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</si>
  <si>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</si>
  <si>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</si>
  <si>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</si>
  <si>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</si>
  <si>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</si>
  <si>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</si>
  <si>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</si>
  <si>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</si>
  <si>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</si>
  <si>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</si>
  <si>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</si>
  <si>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</si>
  <si>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</si>
  <si>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</si>
  <si>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</si>
  <si>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</si>
  <si>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</si>
  <si>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</si>
  <si>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</si>
  <si>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</si>
  <si>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</si>
  <si>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</si>
  <si>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</si>
  <si>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</si>
  <si>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</si>
  <si>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</si>
  <si>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</si>
  <si>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</si>
  <si>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</si>
  <si>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</si>
  <si>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</si>
  <si>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</si>
  <si>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</si>
  <si>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</si>
  <si>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</si>
  <si>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</si>
  <si>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</si>
  <si>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</si>
  <si>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</si>
  <si>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</si>
  <si>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</si>
  <si>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</si>
  <si>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</si>
  <si>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</si>
  <si>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</si>
  <si>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</si>
  <si>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</si>
  <si>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</si>
  <si>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</si>
  <si>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</si>
  <si>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</si>
  <si>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</si>
  <si>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</si>
  <si>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</si>
  <si>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</si>
  <si>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</si>
  <si>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</si>
  <si>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</si>
  <si>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</si>
  <si>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</si>
  <si>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</si>
  <si>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</si>
  <si>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</si>
  <si>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</si>
  <si>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</si>
  <si>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</si>
  <si>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</si>
  <si>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</si>
  <si>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</si>
  <si>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</si>
  <si>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</si>
  <si>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</si>
  <si>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</si>
  <si>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</si>
  <si>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</si>
  <si>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</si>
  <si>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</si>
  <si>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</si>
  <si>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</si>
  <si>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</si>
  <si>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</si>
  <si>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</si>
  <si>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</si>
  <si>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</si>
  <si>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</si>
  <si>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</si>
  <si>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</si>
  <si>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</si>
  <si>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</si>
  <si>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</si>
  <si>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</si>
  <si>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</si>
  <si>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</si>
  <si>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</si>
  <si>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</si>
  <si>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</si>
  <si>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</si>
  <si>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</si>
  <si>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</si>
  <si>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</si>
  <si>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</si>
  <si>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</si>
  <si>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</si>
  <si>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</si>
  <si>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</si>
  <si>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</si>
  <si>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</si>
  <si>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</si>
  <si>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</si>
  <si>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</si>
  <si>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</si>
  <si>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</si>
  <si>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</si>
  <si>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</si>
  <si>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</si>
  <si>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</si>
  <si>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</si>
  <si>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</si>
  <si>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</si>
  <si>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</si>
  <si>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</si>
  <si>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</si>
  <si>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</si>
  <si>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</si>
  <si>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</si>
  <si>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</si>
  <si>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</si>
  <si>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</si>
  <si>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</si>
  <si>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</si>
  <si>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</si>
  <si>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</si>
  <si>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</si>
  <si>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</si>
  <si>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</si>
  <si>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</si>
  <si>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</si>
  <si>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</si>
  <si>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</si>
  <si>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</si>
  <si>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</si>
  <si>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</si>
  <si>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</si>
  <si>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</si>
  <si>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</si>
  <si>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</si>
  <si>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</si>
  <si>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</si>
  <si>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</si>
  <si>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</si>
  <si>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</si>
  <si>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</si>
  <si>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</si>
  <si>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</si>
  <si>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</si>
  <si>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</si>
  <si>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</si>
  <si>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</si>
  <si>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</si>
  <si>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</si>
  <si>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</si>
  <si>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</si>
  <si>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</si>
  <si>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</si>
  <si>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</si>
  <si>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</si>
  <si>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</si>
  <si>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</si>
  <si>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</si>
  <si>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</si>
  <si>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</si>
  <si>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</si>
  <si>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</si>
  <si>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</si>
  <si>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</si>
  <si>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</si>
  <si>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</si>
  <si>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</si>
  <si>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</si>
  <si>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</si>
  <si>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</si>
  <si>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</si>
  <si>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</si>
  <si>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</si>
  <si>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</si>
  <si>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</si>
  <si>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</si>
  <si>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</si>
  <si>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</si>
  <si>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</si>
  <si>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</si>
  <si>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</si>
  <si>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</si>
  <si>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</si>
  <si>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</si>
  <si>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</si>
  <si>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</si>
  <si>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</si>
  <si>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</si>
  <si>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</si>
  <si>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</si>
  <si>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</si>
  <si>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</si>
  <si>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</si>
  <si>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</si>
  <si>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</si>
  <si>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</si>
  <si>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</si>
  <si>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</si>
  <si>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</si>
  <si>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</si>
  <si>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</si>
  <si>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</si>
  <si>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</si>
  <si>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</si>
  <si>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</si>
  <si>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</si>
  <si>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</si>
  <si>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</si>
  <si>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</si>
  <si>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</si>
  <si>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</si>
  <si>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</si>
  <si>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</si>
  <si>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</si>
  <si>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</si>
  <si>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</si>
  <si>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</si>
  <si>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</si>
  <si>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</si>
  <si>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</si>
  <si>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</si>
  <si>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</si>
  <si>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</si>
  <si>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</si>
  <si>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</si>
  <si>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</si>
  <si>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</si>
  <si>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</si>
  <si>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</si>
  <si>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</si>
  <si>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</si>
  <si>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</si>
  <si>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</si>
  <si>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</si>
  <si>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</si>
  <si>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</si>
  <si>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</si>
  <si>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</si>
  <si>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</si>
  <si>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</si>
  <si>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</si>
  <si>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</si>
  <si>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</si>
  <si>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</si>
  <si>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</si>
  <si>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</si>
  <si>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</si>
  <si>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</si>
  <si>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</si>
  <si>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</si>
  <si>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</si>
  <si>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</si>
  <si>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</si>
  <si>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</si>
  <si>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</si>
  <si>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</si>
  <si>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</si>
  <si>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</si>
  <si>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</si>
  <si>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</si>
  <si>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</si>
  <si>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</si>
  <si>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</si>
  <si>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</si>
  <si>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</si>
  <si>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</si>
  <si>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</si>
  <si>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</si>
  <si>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</si>
  <si>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</si>
  <si>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</si>
  <si>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</si>
  <si>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</si>
  <si>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</si>
  <si>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</si>
  <si>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</si>
  <si>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</si>
  <si>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</si>
  <si>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</si>
  <si>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</si>
  <si>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</si>
  <si>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</si>
  <si>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</si>
  <si>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</si>
  <si>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</si>
  <si>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</si>
  <si>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</si>
  <si>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</si>
  <si>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</si>
  <si>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</si>
  <si>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</si>
  <si>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</si>
  <si>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</si>
  <si>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</si>
  <si>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</si>
  <si>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</si>
  <si>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</si>
  <si>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</si>
  <si>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</si>
  <si>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</si>
  <si>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</si>
  <si>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</si>
  <si>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</si>
  <si>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</si>
  <si>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</si>
  <si>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</si>
  <si>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</si>
  <si>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</si>
  <si>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</si>
  <si>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</si>
  <si>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</si>
  <si>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</si>
  <si>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</si>
  <si>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</si>
  <si>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</si>
  <si>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</si>
  <si>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</si>
  <si>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</si>
  <si>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</si>
  <si>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</si>
  <si>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</si>
  <si>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</si>
  <si>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</si>
  <si>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</si>
  <si>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</si>
  <si>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</si>
  <si>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</si>
  <si>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</si>
  <si>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</si>
  <si>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</si>
  <si>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</si>
  <si>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</si>
  <si>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</si>
  <si>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</si>
  <si>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</si>
  <si>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</si>
  <si>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</si>
  <si>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</si>
  <si>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</si>
  <si>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</si>
  <si>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</si>
  <si>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</si>
  <si>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</si>
  <si>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</si>
  <si>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</si>
  <si>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</si>
  <si>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</si>
  <si>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</si>
  <si>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</si>
  <si>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</si>
  <si>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</si>
  <si>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</si>
  <si>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</si>
  <si>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</si>
  <si>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</si>
  <si>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</si>
  <si>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</si>
  <si>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</si>
  <si>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</si>
  <si>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</si>
  <si>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</si>
  <si>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</si>
  <si>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</si>
  <si>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</si>
  <si>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</si>
  <si>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</si>
  <si>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</si>
  <si>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</si>
  <si>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</si>
  <si>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</si>
  <si>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</si>
  <si>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</si>
  <si>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</si>
  <si>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</si>
  <si>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</si>
  <si>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</si>
  <si>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</si>
  <si>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</si>
  <si>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</si>
  <si>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</si>
  <si>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</si>
  <si>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</si>
  <si>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</si>
  <si>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</si>
  <si>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</si>
  <si>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</si>
  <si>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</si>
  <si>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</si>
  <si>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</si>
  <si>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</si>
  <si>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</si>
  <si>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</si>
  <si>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</si>
  <si>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</si>
  <si>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</si>
  <si>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</si>
  <si>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</si>
  <si>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</si>
  <si>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</si>
  <si>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</si>
  <si>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</si>
  <si>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</si>
  <si>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</si>
  <si>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</si>
  <si>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</si>
  <si>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</si>
  <si>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</si>
  <si>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</si>
  <si>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</si>
  <si>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</si>
  <si>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</si>
  <si>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</si>
  <si>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</si>
  <si>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</si>
  <si>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</si>
  <si>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</si>
  <si>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</si>
  <si>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</si>
  <si>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</si>
  <si>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</si>
  <si>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</si>
  <si>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</si>
  <si>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</si>
  <si>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</si>
  <si>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</si>
  <si>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</si>
  <si>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</si>
  <si>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</si>
  <si>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</si>
  <si>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</si>
  <si>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</si>
  <si>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</si>
  <si>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</si>
  <si>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</si>
  <si>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</si>
  <si>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</si>
  <si>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</si>
  <si>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</si>
  <si>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</si>
  <si>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</si>
  <si>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</si>
  <si>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</si>
  <si>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</si>
  <si>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</si>
  <si>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</si>
  <si>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</si>
  <si>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</si>
  <si>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</si>
  <si>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</si>
  <si>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</si>
  <si>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</si>
  <si>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</si>
  <si>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</si>
  <si>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</si>
  <si>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</si>
  <si>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</si>
  <si>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</si>
  <si>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</si>
  <si>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</si>
  <si>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</si>
  <si>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</si>
  <si>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</si>
  <si>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</si>
  <si>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</si>
  <si>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</si>
  <si>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</si>
  <si>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</si>
  <si>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</si>
  <si>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</si>
  <si>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</si>
  <si>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</si>
  <si>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</si>
  <si>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</si>
  <si>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</si>
  <si>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</si>
  <si>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</si>
  <si>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</si>
  <si>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</si>
  <si>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</si>
  <si>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</si>
  <si>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</si>
  <si>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</si>
  <si>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</si>
  <si>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</si>
  <si>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</si>
  <si>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</si>
  <si>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</si>
  <si>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</si>
  <si>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</si>
  <si>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</si>
  <si>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</si>
  <si>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</si>
  <si>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</si>
  <si>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</si>
  <si>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</si>
  <si>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</si>
  <si>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</si>
  <si>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</si>
  <si>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</si>
  <si>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</si>
  <si>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</si>
  <si>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</si>
  <si>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</si>
  <si>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</si>
  <si>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</si>
  <si>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</si>
  <si>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</si>
  <si>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</si>
  <si>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</si>
  <si>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</si>
  <si>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</si>
  <si>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</si>
  <si>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</si>
  <si>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</si>
  <si>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</si>
  <si>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</si>
  <si>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</si>
  <si>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</si>
  <si>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</si>
  <si>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</si>
  <si>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</si>
  <si>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</si>
  <si>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</si>
  <si>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</si>
  <si>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</si>
  <si>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</si>
  <si>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</si>
  <si>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</si>
  <si>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</si>
  <si>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</si>
  <si>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</si>
  <si>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</si>
  <si>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</si>
  <si>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</si>
  <si>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</si>
  <si>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</si>
  <si>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</si>
  <si>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</si>
  <si>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</si>
  <si>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</si>
  <si>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</si>
  <si>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</si>
  <si>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</si>
  <si>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</si>
  <si>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</si>
  <si>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</si>
  <si>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</si>
  <si>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</si>
  <si>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</si>
  <si>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</si>
  <si>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</si>
  <si>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</si>
  <si>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</si>
  <si>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</si>
  <si>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</si>
  <si>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</si>
  <si>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</si>
  <si>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</si>
  <si>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</si>
  <si>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</si>
  <si>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</si>
  <si>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</si>
  <si>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</si>
  <si>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</si>
  <si>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</si>
  <si>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</si>
  <si>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</si>
  <si>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</si>
  <si>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</si>
  <si>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</si>
  <si>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</si>
  <si>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</si>
  <si>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</si>
  <si>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</si>
  <si>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</si>
  <si>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</si>
  <si>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</si>
  <si>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</si>
  <si>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</si>
  <si>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</si>
  <si>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</si>
  <si>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</si>
  <si>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</si>
  <si>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</si>
  <si>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</si>
  <si>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</si>
  <si>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</si>
  <si>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</si>
  <si>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</si>
  <si>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</si>
  <si>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</si>
  <si>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</si>
  <si>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</si>
  <si>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</si>
  <si>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</si>
  <si>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</si>
  <si>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</si>
  <si>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</si>
  <si>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</si>
  <si>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</si>
  <si>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</si>
  <si>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</si>
  <si>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</si>
  <si>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</si>
  <si>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</si>
  <si>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</si>
  <si>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</si>
  <si>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</si>
  <si>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</si>
  <si>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</si>
  <si>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</si>
  <si>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</si>
  <si>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</si>
  <si>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</si>
  <si>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</si>
  <si>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</si>
  <si>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</si>
  <si>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</si>
  <si>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</si>
  <si>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</si>
  <si>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</si>
  <si>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</si>
  <si>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</si>
  <si>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</si>
  <si>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</si>
  <si>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</si>
  <si>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</si>
  <si>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</si>
  <si>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</si>
  <si>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</si>
  <si>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</si>
  <si>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</si>
  <si>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</si>
  <si>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</si>
  <si>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</si>
  <si>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</si>
  <si>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</si>
  <si>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</si>
  <si>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</si>
  <si>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</si>
  <si>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</si>
  <si>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</si>
  <si>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</si>
  <si>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</si>
  <si>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</si>
  <si>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</si>
  <si>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</si>
  <si>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</si>
  <si>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</si>
  <si>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</si>
  <si>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</si>
  <si>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</si>
  <si>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</si>
  <si>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</si>
  <si>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</si>
  <si>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</si>
  <si>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</si>
  <si>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</si>
  <si>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</si>
  <si>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</si>
  <si>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</si>
  <si>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</si>
  <si>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</si>
  <si>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</si>
  <si>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</si>
  <si>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</si>
  <si>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</si>
  <si>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</si>
  <si>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</si>
  <si>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</si>
  <si>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</si>
  <si>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</si>
  <si>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</si>
  <si>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</si>
  <si>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</si>
  <si>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</si>
  <si>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</si>
  <si>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</si>
  <si>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</si>
  <si>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</si>
  <si>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</si>
  <si>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</si>
  <si>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</si>
  <si>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</si>
  <si>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</si>
  <si>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</si>
  <si>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</si>
  <si>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</si>
  <si>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</si>
  <si>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</si>
  <si>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</si>
  <si>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</si>
  <si>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</si>
  <si>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</si>
  <si>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</si>
  <si>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</si>
  <si>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</si>
  <si>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</si>
  <si>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</si>
  <si>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</si>
  <si>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</si>
  <si>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</si>
  <si>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</si>
  <si>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</si>
  <si>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</si>
  <si>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</si>
  <si>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</si>
  <si>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</si>
  <si>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</si>
  <si>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</si>
  <si>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</si>
  <si>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</si>
  <si>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</si>
  <si>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</si>
  <si>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</si>
  <si>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</si>
  <si>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</si>
  <si>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</si>
  <si>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</si>
  <si>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</si>
  <si>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</si>
  <si>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</si>
  <si>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</si>
  <si>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</si>
  <si>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</si>
  <si>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</si>
  <si>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</si>
  <si>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</si>
  <si>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</si>
  <si>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</si>
  <si>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</si>
  <si>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</si>
  <si>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</si>
  <si>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</si>
  <si>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</si>
  <si>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</si>
  <si>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</si>
  <si>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</si>
  <si>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</si>
  <si>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</si>
  <si>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</si>
  <si>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</si>
  <si>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</si>
  <si>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</si>
  <si>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</si>
  <si>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</si>
  <si>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</si>
  <si>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</si>
  <si>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</si>
  <si>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</si>
  <si>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</si>
  <si>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</si>
  <si>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</si>
  <si>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</si>
  <si>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</si>
  <si>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</si>
  <si>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</si>
  <si>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</si>
  <si>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</si>
  <si>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</si>
  <si>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</si>
  <si>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</si>
  <si>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</si>
  <si>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</si>
  <si>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</si>
  <si>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</si>
  <si>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</si>
  <si>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</si>
  <si>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</si>
  <si>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</si>
  <si>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</si>
  <si>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</si>
  <si>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</si>
  <si>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</si>
  <si>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</si>
  <si>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</si>
  <si>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</si>
  <si>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</si>
  <si>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</si>
  <si>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</si>
  <si>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</si>
  <si>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</si>
  <si>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</si>
  <si>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</si>
  <si>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</si>
  <si>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</si>
  <si>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</si>
  <si>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</si>
  <si>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</si>
  <si>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</si>
  <si>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</si>
  <si>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</si>
  <si>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</si>
  <si>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</si>
  <si>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</si>
  <si>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</si>
  <si>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</si>
  <si>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</si>
  <si>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</si>
  <si>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</si>
  <si>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</si>
  <si>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</si>
  <si>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</si>
  <si>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</si>
  <si>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</si>
  <si>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</si>
  <si>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</si>
  <si>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</si>
  <si>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</si>
  <si>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</si>
  <si>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</si>
  <si>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</si>
  <si>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</si>
  <si>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</si>
  <si>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</si>
  <si>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</si>
  <si>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</si>
  <si>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</si>
  <si>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</si>
  <si>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</si>
  <si>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</si>
  <si>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</si>
  <si>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</si>
  <si>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</si>
  <si>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</si>
  <si>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</si>
  <si>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</si>
  <si>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</si>
  <si>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</si>
  <si>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</si>
  <si>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</si>
  <si>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</si>
  <si>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</si>
  <si>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</si>
  <si>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</si>
  <si>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</si>
  <si>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</si>
  <si>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</si>
  <si>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</si>
  <si>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</si>
  <si>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</si>
  <si>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</si>
  <si>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</si>
  <si>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</si>
  <si>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</si>
  <si>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</si>
  <si>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</si>
  <si>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</si>
  <si>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</si>
  <si>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</si>
  <si>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</si>
  <si>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</si>
  <si>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</si>
  <si>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</si>
  <si>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</si>
  <si>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</si>
  <si>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</si>
  <si>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</si>
  <si>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</si>
  <si>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</si>
  <si>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</si>
  <si>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</si>
  <si>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</si>
  <si>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</si>
  <si>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</si>
  <si>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</si>
  <si>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</si>
  <si>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</si>
  <si>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</si>
  <si>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</si>
  <si>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</si>
  <si>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</si>
  <si>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</si>
  <si>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</si>
  <si>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</si>
  <si>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</si>
  <si>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</si>
  <si>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</si>
  <si>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</si>
  <si>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</si>
  <si>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</si>
  <si>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</si>
  <si>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</si>
  <si>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</si>
  <si>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</si>
  <si>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</si>
  <si>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</si>
  <si>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</si>
  <si>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</si>
  <si>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</si>
  <si>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</si>
  <si>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</si>
  <si>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</si>
  <si>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</si>
  <si>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</si>
  <si>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</si>
  <si>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</si>
  <si>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</si>
  <si>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</si>
  <si>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</si>
  <si>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</si>
  <si>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</si>
  <si>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</si>
  <si>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</si>
  <si>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</si>
  <si>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</si>
  <si>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</si>
  <si>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</si>
  <si>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</si>
  <si>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</si>
  <si>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</si>
  <si>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</si>
  <si>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</si>
  <si>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</si>
  <si>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</si>
  <si>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</si>
  <si>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</si>
  <si>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</si>
  <si>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</si>
  <si>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</si>
  <si>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</si>
  <si>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</si>
  <si>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</si>
  <si>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</si>
  <si>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</si>
  <si>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</si>
  <si>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</si>
  <si>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</si>
  <si>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</si>
  <si>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</si>
  <si>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</si>
  <si>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</si>
  <si>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</si>
  <si>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</si>
  <si>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</si>
  <si>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</si>
  <si>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</si>
  <si>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</si>
  <si>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</si>
  <si>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</si>
  <si>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</si>
  <si>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</si>
  <si>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</si>
  <si>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</si>
  <si>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</si>
  <si>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</si>
  <si>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</si>
  <si>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</si>
  <si>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</si>
  <si>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</si>
  <si>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</si>
  <si>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</si>
  <si>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</si>
  <si>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</si>
  <si>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</si>
  <si>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</si>
  <si>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</si>
  <si>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</si>
  <si>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</si>
  <si>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</si>
  <si>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</si>
  <si>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</si>
  <si>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</si>
  <si>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</si>
  <si>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</si>
  <si>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</si>
  <si>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</si>
  <si>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</si>
  <si>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</si>
  <si>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</si>
  <si>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</si>
  <si>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</si>
  <si>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</si>
  <si>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</si>
  <si>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</si>
  <si>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</si>
  <si>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</si>
  <si>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</si>
  <si>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</si>
  <si>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</si>
  <si>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</si>
  <si>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</si>
  <si>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</si>
  <si>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</si>
  <si>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</si>
  <si>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</si>
  <si>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</si>
  <si>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</si>
  <si>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</si>
  <si>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</si>
  <si>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</si>
  <si>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</si>
  <si>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</si>
  <si>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</si>
  <si>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</si>
  <si>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</si>
  <si>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</si>
  <si>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</si>
  <si>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</si>
  <si>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</si>
  <si>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</si>
  <si>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</si>
  <si>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</si>
  <si>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</si>
  <si>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</si>
  <si>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</si>
  <si>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</si>
  <si>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</si>
  <si>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</si>
  <si>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</si>
  <si>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</si>
  <si>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</si>
  <si>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</si>
  <si>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</si>
  <si>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</si>
  <si>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</si>
  <si>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</si>
  <si>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</si>
  <si>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</si>
  <si>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</si>
  <si>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</si>
  <si>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</si>
  <si>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</si>
  <si>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</si>
  <si>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</si>
  <si>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</si>
  <si>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</si>
  <si>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</si>
  <si>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</si>
  <si>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</si>
  <si>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</si>
  <si>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</si>
  <si>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</si>
  <si>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</si>
  <si>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</si>
  <si>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</si>
  <si>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</si>
  <si>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</si>
  <si>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</si>
  <si>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</si>
  <si>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</si>
  <si>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</si>
  <si>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</si>
  <si>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</si>
  <si>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</si>
  <si>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</si>
  <si>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</si>
  <si>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</si>
  <si>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</si>
  <si>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</si>
  <si>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</si>
  <si>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</si>
  <si>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</si>
  <si>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</si>
  <si>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</si>
  <si>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</si>
  <si>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</si>
  <si>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</si>
  <si>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</si>
  <si>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</si>
  <si>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</si>
  <si>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</si>
  <si>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</si>
  <si>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</si>
  <si>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</si>
  <si>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</si>
  <si>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</si>
  <si>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</si>
  <si>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</si>
  <si>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</si>
  <si>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</si>
  <si>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</si>
  <si>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</si>
  <si>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</si>
  <si>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</si>
  <si>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</si>
  <si>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</si>
  <si>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</si>
  <si>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</si>
  <si>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</si>
  <si>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</si>
  <si>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</si>
  <si>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</si>
  <si>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</si>
  <si>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</si>
  <si>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</si>
  <si>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</si>
  <si>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</si>
  <si>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</si>
  <si>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</si>
  <si>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</si>
  <si>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</si>
  <si>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</si>
  <si>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</si>
  <si>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</si>
  <si>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</si>
  <si>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</si>
  <si>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</si>
  <si>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</si>
  <si>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</si>
  <si>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</si>
  <si>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</si>
  <si>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</si>
  <si>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</si>
  <si>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</si>
  <si>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</si>
  <si>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</si>
  <si>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</si>
  <si>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</si>
  <si>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</si>
  <si>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</si>
  <si>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</si>
  <si>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</si>
  <si>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</si>
  <si>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</si>
  <si>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</si>
  <si>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</si>
  <si>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</si>
  <si>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</si>
  <si>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</si>
  <si>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</si>
  <si>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</si>
  <si>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</si>
  <si>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</si>
  <si>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</si>
  <si>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</si>
  <si>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</si>
  <si>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</si>
  <si>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</si>
  <si>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</si>
  <si>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</si>
  <si>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</si>
  <si>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</si>
  <si>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</si>
  <si>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</si>
  <si>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</si>
  <si>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</si>
  <si>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</si>
  <si>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</si>
  <si>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</si>
  <si>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</si>
  <si>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</si>
  <si>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</si>
  <si>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</si>
  <si>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</si>
  <si>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</si>
  <si>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</si>
  <si>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</si>
  <si>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</si>
  <si>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</si>
  <si>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</si>
  <si>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</si>
  <si>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</si>
  <si>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</si>
  <si>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</si>
  <si>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</si>
  <si>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</si>
  <si>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</si>
  <si>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</si>
  <si>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</si>
  <si>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</si>
  <si>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</si>
  <si>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</si>
  <si>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</si>
  <si>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</si>
  <si>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</si>
  <si>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</si>
  <si>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</si>
  <si>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</si>
  <si>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</si>
  <si>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</si>
  <si>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</si>
  <si>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</si>
  <si>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</si>
  <si>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</si>
  <si>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</si>
  <si>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</si>
  <si>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</si>
  <si>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</si>
  <si>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</si>
  <si>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</si>
  <si>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</si>
  <si>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</si>
  <si>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</si>
  <si>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</si>
  <si>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</si>
  <si>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</si>
  <si>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</si>
  <si>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</si>
  <si>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</si>
  <si>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</si>
  <si>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</si>
  <si>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</si>
  <si>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</si>
  <si>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</si>
  <si>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</si>
  <si>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</si>
  <si>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</si>
  <si>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</si>
  <si>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</si>
  <si>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</si>
  <si>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</si>
  <si>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</si>
  <si>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</si>
  <si>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</si>
  <si>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</si>
  <si>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</si>
  <si>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</si>
  <si>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</si>
  <si>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</si>
  <si>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</si>
  <si>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</si>
  <si>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</si>
  <si>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</si>
  <si>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</si>
  <si>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</si>
  <si>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</si>
  <si>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</si>
  <si>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</si>
  <si>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</si>
  <si>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</si>
  <si>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</si>
  <si>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</si>
  <si>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</si>
  <si>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</si>
  <si>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</si>
  <si>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</si>
  <si>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</si>
  <si>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</si>
  <si>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</si>
  <si>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</si>
  <si>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</si>
  <si>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</si>
  <si>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</si>
  <si>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</si>
  <si>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</si>
  <si>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</si>
  <si>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</si>
  <si>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</si>
  <si>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17 EYLÜL HOROZ</t>
  </si>
  <si>
    <t>15 Ekim Montaj Zorunlu</t>
  </si>
  <si>
    <t>24 EYLÜL  BEKLEYEN</t>
  </si>
  <si>
    <t>CAM OFİS KAPALI KUTU</t>
  </si>
  <si>
    <t>ÜRÜN NOTLARI</t>
  </si>
  <si>
    <t>28 EYLÜL STUDIOLINE HOROZ</t>
  </si>
  <si>
    <t>28 EYLÜL  YILDIZ DEPO</t>
  </si>
  <si>
    <t>Teşhir Fiyatı 300.000₺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</si>
</sst>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0" fillId="10" borderId="0" xfId="0" applyFill="1" applyAlignment="1">
      <alignment horizontal="left"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164" fontId="13" fillId="18" borderId="0" xfId="1" applyNumberFormat="1" applyFont="1" applyFill="1" applyAlignment="1">
      <alignment horizontal="center" vertical="center" wrapText="1"/>
    </xf>
    <xf numFmtId="0" fontId="18" fillId="18" borderId="0" xfId="0" applyFont="1" applyFill="1" applyAlignment="1">
      <alignment horizontal="left" vertical="center"/>
    </xf>
    <xf numFmtId="0" fontId="1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left" vertical="center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86"/>
  <sheetViews>
    <sheetView tabSelected="1" zoomScale="90" zoomScaleNormal="90" workbookViewId="0">
      <pane ySplit="1" topLeftCell="A2" activePane="bottomLeft" state="frozen"/>
      <selection pane="bottomLeft" activeCell="A11" sqref="A11"/>
    </sheetView>
  </sheetViews>
  <sheetFormatPr defaultColWidth="17.85546875" defaultRowHeight="17.25"/>
  <cols>
    <col min="1" max="1" width="17.85546875" style="137"/>
    <col min="2" max="2" width="35.1406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6.140625" style="15" bestFit="1" customWidth="1"/>
    <col min="7" max="7" width="7.42578125" style="15" bestFit="1" customWidth="1"/>
    <col min="8" max="8" width="6" style="15" bestFit="1" customWidth="1"/>
    <col min="9" max="9" width="6.5703125" style="61" bestFit="1" customWidth="1"/>
    <col min="10" max="10" width="4.7109375" style="61" bestFit="1" customWidth="1"/>
    <col min="11" max="11" width="5.7109375" style="16" bestFit="1" customWidth="1"/>
    <col min="12" max="12" width="6.42578125" style="16" bestFit="1" customWidth="1"/>
    <col min="13" max="13" width="7.140625" style="61" bestFit="1" customWidth="1"/>
    <col min="14" max="14" width="6.85546875" style="71" customWidth="1"/>
    <col min="15" max="15" width="5.28515625" style="72" customWidth="1"/>
    <col min="16" max="16" width="8" style="171" customWidth="1"/>
    <col min="17" max="17" width="10.28515625" style="96" customWidth="1"/>
    <col min="18" max="18" width="12" style="100" bestFit="1" customWidth="1"/>
    <col min="19" max="20" width="9.85546875" style="16" bestFit="1" customWidth="1"/>
    <col min="21" max="21" width="10.85546875" style="68" customWidth="1"/>
    <col min="22" max="22" width="8.85546875" style="15" bestFit="1" customWidth="1"/>
    <col min="23" max="23" width="13.140625" style="73" bestFit="1" customWidth="1"/>
    <col min="24" max="24" width="17.85546875" style="95"/>
    <col min="25" max="26" width="17.85546875" style="61"/>
  </cols>
  <sheetData>
    <row r="1" spans="1:27" s="4" customFormat="1" ht="61.5" customHeight="1">
      <c r="A1" s="172" t="s">
        <v>0</v>
      </c>
      <c r="B1" s="43" t="s">
        <v>1</v>
      </c>
      <c r="C1" s="2" t="s">
        <v>1846</v>
      </c>
      <c r="D1" s="74" t="s">
        <v>1851</v>
      </c>
      <c r="E1" s="75" t="s">
        <v>1852</v>
      </c>
      <c r="F1" s="2" t="s">
        <v>1849</v>
      </c>
      <c r="G1" s="76" t="s">
        <v>1774</v>
      </c>
      <c r="H1" s="76" t="s">
        <v>2</v>
      </c>
      <c r="I1" s="3" t="s">
        <v>1307</v>
      </c>
      <c r="J1" s="3" t="s">
        <v>1836</v>
      </c>
      <c r="K1" s="77" t="s">
        <v>1779</v>
      </c>
      <c r="L1" s="77" t="s">
        <v>3</v>
      </c>
      <c r="M1" s="3" t="s">
        <v>4</v>
      </c>
      <c r="N1" s="2" t="s">
        <v>5</v>
      </c>
      <c r="O1" s="78" t="s">
        <v>1848</v>
      </c>
      <c r="P1" s="79" t="s">
        <v>1542</v>
      </c>
      <c r="Q1" s="84" t="s">
        <v>1826</v>
      </c>
      <c r="R1" s="85" t="s">
        <v>6</v>
      </c>
      <c r="S1" s="85" t="s">
        <v>7</v>
      </c>
      <c r="T1" s="85" t="s">
        <v>1660</v>
      </c>
      <c r="U1" s="86" t="s">
        <v>1827</v>
      </c>
      <c r="V1" s="87" t="s">
        <v>1840</v>
      </c>
      <c r="W1" s="88" t="s">
        <v>464</v>
      </c>
      <c r="X1" s="89" t="s">
        <v>1780</v>
      </c>
      <c r="Y1" s="4" t="s">
        <v>1850</v>
      </c>
    </row>
    <row r="2" spans="1:27">
      <c r="A2" s="130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0" t="s">
        <v>1781</v>
      </c>
      <c r="R2" s="91">
        <v>80000</v>
      </c>
      <c r="S2" s="92">
        <v>83200</v>
      </c>
      <c r="T2" s="92">
        <v>86400</v>
      </c>
      <c r="U2" s="93"/>
      <c r="V2" s="91"/>
      <c r="W2" s="94">
        <v>1000</v>
      </c>
    </row>
    <row r="3" spans="1:27">
      <c r="A3" s="131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6">
        <v>215784.16717519649</v>
      </c>
      <c r="R3" s="97">
        <v>204994.95881643667</v>
      </c>
      <c r="S3" s="92">
        <v>213194.75716909414</v>
      </c>
      <c r="T3" s="92">
        <v>221394.55552175161</v>
      </c>
      <c r="U3" s="93">
        <v>6594.3523603817166</v>
      </c>
      <c r="V3" s="91"/>
      <c r="W3" s="98"/>
    </row>
    <row r="4" spans="1:27">
      <c r="A4" s="131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6">
        <v>134806.50673133694</v>
      </c>
      <c r="R4" s="97">
        <v>128066.18139477009</v>
      </c>
      <c r="S4" s="92">
        <v>133188.8286505609</v>
      </c>
      <c r="T4" s="92">
        <v>138311.4759063517</v>
      </c>
      <c r="U4" s="93">
        <v>41230.11784244806</v>
      </c>
      <c r="V4" s="91"/>
      <c r="W4" s="98"/>
    </row>
    <row r="5" spans="1:27">
      <c r="A5" s="130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12</v>
      </c>
      <c r="D5" s="5"/>
      <c r="E5" s="6"/>
      <c r="F5" s="6">
        <v>1</v>
      </c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16</v>
      </c>
      <c r="O5" s="60">
        <v>1</v>
      </c>
      <c r="P5" s="48"/>
      <c r="Q5" s="96">
        <v>118087.26901460295</v>
      </c>
      <c r="R5" s="97">
        <v>112182.9055638728</v>
      </c>
      <c r="S5" s="92">
        <v>116670.22178642772</v>
      </c>
      <c r="T5" s="92">
        <v>121157.53800898262</v>
      </c>
      <c r="U5" s="93">
        <v>26517.501572742476</v>
      </c>
      <c r="W5" s="94">
        <v>250</v>
      </c>
      <c r="X5" s="91">
        <f>R5-U5</f>
        <v>85665.403991130326</v>
      </c>
    </row>
    <row r="6" spans="1:27">
      <c r="A6" s="130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132" t="s">
        <v>1543</v>
      </c>
      <c r="Q6" s="96">
        <v>33700.891654252438</v>
      </c>
      <c r="R6" s="91">
        <v>34037.900570794962</v>
      </c>
      <c r="S6" s="92">
        <v>35399.41659362676</v>
      </c>
      <c r="T6" s="92">
        <v>36760.932616458558</v>
      </c>
      <c r="U6" s="93"/>
      <c r="V6" s="91"/>
      <c r="W6" s="98"/>
    </row>
    <row r="7" spans="1:27">
      <c r="A7" s="130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1</v>
      </c>
      <c r="O7" s="60"/>
      <c r="P7" s="132" t="s">
        <v>1543</v>
      </c>
      <c r="Q7" s="96">
        <v>36619.942316379165</v>
      </c>
      <c r="R7" s="91">
        <v>36986.14173954296</v>
      </c>
      <c r="S7" s="92">
        <v>38465.587409124681</v>
      </c>
      <c r="T7" s="92">
        <v>39945.033078706394</v>
      </c>
      <c r="U7" s="93">
        <v>968.7795256814934</v>
      </c>
      <c r="V7" s="91"/>
      <c r="W7" s="98"/>
    </row>
    <row r="8" spans="1:27">
      <c r="A8" s="130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132" t="s">
        <v>1543</v>
      </c>
      <c r="Q8" s="96">
        <v>43007.560271025679</v>
      </c>
      <c r="R8" s="129">
        <v>43670</v>
      </c>
      <c r="S8" s="92">
        <v>45416.800000000003</v>
      </c>
      <c r="T8" s="92">
        <v>47163.6</v>
      </c>
      <c r="U8" s="93">
        <v>4670.3509687000987</v>
      </c>
      <c r="V8" s="91"/>
      <c r="W8" s="98"/>
    </row>
    <row r="9" spans="1:27">
      <c r="A9" s="130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0" t="s">
        <v>1781</v>
      </c>
      <c r="R9" s="100">
        <v>40000</v>
      </c>
      <c r="S9" s="92">
        <v>41600</v>
      </c>
      <c r="T9" s="92">
        <v>43200</v>
      </c>
      <c r="U9" s="93"/>
      <c r="V9" s="91"/>
      <c r="W9" s="94">
        <v>500</v>
      </c>
      <c r="Y9" s="8"/>
      <c r="Z9" s="8"/>
      <c r="AA9" s="8"/>
    </row>
    <row r="10" spans="1:27">
      <c r="A10" s="134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6">
        <v>84535.624718473977</v>
      </c>
      <c r="R10" s="97">
        <v>80308.843482550277</v>
      </c>
      <c r="S10" s="92">
        <v>83521.197221852286</v>
      </c>
      <c r="T10" s="92">
        <v>86733.550961154295</v>
      </c>
      <c r="U10" s="93">
        <v>15186.787509171641</v>
      </c>
      <c r="V10" s="91"/>
      <c r="W10" s="98"/>
    </row>
    <row r="11" spans="1:27">
      <c r="A11" s="134" t="s">
        <v>1545</v>
      </c>
      <c r="B11" s="56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5</v>
      </c>
      <c r="O11" s="60">
        <v>5</v>
      </c>
      <c r="P11" s="48"/>
      <c r="Q11" s="96">
        <v>62949.551468023252</v>
      </c>
      <c r="R11" s="97">
        <v>59802.073894622088</v>
      </c>
      <c r="S11" s="92">
        <v>62194.156850406973</v>
      </c>
      <c r="T11" s="92">
        <v>64586.239806191857</v>
      </c>
      <c r="U11" s="93">
        <v>3123.9700726744122</v>
      </c>
      <c r="V11" s="91"/>
      <c r="W11" s="98"/>
    </row>
    <row r="12" spans="1:27">
      <c r="A12" s="133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6">
        <v>70136.480962004265</v>
      </c>
      <c r="R12" s="97">
        <v>66629.656913904051</v>
      </c>
      <c r="S12" s="92">
        <v>69294.843190460218</v>
      </c>
      <c r="T12" s="92">
        <v>71960.029467016371</v>
      </c>
      <c r="U12" s="93">
        <v>7950.4344503763496</v>
      </c>
      <c r="V12" s="91"/>
      <c r="W12" s="101"/>
    </row>
    <row r="13" spans="1:27">
      <c r="A13" s="133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6">
        <v>64328.533377100357</v>
      </c>
      <c r="R13" s="97">
        <v>61112.106708245337</v>
      </c>
      <c r="S13" s="92">
        <v>63556.590976575149</v>
      </c>
      <c r="T13" s="92">
        <v>66001.075244904961</v>
      </c>
      <c r="U13" s="93">
        <v>13537.835702681754</v>
      </c>
      <c r="V13" s="91"/>
      <c r="W13" s="101"/>
    </row>
    <row r="14" spans="1:27">
      <c r="A14" s="133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0" t="s">
        <v>1781</v>
      </c>
      <c r="R14" s="102">
        <v>55000</v>
      </c>
      <c r="S14" s="92">
        <v>57200</v>
      </c>
      <c r="T14" s="92">
        <v>59400</v>
      </c>
      <c r="U14" s="93"/>
      <c r="V14" s="91"/>
      <c r="W14" s="94">
        <v>500</v>
      </c>
    </row>
    <row r="15" spans="1:27">
      <c r="A15" s="133" t="s">
        <v>1791</v>
      </c>
      <c r="B15" s="56" t="str">
        <f>IFERROR(HYPERLINK(VLOOKUP(A15,ÜRÜNLER!A:C,3,FALSE),VLOOKUP(A15,ÜRÜNLER!A:B,2,FALSE)),"")</f>
        <v>iQ300 Üstten Donduruculu Kulpsuz Buzdolabı, 75cm, Beyaz</v>
      </c>
      <c r="C15" s="5">
        <v>1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1</v>
      </c>
      <c r="O15" s="60"/>
      <c r="P15" s="48"/>
      <c r="Q15" s="96">
        <v>56792.905181497161</v>
      </c>
      <c r="R15" s="102">
        <v>56793</v>
      </c>
      <c r="S15" s="92">
        <v>59064.72</v>
      </c>
      <c r="T15" s="92">
        <v>61336.44</v>
      </c>
      <c r="U15" s="93">
        <v>8118.4865768459931</v>
      </c>
      <c r="V15" s="91"/>
      <c r="W15" s="91"/>
    </row>
    <row r="16" spans="1:27">
      <c r="A16" s="130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6">
        <v>98053.757359079536</v>
      </c>
      <c r="R16" s="97">
        <v>93151.069491125556</v>
      </c>
      <c r="S16" s="92">
        <v>96877.11227077058</v>
      </c>
      <c r="T16" s="92">
        <v>100603.1550504156</v>
      </c>
      <c r="U16" s="93">
        <v>23170.03642884699</v>
      </c>
      <c r="V16" s="91"/>
      <c r="W16" s="98"/>
    </row>
    <row r="17" spans="1:27">
      <c r="A17" s="130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6">
        <v>85320.530544562032</v>
      </c>
      <c r="R17" s="97">
        <v>81054.504017333937</v>
      </c>
      <c r="S17" s="92">
        <v>84296.684178027295</v>
      </c>
      <c r="T17" s="92">
        <v>87538.864338720654</v>
      </c>
      <c r="U17" s="93">
        <v>15971.693335259697</v>
      </c>
      <c r="V17" s="91"/>
      <c r="W17" s="98"/>
    </row>
    <row r="18" spans="1:27" s="8" customFormat="1">
      <c r="A18" s="130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0" t="s">
        <v>1781</v>
      </c>
      <c r="R18" s="100">
        <v>55000</v>
      </c>
      <c r="S18" s="92">
        <v>57200</v>
      </c>
      <c r="T18" s="92">
        <v>59400</v>
      </c>
      <c r="U18" s="93"/>
      <c r="V18" s="91"/>
      <c r="W18" s="94">
        <v>500</v>
      </c>
      <c r="X18" s="95"/>
      <c r="Y18" s="61"/>
      <c r="Z18" s="61"/>
      <c r="AA18"/>
    </row>
    <row r="19" spans="1:27">
      <c r="A19" s="133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90" t="s">
        <v>1781</v>
      </c>
      <c r="R19" s="100">
        <v>40000</v>
      </c>
      <c r="S19" s="92">
        <v>41600</v>
      </c>
      <c r="T19" s="92">
        <v>43200</v>
      </c>
      <c r="U19" s="93"/>
      <c r="V19" s="91"/>
      <c r="W19" s="94">
        <v>500</v>
      </c>
    </row>
    <row r="20" spans="1:27">
      <c r="A20" s="130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59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67</v>
      </c>
      <c r="O20" s="60"/>
      <c r="P20" s="48"/>
      <c r="Q20" s="96">
        <v>65373.710842426284</v>
      </c>
      <c r="R20" s="117">
        <v>58836.339758183654</v>
      </c>
      <c r="S20" s="92">
        <v>61189.793348510997</v>
      </c>
      <c r="T20" s="92">
        <v>63543.246938838347</v>
      </c>
      <c r="U20" s="93">
        <v>14664.408516844887</v>
      </c>
      <c r="V20" s="91"/>
      <c r="W20" s="98"/>
      <c r="Y20" s="181"/>
    </row>
    <row r="21" spans="1:27">
      <c r="A21" s="130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77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81</v>
      </c>
      <c r="O21" s="60"/>
      <c r="P21" s="48"/>
      <c r="Q21" s="96">
        <v>60461.404943148395</v>
      </c>
      <c r="R21" s="117">
        <v>54415.264448833557</v>
      </c>
      <c r="S21" s="92">
        <v>56591.875026786896</v>
      </c>
      <c r="T21" s="92">
        <v>58768.485604740243</v>
      </c>
      <c r="U21" s="93">
        <v>11705.590989660021</v>
      </c>
      <c r="V21" s="91"/>
      <c r="W21" s="98"/>
      <c r="Y21" s="181"/>
    </row>
    <row r="22" spans="1:27">
      <c r="A22" s="130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0" t="s">
        <v>1781</v>
      </c>
      <c r="R22" s="91">
        <v>55000</v>
      </c>
      <c r="S22" s="92">
        <v>57200</v>
      </c>
      <c r="T22" s="92">
        <v>59400</v>
      </c>
      <c r="U22" s="93">
        <v>8118.2662856856987</v>
      </c>
      <c r="V22" s="91"/>
      <c r="W22" s="91"/>
    </row>
    <row r="23" spans="1:27">
      <c r="A23" s="130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/>
      <c r="J23" s="7"/>
      <c r="K23" s="6"/>
      <c r="L23" s="6">
        <v>1</v>
      </c>
      <c r="M23" s="7"/>
      <c r="N23" s="59">
        <f t="shared" si="0"/>
        <v>2</v>
      </c>
      <c r="O23" s="60"/>
      <c r="P23" s="48"/>
      <c r="Q23" s="90" t="s">
        <v>1781</v>
      </c>
      <c r="R23" s="91">
        <v>44500</v>
      </c>
      <c r="S23" s="92">
        <v>46280</v>
      </c>
      <c r="T23" s="92">
        <v>48060</v>
      </c>
      <c r="U23" s="93">
        <v>4531.8971617670613</v>
      </c>
      <c r="V23" s="91"/>
      <c r="W23" s="94">
        <v>500</v>
      </c>
    </row>
    <row r="24" spans="1:27" s="62" customFormat="1">
      <c r="A24" s="134" t="s">
        <v>1792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3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3</v>
      </c>
      <c r="O24" s="60"/>
      <c r="P24" s="48"/>
      <c r="Q24" s="96">
        <v>60254.001126083655</v>
      </c>
      <c r="R24" s="97">
        <v>57241.301069779474</v>
      </c>
      <c r="S24" s="91">
        <v>59530.953112570656</v>
      </c>
      <c r="T24" s="91">
        <v>61820.605155361831</v>
      </c>
      <c r="U24" s="93">
        <v>5800.5127539906316</v>
      </c>
      <c r="V24" s="91"/>
      <c r="W24" s="98"/>
      <c r="X24" s="103"/>
      <c r="Y24" s="8"/>
      <c r="Z24" s="8"/>
    </row>
    <row r="25" spans="1:27" s="62" customFormat="1">
      <c r="A25" s="134" t="s">
        <v>1793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3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3</v>
      </c>
      <c r="O25" s="60"/>
      <c r="P25" s="48"/>
      <c r="Q25" s="96">
        <v>55360.410160065025</v>
      </c>
      <c r="R25" s="97">
        <v>52592.389652061771</v>
      </c>
      <c r="S25" s="91">
        <v>54696.085238144238</v>
      </c>
      <c r="T25" s="91">
        <v>56799.780824226713</v>
      </c>
      <c r="U25" s="93">
        <v>2941.8055089022309</v>
      </c>
      <c r="V25" s="91"/>
      <c r="W25" s="98"/>
      <c r="X25" s="103"/>
      <c r="Y25" s="8"/>
      <c r="Z25" s="8"/>
    </row>
    <row r="26" spans="1:27" s="62" customFormat="1">
      <c r="A26" s="135" t="s">
        <v>1794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6">
        <v>63899.365449394172</v>
      </c>
      <c r="R26" s="97">
        <v>60704.397176924467</v>
      </c>
      <c r="S26" s="91">
        <v>63132.573064001444</v>
      </c>
      <c r="T26" s="91">
        <v>65560.748951078422</v>
      </c>
      <c r="U26" s="93">
        <v>6597.039867998822</v>
      </c>
      <c r="V26" s="91"/>
      <c r="W26" s="98"/>
      <c r="X26" s="103"/>
      <c r="Y26" s="8"/>
      <c r="Z26" s="8"/>
    </row>
    <row r="27" spans="1:27" s="62" customFormat="1">
      <c r="A27" s="135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4</v>
      </c>
      <c r="D27" s="5"/>
      <c r="E27" s="6"/>
      <c r="F27" s="6"/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10</v>
      </c>
      <c r="O27" s="60"/>
      <c r="P27" s="48"/>
      <c r="Q27" s="96">
        <v>62632.698891451786</v>
      </c>
      <c r="R27" s="97">
        <v>59501.0639468792</v>
      </c>
      <c r="S27" s="91">
        <v>61881.106504754367</v>
      </c>
      <c r="T27" s="91">
        <v>64261.149062629534</v>
      </c>
      <c r="U27" s="93"/>
      <c r="V27" s="91"/>
      <c r="W27" s="98"/>
      <c r="X27" s="103"/>
      <c r="Y27" s="8"/>
      <c r="Z27" s="8"/>
    </row>
    <row r="28" spans="1:27" s="62" customFormat="1">
      <c r="A28" s="134" t="s">
        <v>1644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42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42</v>
      </c>
      <c r="O28" s="60"/>
      <c r="P28" s="48"/>
      <c r="Q28" s="96">
        <v>44190.12324999999</v>
      </c>
      <c r="R28" s="97">
        <v>41980.617087499988</v>
      </c>
      <c r="S28" s="91">
        <v>43659.841770999985</v>
      </c>
      <c r="T28" s="91">
        <v>45339.066454499989</v>
      </c>
      <c r="U28" s="93"/>
      <c r="V28" s="91"/>
      <c r="W28" s="98"/>
      <c r="X28" s="103"/>
      <c r="Y28" s="8"/>
      <c r="Z28" s="8"/>
    </row>
    <row r="29" spans="1:27" s="62" customFormat="1">
      <c r="A29" s="134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0" t="s">
        <v>1781</v>
      </c>
      <c r="R29" s="91">
        <v>48000</v>
      </c>
      <c r="S29" s="91">
        <v>49920</v>
      </c>
      <c r="T29" s="91">
        <v>51840</v>
      </c>
      <c r="U29" s="93"/>
      <c r="V29" s="91"/>
      <c r="W29" s="94">
        <v>500</v>
      </c>
      <c r="X29" s="103"/>
      <c r="Y29" s="8"/>
      <c r="Z29" s="8"/>
    </row>
    <row r="30" spans="1:27" s="62" customFormat="1">
      <c r="A30" s="134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0" t="s">
        <v>1781</v>
      </c>
      <c r="R30" s="91">
        <v>48000</v>
      </c>
      <c r="S30" s="91">
        <v>49920</v>
      </c>
      <c r="T30" s="91">
        <v>51840</v>
      </c>
      <c r="U30" s="93"/>
      <c r="V30" s="91"/>
      <c r="W30" s="94">
        <v>500</v>
      </c>
      <c r="X30" s="103"/>
      <c r="Y30" s="8"/>
      <c r="Z30" s="8"/>
    </row>
    <row r="31" spans="1:27" s="62" customFormat="1">
      <c r="A31" s="134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0" t="s">
        <v>1781</v>
      </c>
      <c r="R31" s="91">
        <v>48000</v>
      </c>
      <c r="S31" s="91">
        <v>49920</v>
      </c>
      <c r="T31" s="91">
        <v>51840</v>
      </c>
      <c r="U31" s="93"/>
      <c r="V31" s="91"/>
      <c r="W31" s="94">
        <v>500</v>
      </c>
      <c r="X31" s="103"/>
      <c r="Y31" s="8"/>
      <c r="Z31" s="8"/>
    </row>
    <row r="32" spans="1:27" s="62" customFormat="1">
      <c r="A32" s="134" t="s">
        <v>1650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28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29</v>
      </c>
      <c r="O32" s="60">
        <v>20</v>
      </c>
      <c r="P32" s="48"/>
      <c r="Q32" s="96">
        <v>50627.906976744176</v>
      </c>
      <c r="R32" s="97">
        <v>48096.51162790697</v>
      </c>
      <c r="S32" s="91">
        <v>50020.372093023252</v>
      </c>
      <c r="T32" s="91">
        <v>51944.232558139527</v>
      </c>
      <c r="U32" s="93"/>
      <c r="V32" s="91"/>
      <c r="W32" s="98"/>
      <c r="X32" s="103"/>
      <c r="Y32" s="8"/>
      <c r="Z32" s="8"/>
    </row>
    <row r="33" spans="1:26" s="62" customFormat="1">
      <c r="A33" s="134" t="s">
        <v>1647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30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30</v>
      </c>
      <c r="O33" s="60">
        <v>21</v>
      </c>
      <c r="P33" s="48"/>
      <c r="Q33" s="96">
        <v>48309.397283562372</v>
      </c>
      <c r="R33" s="97">
        <v>45893.92741938425</v>
      </c>
      <c r="S33" s="91">
        <v>47729.684516159621</v>
      </c>
      <c r="T33" s="91">
        <v>49565.441612934992</v>
      </c>
      <c r="U33" s="93"/>
      <c r="V33" s="91"/>
      <c r="W33" s="98"/>
      <c r="X33" s="103"/>
      <c r="Y33" s="8"/>
      <c r="Z33" s="8"/>
    </row>
    <row r="34" spans="1:26">
      <c r="A34" s="130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6">
        <v>84646.164438751875</v>
      </c>
      <c r="R34" s="117">
        <v>76181.547994876688</v>
      </c>
      <c r="S34" s="92">
        <v>79228.809914671758</v>
      </c>
      <c r="T34" s="92">
        <v>82276.071834466828</v>
      </c>
      <c r="U34" s="93">
        <v>9762.4435085193254</v>
      </c>
      <c r="V34" s="91"/>
      <c r="W34" s="98"/>
    </row>
    <row r="35" spans="1:26">
      <c r="A35" s="130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4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11</v>
      </c>
      <c r="O35" s="60">
        <v>5</v>
      </c>
      <c r="P35" s="48"/>
      <c r="Q35" s="96">
        <v>89337.569444670866</v>
      </c>
      <c r="R35" s="97">
        <v>84870.690972437325</v>
      </c>
      <c r="S35" s="92">
        <v>88265.518611334817</v>
      </c>
      <c r="T35" s="92">
        <v>91660.346250232309</v>
      </c>
      <c r="U35" s="93">
        <v>22186.406653973187</v>
      </c>
      <c r="V35" s="91"/>
      <c r="W35" s="98"/>
    </row>
    <row r="36" spans="1:26" s="9" customFormat="1">
      <c r="A36" s="130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33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35</v>
      </c>
      <c r="O36" s="60"/>
      <c r="P36" s="48"/>
      <c r="Q36" s="96">
        <v>80897.295942227123</v>
      </c>
      <c r="R36" s="99">
        <v>75234.485226271223</v>
      </c>
      <c r="S36" s="92">
        <v>78243.864635322068</v>
      </c>
      <c r="T36" s="92">
        <v>81253.244044372928</v>
      </c>
      <c r="U36" s="93">
        <v>15211.249430599215</v>
      </c>
      <c r="V36" s="91"/>
      <c r="W36" s="98"/>
      <c r="X36" s="95"/>
      <c r="Y36" s="63"/>
      <c r="Z36" s="63"/>
    </row>
    <row r="37" spans="1:26">
      <c r="A37" s="131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115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119</v>
      </c>
      <c r="O37" s="60"/>
      <c r="P37" s="48"/>
      <c r="Q37" s="96">
        <v>99433.899972588129</v>
      </c>
      <c r="R37" s="117">
        <v>89490.509975329318</v>
      </c>
      <c r="S37" s="104">
        <v>93070.130374342494</v>
      </c>
      <c r="T37" s="104">
        <v>96649.750773355656</v>
      </c>
      <c r="U37" s="93">
        <v>26829.248809797431</v>
      </c>
      <c r="V37" s="91"/>
      <c r="W37" s="98"/>
    </row>
    <row r="38" spans="1:26">
      <c r="A38" s="130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32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37</v>
      </c>
      <c r="O38" s="60"/>
      <c r="P38" s="48"/>
      <c r="Q38" s="96">
        <v>80743.425892217376</v>
      </c>
      <c r="R38" s="99">
        <v>73000</v>
      </c>
      <c r="S38" s="104">
        <v>75920</v>
      </c>
      <c r="T38" s="104">
        <v>78840</v>
      </c>
      <c r="U38" s="93">
        <v>16034.123566635979</v>
      </c>
      <c r="V38" s="91"/>
      <c r="W38" s="98"/>
    </row>
    <row r="39" spans="1:26">
      <c r="A39" s="130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17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20</v>
      </c>
      <c r="O39" s="60"/>
      <c r="P39" s="48"/>
      <c r="Q39" s="96">
        <v>72507.334385134804</v>
      </c>
      <c r="R39" s="97">
        <v>68881.967665878066</v>
      </c>
      <c r="S39" s="92">
        <v>71637.246372513182</v>
      </c>
      <c r="T39" s="92">
        <v>74392.525079148312</v>
      </c>
      <c r="U39" s="93">
        <v>18216.6367107162</v>
      </c>
      <c r="V39" s="91"/>
      <c r="W39" s="98"/>
    </row>
    <row r="40" spans="1:26">
      <c r="A40" s="130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39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45</v>
      </c>
      <c r="O40" s="60"/>
      <c r="P40" s="48"/>
      <c r="Q40" s="96">
        <v>93563.754304094517</v>
      </c>
      <c r="R40" s="99">
        <v>87014.291502807901</v>
      </c>
      <c r="S40" s="92">
        <v>90494.863162920214</v>
      </c>
      <c r="T40" s="92">
        <v>93975.434823032527</v>
      </c>
      <c r="U40" s="93">
        <v>14366.079885489862</v>
      </c>
      <c r="W40" s="98"/>
      <c r="X40" s="91">
        <f>R40-U40</f>
        <v>72648.21161731804</v>
      </c>
    </row>
    <row r="41" spans="1:26">
      <c r="A41" s="130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19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25</v>
      </c>
      <c r="O41" s="60">
        <v>1</v>
      </c>
      <c r="P41" s="64"/>
      <c r="Q41" s="96">
        <v>85858.484053583932</v>
      </c>
      <c r="R41" s="97">
        <v>81565.559850904741</v>
      </c>
      <c r="S41" s="104">
        <v>84828.182244940937</v>
      </c>
      <c r="T41" s="104">
        <v>88090.804638977119</v>
      </c>
      <c r="U41" s="93">
        <v>12195.693355909521</v>
      </c>
      <c r="V41" s="91"/>
      <c r="W41" s="98"/>
    </row>
    <row r="42" spans="1:26" s="9" customFormat="1">
      <c r="A42" s="134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65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71</v>
      </c>
      <c r="O42" s="60"/>
      <c r="P42" s="48"/>
      <c r="Q42" s="96">
        <v>104311.67380670749</v>
      </c>
      <c r="R42" s="97">
        <v>99096.090116372114</v>
      </c>
      <c r="S42" s="104">
        <v>103059.933721027</v>
      </c>
      <c r="T42" s="104">
        <v>107023.77732568188</v>
      </c>
      <c r="U42" s="93">
        <v>33090.743574149339</v>
      </c>
      <c r="V42" s="91"/>
      <c r="W42" s="98"/>
      <c r="X42" s="95"/>
      <c r="Y42" s="63"/>
      <c r="Z42" s="63"/>
    </row>
    <row r="43" spans="1:26" s="9" customFormat="1">
      <c r="A43" s="134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7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10</v>
      </c>
      <c r="O43" s="60">
        <v>5</v>
      </c>
      <c r="P43" s="64"/>
      <c r="Q43" s="96">
        <v>89598.547283956679</v>
      </c>
      <c r="R43" s="97">
        <v>85118.619919758843</v>
      </c>
      <c r="S43" s="92">
        <v>88523.3647165492</v>
      </c>
      <c r="T43" s="92">
        <v>91928.109513339557</v>
      </c>
      <c r="U43" s="93">
        <v>22447.384493259</v>
      </c>
      <c r="V43" s="91"/>
      <c r="W43" s="98"/>
      <c r="X43" s="95"/>
      <c r="Y43" s="63"/>
      <c r="Z43" s="63"/>
    </row>
    <row r="44" spans="1:26" s="9" customFormat="1">
      <c r="A44" s="134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36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38</v>
      </c>
      <c r="O44" s="60"/>
      <c r="P44" s="48"/>
      <c r="Q44" s="96">
        <v>79438.432781814583</v>
      </c>
      <c r="R44" s="99">
        <v>71500</v>
      </c>
      <c r="S44" s="104">
        <v>74360</v>
      </c>
      <c r="T44" s="104">
        <v>77220</v>
      </c>
      <c r="U44" s="93">
        <v>15054.711851582026</v>
      </c>
      <c r="V44" s="91"/>
      <c r="W44" s="98"/>
      <c r="X44" s="95"/>
      <c r="Y44" s="63"/>
      <c r="Z44" s="63"/>
    </row>
    <row r="45" spans="1:26" s="9" customFormat="1">
      <c r="A45" s="134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0" t="s">
        <v>1781</v>
      </c>
      <c r="R45" s="91">
        <v>80000</v>
      </c>
      <c r="S45" s="92">
        <v>83200</v>
      </c>
      <c r="T45" s="92">
        <v>86400</v>
      </c>
      <c r="U45" s="93"/>
      <c r="V45" s="91"/>
      <c r="W45" s="98"/>
      <c r="X45" s="95"/>
      <c r="Y45" s="63"/>
      <c r="Z45" s="63"/>
    </row>
    <row r="46" spans="1:26" s="9" customFormat="1">
      <c r="A46" s="135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24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26</v>
      </c>
      <c r="O46" s="60"/>
      <c r="P46" s="48"/>
      <c r="Q46" s="96">
        <v>119402.30490978497</v>
      </c>
      <c r="R46" s="97">
        <v>113432.18966429573</v>
      </c>
      <c r="S46" s="92">
        <v>117969.47725086755</v>
      </c>
      <c r="T46" s="92">
        <v>122506.76483743939</v>
      </c>
      <c r="U46" s="93">
        <v>31658.118863273339</v>
      </c>
      <c r="V46" s="91"/>
      <c r="W46" s="98"/>
      <c r="X46" s="95"/>
      <c r="Y46" s="63"/>
      <c r="Z46" s="63"/>
    </row>
    <row r="47" spans="1:26" s="9" customFormat="1">
      <c r="A47" s="134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114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120</v>
      </c>
      <c r="O47" s="60"/>
      <c r="P47" s="64"/>
      <c r="Q47" s="96">
        <v>113812.0276797781</v>
      </c>
      <c r="R47" s="117">
        <v>102430.82491180029</v>
      </c>
      <c r="S47" s="104">
        <v>106528.0579082723</v>
      </c>
      <c r="T47" s="104">
        <v>110625.29090474431</v>
      </c>
      <c r="U47" s="93">
        <v>31846.911400708326</v>
      </c>
      <c r="V47" s="91"/>
      <c r="W47" s="98"/>
      <c r="X47" s="95"/>
      <c r="Y47" s="63"/>
      <c r="Z47" s="63"/>
    </row>
    <row r="48" spans="1:26">
      <c r="A48" s="134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46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49</v>
      </c>
      <c r="O48" s="60"/>
      <c r="P48" s="48"/>
      <c r="Q48" s="96">
        <v>102827.95689172141</v>
      </c>
      <c r="R48" s="97">
        <v>97686.559047135335</v>
      </c>
      <c r="S48" s="92">
        <v>101594.02140902074</v>
      </c>
      <c r="T48" s="92">
        <v>105501.48377090617</v>
      </c>
      <c r="U48" s="93">
        <v>28107.026659163257</v>
      </c>
      <c r="V48" s="91"/>
      <c r="W48" s="98"/>
    </row>
    <row r="49" spans="1:25" ht="37.5" customHeight="1">
      <c r="A49" s="173" t="s">
        <v>1494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984</v>
      </c>
      <c r="O49" s="60">
        <f>SUM(O2:O48)</f>
        <v>101</v>
      </c>
      <c r="P49" s="6"/>
      <c r="Q49" s="90"/>
      <c r="R49" s="98"/>
      <c r="S49" s="92"/>
      <c r="T49" s="92"/>
      <c r="U49" s="93"/>
      <c r="V49" s="91"/>
      <c r="W49" s="98"/>
    </row>
    <row r="50" spans="1:25">
      <c r="A50" s="130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94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95</v>
      </c>
      <c r="O50" s="60"/>
      <c r="P50" s="132" t="s">
        <v>1543</v>
      </c>
      <c r="Q50" s="96">
        <v>24592.564804472826</v>
      </c>
      <c r="R50" s="97">
        <v>23000</v>
      </c>
      <c r="S50" s="92">
        <v>23920</v>
      </c>
      <c r="T50" s="92">
        <v>24840</v>
      </c>
      <c r="U50" s="93"/>
      <c r="V50" s="91"/>
      <c r="W50" s="98"/>
    </row>
    <row r="51" spans="1:25">
      <c r="A51" s="130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132" t="s">
        <v>1543</v>
      </c>
      <c r="Q51" s="90" t="s">
        <v>1781</v>
      </c>
      <c r="R51" s="91">
        <v>20000</v>
      </c>
      <c r="S51" s="92">
        <v>20800</v>
      </c>
      <c r="T51" s="92">
        <v>21600</v>
      </c>
      <c r="U51" s="93"/>
      <c r="V51" s="91"/>
      <c r="W51" s="94">
        <v>500</v>
      </c>
    </row>
    <row r="52" spans="1:25">
      <c r="A52" s="136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12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13</v>
      </c>
      <c r="O52" s="60"/>
      <c r="P52" s="132" t="s">
        <v>1543</v>
      </c>
      <c r="Q52" s="96">
        <v>37824.325084093936</v>
      </c>
      <c r="R52" s="102">
        <v>41606.757592503331</v>
      </c>
      <c r="S52" s="92">
        <v>43271.027896203464</v>
      </c>
      <c r="T52" s="92">
        <v>44935.298199903598</v>
      </c>
      <c r="U52" s="93">
        <v>1794.9133193880625</v>
      </c>
      <c r="V52" s="91"/>
      <c r="W52" s="98"/>
      <c r="Y52" s="181"/>
    </row>
    <row r="53" spans="1:25">
      <c r="A53" s="136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132" t="s">
        <v>1543</v>
      </c>
      <c r="Q53" s="96">
        <v>25437.803391758665</v>
      </c>
      <c r="R53" s="102">
        <v>27981.583730934533</v>
      </c>
      <c r="S53" s="92">
        <v>29100.847080171916</v>
      </c>
      <c r="T53" s="92">
        <v>30220.110429409295</v>
      </c>
      <c r="U53" s="93"/>
      <c r="V53" s="91"/>
      <c r="W53" s="98"/>
      <c r="Y53" s="181"/>
    </row>
    <row r="54" spans="1:25">
      <c r="A54" s="136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91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101</v>
      </c>
      <c r="O54" s="60"/>
      <c r="P54" s="132" t="s">
        <v>1543</v>
      </c>
      <c r="Q54" s="96">
        <v>31580.842639611688</v>
      </c>
      <c r="R54" s="102">
        <v>34738.926903572858</v>
      </c>
      <c r="S54" s="92">
        <v>36128.483979715769</v>
      </c>
      <c r="T54" s="92">
        <v>37518.041055858688</v>
      </c>
      <c r="U54" s="93"/>
      <c r="V54" s="91"/>
      <c r="W54" s="98"/>
      <c r="Y54" s="181"/>
    </row>
    <row r="55" spans="1:25">
      <c r="A55" s="136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110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118</v>
      </c>
      <c r="O55" s="60"/>
      <c r="P55" s="132" t="s">
        <v>1543</v>
      </c>
      <c r="Q55" s="96">
        <v>28432.702244249125</v>
      </c>
      <c r="R55" s="102">
        <v>31275.972468674037</v>
      </c>
      <c r="S55" s="92">
        <v>32527.011367421001</v>
      </c>
      <c r="T55" s="92">
        <v>33778.050266167964</v>
      </c>
      <c r="U55" s="93"/>
      <c r="V55" s="91"/>
      <c r="W55" s="98"/>
      <c r="Y55" s="181"/>
    </row>
    <row r="56" spans="1:25">
      <c r="A56" s="174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132" t="s">
        <v>1543</v>
      </c>
      <c r="Q56" s="90" t="s">
        <v>1781</v>
      </c>
      <c r="R56" s="91">
        <v>36000</v>
      </c>
      <c r="S56" s="92">
        <v>37440</v>
      </c>
      <c r="T56" s="92">
        <v>38880</v>
      </c>
      <c r="U56" s="93"/>
      <c r="V56" s="91"/>
      <c r="W56" s="94">
        <v>500</v>
      </c>
    </row>
    <row r="57" spans="1:25">
      <c r="A57" s="133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132" t="s">
        <v>1543</v>
      </c>
      <c r="Q57" s="96">
        <v>34578.68292151163</v>
      </c>
      <c r="R57" s="102">
        <v>38036.551213662795</v>
      </c>
      <c r="S57" s="92">
        <v>39558.013262209308</v>
      </c>
      <c r="T57" s="92">
        <v>41079.475310755821</v>
      </c>
      <c r="U57" s="93">
        <v>1658.6009542985194</v>
      </c>
      <c r="V57" s="91"/>
      <c r="W57" s="98"/>
      <c r="Y57" s="181"/>
    </row>
    <row r="58" spans="1:25">
      <c r="A58" s="133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132" t="s">
        <v>1543</v>
      </c>
      <c r="Q58" s="90" t="s">
        <v>1781</v>
      </c>
      <c r="R58" s="91">
        <v>30000</v>
      </c>
      <c r="S58" s="92">
        <v>31200</v>
      </c>
      <c r="T58" s="92">
        <v>32400</v>
      </c>
      <c r="U58" s="93"/>
      <c r="V58" s="91"/>
      <c r="W58" s="94">
        <v>500</v>
      </c>
    </row>
    <row r="59" spans="1:25">
      <c r="A59" s="174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60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63</v>
      </c>
      <c r="O59" s="60"/>
      <c r="P59" s="132" t="s">
        <v>1543</v>
      </c>
      <c r="Q59" s="96">
        <v>41328.219470344258</v>
      </c>
      <c r="R59" s="102">
        <v>45461.041417378685</v>
      </c>
      <c r="S59" s="92">
        <v>47279.483074073833</v>
      </c>
      <c r="T59" s="92">
        <v>49097.92473076898</v>
      </c>
      <c r="U59" s="93">
        <v>1989.9841762266078</v>
      </c>
      <c r="V59" s="91"/>
      <c r="W59" s="98"/>
      <c r="Y59" s="181"/>
    </row>
    <row r="60" spans="1:25" ht="36" customHeight="1">
      <c r="A60" s="173" t="s">
        <v>1495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498</v>
      </c>
      <c r="O60" s="60"/>
      <c r="P60" s="6"/>
      <c r="Q60" s="90"/>
      <c r="R60" s="98"/>
      <c r="S60" s="92"/>
      <c r="T60" s="92"/>
      <c r="U60" s="93"/>
      <c r="V60" s="91"/>
      <c r="W60" s="98"/>
    </row>
    <row r="61" spans="1:25">
      <c r="A61" s="130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06">
        <v>320728.45808950713</v>
      </c>
      <c r="R61" s="118">
        <v>279033.75853787118</v>
      </c>
      <c r="S61" s="92">
        <v>290195.10887938604</v>
      </c>
      <c r="T61" s="92">
        <v>301356.4592209009</v>
      </c>
      <c r="U61" s="93"/>
      <c r="V61" s="91"/>
      <c r="W61" s="98">
        <v>250</v>
      </c>
    </row>
    <row r="62" spans="1:25">
      <c r="A62" s="130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0" t="s">
        <v>1781</v>
      </c>
      <c r="R62" s="106">
        <v>375000</v>
      </c>
      <c r="S62" s="92">
        <v>390000</v>
      </c>
      <c r="T62" s="92">
        <v>405000</v>
      </c>
      <c r="U62" s="93"/>
      <c r="V62" s="91"/>
      <c r="W62" s="94">
        <v>1000</v>
      </c>
      <c r="Y62" s="95" t="s">
        <v>1853</v>
      </c>
    </row>
    <row r="63" spans="1:25">
      <c r="A63" s="137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0" t="s">
        <v>1781</v>
      </c>
      <c r="R63" s="106">
        <v>400000</v>
      </c>
      <c r="S63" s="92">
        <v>416000</v>
      </c>
      <c r="T63" s="92">
        <v>432000</v>
      </c>
      <c r="U63" s="93"/>
      <c r="V63" s="91"/>
      <c r="W63" s="94">
        <v>1000</v>
      </c>
    </row>
    <row r="64" spans="1:25">
      <c r="A64" s="130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0" t="s">
        <v>1781</v>
      </c>
      <c r="R64" s="106">
        <v>325000</v>
      </c>
      <c r="S64" s="92">
        <v>338000</v>
      </c>
      <c r="T64" s="92">
        <v>351000</v>
      </c>
      <c r="U64" s="93"/>
      <c r="V64" s="91"/>
      <c r="W64" s="94">
        <v>1000</v>
      </c>
    </row>
    <row r="65" spans="1:26">
      <c r="A65" s="137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0" t="s">
        <v>1781</v>
      </c>
      <c r="R65" s="106">
        <v>300000</v>
      </c>
      <c r="S65" s="92">
        <v>312000</v>
      </c>
      <c r="T65" s="92">
        <v>324000</v>
      </c>
      <c r="U65" s="93"/>
      <c r="V65" s="91"/>
      <c r="W65" s="94">
        <v>1000</v>
      </c>
    </row>
    <row r="66" spans="1:26">
      <c r="A66" s="137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6">
        <v>323156.50178004295</v>
      </c>
      <c r="R66" s="102">
        <v>323156.50178004295</v>
      </c>
      <c r="S66" s="92">
        <v>336082.76185124466</v>
      </c>
      <c r="T66" s="92">
        <v>349009.02192244638</v>
      </c>
      <c r="U66" s="93"/>
      <c r="V66" s="91"/>
      <c r="W66" s="98"/>
    </row>
    <row r="67" spans="1:26">
      <c r="A67" s="137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6">
        <v>66893.157793042163</v>
      </c>
      <c r="R67" s="102">
        <v>66893.157793042163</v>
      </c>
      <c r="S67" s="92">
        <v>69568.884104763856</v>
      </c>
      <c r="T67" s="92">
        <v>72244.610416485535</v>
      </c>
      <c r="U67" s="93"/>
      <c r="V67" s="91"/>
      <c r="W67" s="98"/>
    </row>
    <row r="68" spans="1:26">
      <c r="A68" s="137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6">
        <v>102760.3448110442</v>
      </c>
      <c r="R68" s="102">
        <v>102760.3448110442</v>
      </c>
      <c r="S68" s="92">
        <v>106870.75860348597</v>
      </c>
      <c r="T68" s="92">
        <v>110981.17239592773</v>
      </c>
      <c r="U68" s="93"/>
      <c r="V68" s="91"/>
      <c r="W68" s="98"/>
    </row>
    <row r="69" spans="1:26">
      <c r="A69" s="136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6">
        <v>95992.543845008942</v>
      </c>
      <c r="R69" s="97">
        <v>91192.916652758489</v>
      </c>
      <c r="S69" s="92">
        <v>94840.63331886883</v>
      </c>
      <c r="T69" s="92">
        <v>98488.34998497917</v>
      </c>
      <c r="U69" s="93"/>
      <c r="V69" s="91"/>
      <c r="W69" s="98"/>
    </row>
    <row r="70" spans="1:26">
      <c r="A70" s="137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0" t="s">
        <v>1781</v>
      </c>
      <c r="R70" s="91">
        <v>75000</v>
      </c>
      <c r="S70" s="92">
        <v>78000</v>
      </c>
      <c r="T70" s="92">
        <v>81000</v>
      </c>
      <c r="U70" s="93"/>
      <c r="V70" s="91"/>
      <c r="W70" s="107">
        <v>1000</v>
      </c>
    </row>
    <row r="71" spans="1:26">
      <c r="A71" s="130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5</v>
      </c>
      <c r="P71" s="48"/>
      <c r="Q71" s="96">
        <v>97354.167416930461</v>
      </c>
      <c r="R71" s="102">
        <v>97354.167416930461</v>
      </c>
      <c r="S71" s="92">
        <v>101248.33411360768</v>
      </c>
      <c r="T71" s="92">
        <v>105142.5008102849</v>
      </c>
      <c r="U71" s="93"/>
      <c r="V71" s="91"/>
      <c r="W71" s="98"/>
    </row>
    <row r="72" spans="1:26">
      <c r="A72" s="130" t="s">
        <v>1790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6">
        <v>119995.99338721613</v>
      </c>
      <c r="R72" s="102">
        <v>119995.99338721613</v>
      </c>
      <c r="S72" s="92">
        <v>124795.83312270477</v>
      </c>
      <c r="T72" s="92">
        <v>129595.67285819343</v>
      </c>
      <c r="U72" s="93"/>
      <c r="V72" s="91"/>
      <c r="W72" s="98"/>
    </row>
    <row r="73" spans="1:26">
      <c r="A73" s="137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6">
        <v>119995.99338721613</v>
      </c>
      <c r="R73" s="102">
        <v>119995.99338721613</v>
      </c>
      <c r="S73" s="92">
        <v>124795.83312270477</v>
      </c>
      <c r="T73" s="92">
        <v>129595.67285819343</v>
      </c>
      <c r="U73" s="93"/>
      <c r="V73" s="91"/>
      <c r="W73" s="98"/>
    </row>
    <row r="74" spans="1:26">
      <c r="A74" s="137" t="s">
        <v>1484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08">
        <v>145394.74836193025</v>
      </c>
      <c r="R74" s="129">
        <v>126493.43107487932</v>
      </c>
      <c r="S74" s="92">
        <v>131553.16831787449</v>
      </c>
      <c r="T74" s="92">
        <v>136612.90556086967</v>
      </c>
      <c r="U74" s="93"/>
      <c r="V74" s="91"/>
      <c r="W74" s="94">
        <v>500</v>
      </c>
    </row>
    <row r="75" spans="1:26" s="10" customFormat="1" ht="35.25" customHeight="1">
      <c r="A75" s="173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90"/>
      <c r="R75" s="90"/>
      <c r="S75" s="90"/>
      <c r="T75" s="92"/>
      <c r="U75" s="93"/>
      <c r="V75" s="91"/>
      <c r="W75" s="102"/>
      <c r="X75" s="95"/>
      <c r="Y75" s="65"/>
      <c r="Z75" s="65"/>
    </row>
    <row r="76" spans="1:26">
      <c r="A76" s="134" t="s">
        <v>1428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6" si="3">M76+K76+L76+J76+I76+H76+G76+F76+E76+D76+C76</f>
        <v>1</v>
      </c>
      <c r="O76" s="60"/>
      <c r="P76" s="48"/>
      <c r="Q76" s="90" t="s">
        <v>1781</v>
      </c>
      <c r="R76" s="102">
        <v>35000</v>
      </c>
      <c r="S76" s="92">
        <v>36400</v>
      </c>
      <c r="T76" s="92">
        <v>37800</v>
      </c>
      <c r="U76" s="93"/>
      <c r="V76" s="91"/>
      <c r="W76" s="94">
        <v>500</v>
      </c>
    </row>
    <row r="77" spans="1:26">
      <c r="A77" s="134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13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19</v>
      </c>
      <c r="O77" s="60"/>
      <c r="P77" s="64"/>
      <c r="Q77" s="96">
        <v>33951.071927080571</v>
      </c>
      <c r="R77" s="102">
        <v>33951.071927080571</v>
      </c>
      <c r="S77" s="92">
        <v>35309.114804163793</v>
      </c>
      <c r="T77" s="92">
        <v>36667.157681247016</v>
      </c>
      <c r="U77" s="107">
        <v>1637.12</v>
      </c>
      <c r="V77" s="91"/>
      <c r="W77" s="98"/>
    </row>
    <row r="78" spans="1:26">
      <c r="A78" s="134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34</v>
      </c>
      <c r="O78" s="60"/>
      <c r="P78" s="48"/>
      <c r="Q78" s="96">
        <v>43627.587009902316</v>
      </c>
      <c r="R78" s="97">
        <v>41446.207659407199</v>
      </c>
      <c r="S78" s="92">
        <v>43104.055965783489</v>
      </c>
      <c r="T78" s="92">
        <v>44761.904272159773</v>
      </c>
      <c r="U78" s="93"/>
      <c r="V78" s="91"/>
      <c r="W78" s="98"/>
    </row>
    <row r="79" spans="1:26">
      <c r="A79" s="175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53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57</v>
      </c>
      <c r="O79" s="60"/>
      <c r="P79" s="64"/>
      <c r="Q79" s="96">
        <v>45494.72632684563</v>
      </c>
      <c r="R79" s="97">
        <v>43219.990010503345</v>
      </c>
      <c r="S79" s="91">
        <v>44948.789610923479</v>
      </c>
      <c r="T79" s="92">
        <v>46677.589211343613</v>
      </c>
      <c r="U79" s="93"/>
      <c r="V79" s="91"/>
      <c r="W79" s="98"/>
    </row>
    <row r="80" spans="1:26">
      <c r="A80" s="134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0" t="s">
        <v>1781</v>
      </c>
      <c r="R80" s="100">
        <v>32000</v>
      </c>
      <c r="S80" s="92">
        <v>33280</v>
      </c>
      <c r="T80" s="92">
        <v>34560</v>
      </c>
      <c r="U80" s="93"/>
      <c r="V80" s="91"/>
      <c r="W80" s="94">
        <v>500</v>
      </c>
    </row>
    <row r="81" spans="1:27">
      <c r="A81" s="134" t="s">
        <v>79</v>
      </c>
      <c r="B81" s="56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9">
        <f t="shared" si="3"/>
        <v>3</v>
      </c>
      <c r="O81" s="60">
        <v>5</v>
      </c>
      <c r="P81" s="48"/>
      <c r="Q81" s="96">
        <v>50877.593851705358</v>
      </c>
      <c r="R81" s="102">
        <v>50878</v>
      </c>
      <c r="S81" s="92">
        <v>52913.120000000003</v>
      </c>
      <c r="T81" s="92">
        <v>54948.24</v>
      </c>
      <c r="U81" s="93"/>
      <c r="V81" s="91"/>
      <c r="W81" s="98"/>
    </row>
    <row r="82" spans="1:27">
      <c r="A82" s="134" t="s">
        <v>80</v>
      </c>
      <c r="B82" s="56" t="str">
        <f>IFERROR(HYPERLINK(VLOOKUP(A82,ÜRÜNLER!A:C,3,FALSE),VLOOKUP(A82,ÜRÜNLER!A:B,2,FALSE)),"")</f>
        <v>iQ500 Çamaşır Makinesi, 9kg/1400devir, Beyaz</v>
      </c>
      <c r="C82" s="5">
        <v>14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9">
        <f t="shared" si="3"/>
        <v>17</v>
      </c>
      <c r="O82" s="60"/>
      <c r="P82" s="48"/>
      <c r="Q82" s="96">
        <v>43297.575959808506</v>
      </c>
      <c r="R82" s="97">
        <v>41132.697161818083</v>
      </c>
      <c r="S82" s="92">
        <v>42778.005048290805</v>
      </c>
      <c r="T82" s="92">
        <v>44423.312934763533</v>
      </c>
      <c r="U82" s="93"/>
      <c r="V82" s="91"/>
      <c r="W82" s="98"/>
    </row>
    <row r="83" spans="1:27">
      <c r="A83" s="130" t="s">
        <v>81</v>
      </c>
      <c r="B83" s="56" t="str">
        <f>IFERROR(HYPERLINK(VLOOKUP(A83,ÜRÜNLER!A:C,3,FALSE),VLOOKUP(A83,ÜRÜNLER!A:B,2,FALSE)),"")</f>
        <v>iQ300 Çamaşır Makinesi, 10kg/1200devir, Beyaz</v>
      </c>
      <c r="C83" s="5">
        <v>1</v>
      </c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9">
        <f t="shared" si="3"/>
        <v>4</v>
      </c>
      <c r="O83" s="60"/>
      <c r="P83" s="48"/>
      <c r="Q83" s="90" t="s">
        <v>1781</v>
      </c>
      <c r="R83" s="91">
        <v>34557</v>
      </c>
      <c r="S83" s="92">
        <v>35939.279999999999</v>
      </c>
      <c r="T83" s="92">
        <v>37321.56</v>
      </c>
      <c r="U83" s="109">
        <v>1882.32</v>
      </c>
      <c r="V83" s="91"/>
      <c r="W83" s="94">
        <v>500</v>
      </c>
      <c r="Y83" s="66"/>
      <c r="Z83" s="66"/>
      <c r="AA83" s="11"/>
    </row>
    <row r="84" spans="1:27">
      <c r="A84" s="221" t="s">
        <v>1435</v>
      </c>
      <c r="B84" s="56" t="str">
        <f>IFERROR(HYPERLINK(VLOOKUP(A84,ÜRÜNLER!A:C,3,FALSE),VLOOKUP(A84,ÜRÜNLER!A:B,2,FALSE)),"")</f>
        <v>iQ300 Çamaşır Makinesi, 10kg/1200devir, Beyaz</v>
      </c>
      <c r="C84" s="5">
        <v>153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9">
        <f t="shared" si="3"/>
        <v>156</v>
      </c>
      <c r="O84" s="60"/>
      <c r="P84" s="48"/>
      <c r="Q84" s="96">
        <v>39308.306442639354</v>
      </c>
      <c r="R84" s="117">
        <v>35377.475798375417</v>
      </c>
      <c r="S84" s="219">
        <v>36792.574830310434</v>
      </c>
      <c r="T84" s="219">
        <v>38207.67386224545</v>
      </c>
      <c r="U84" s="109">
        <v>4064.12</v>
      </c>
      <c r="V84" s="91"/>
      <c r="W84" s="98"/>
      <c r="X84" s="110"/>
      <c r="Y84" s="66"/>
      <c r="Z84" s="66"/>
      <c r="AA84" s="11"/>
    </row>
    <row r="85" spans="1:27" s="11" customFormat="1">
      <c r="A85" s="136" t="s">
        <v>82</v>
      </c>
      <c r="B85" s="56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9">
        <f t="shared" si="3"/>
        <v>1</v>
      </c>
      <c r="O85" s="60"/>
      <c r="P85" s="48"/>
      <c r="Q85" s="90" t="s">
        <v>1781</v>
      </c>
      <c r="R85" s="91">
        <v>40000</v>
      </c>
      <c r="S85" s="92">
        <v>41600</v>
      </c>
      <c r="T85" s="92">
        <v>43200</v>
      </c>
      <c r="U85" s="93"/>
      <c r="V85" s="91"/>
      <c r="W85" s="94">
        <v>500</v>
      </c>
      <c r="X85" s="95"/>
      <c r="Y85" s="61"/>
      <c r="Z85" s="61"/>
      <c r="AA85"/>
    </row>
    <row r="86" spans="1:27" s="11" customFormat="1">
      <c r="A86" s="136" t="s">
        <v>83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9">
        <f t="shared" si="3"/>
        <v>5</v>
      </c>
      <c r="O86" s="60"/>
      <c r="P86" s="48"/>
      <c r="Q86" s="90" t="s">
        <v>1781</v>
      </c>
      <c r="R86" s="100">
        <v>40000</v>
      </c>
      <c r="S86" s="92">
        <v>41600</v>
      </c>
      <c r="T86" s="92">
        <v>43200</v>
      </c>
      <c r="U86" s="93"/>
      <c r="V86" s="91"/>
      <c r="W86" s="94">
        <v>500</v>
      </c>
      <c r="X86" s="95"/>
      <c r="Y86" s="61"/>
      <c r="Z86" s="61"/>
      <c r="AA86"/>
    </row>
    <row r="87" spans="1:27" s="11" customFormat="1">
      <c r="A87" s="130" t="s">
        <v>1438</v>
      </c>
      <c r="B87" s="56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9">
        <f t="shared" si="3"/>
        <v>1</v>
      </c>
      <c r="O87" s="60"/>
      <c r="P87" s="48"/>
      <c r="Q87" s="90" t="s">
        <v>1781</v>
      </c>
      <c r="R87" s="100">
        <v>40000</v>
      </c>
      <c r="S87" s="92">
        <v>41600</v>
      </c>
      <c r="T87" s="92">
        <v>43200</v>
      </c>
      <c r="U87" s="93"/>
      <c r="V87" s="91">
        <v>3490</v>
      </c>
      <c r="W87" s="94">
        <v>500</v>
      </c>
      <c r="X87" s="95"/>
      <c r="Y87" s="61"/>
      <c r="Z87" s="61"/>
      <c r="AA87"/>
    </row>
    <row r="88" spans="1:27">
      <c r="A88" s="176" t="s">
        <v>84</v>
      </c>
      <c r="B88" s="56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9">
        <f t="shared" si="3"/>
        <v>1</v>
      </c>
      <c r="O88" s="60"/>
      <c r="P88" s="48"/>
      <c r="Q88" s="90" t="s">
        <v>1781</v>
      </c>
      <c r="R88" s="100">
        <v>40000</v>
      </c>
      <c r="S88" s="92">
        <v>41600</v>
      </c>
      <c r="T88" s="92">
        <v>43200</v>
      </c>
      <c r="U88" s="93"/>
      <c r="V88" s="91"/>
      <c r="W88" s="94">
        <v>500</v>
      </c>
    </row>
    <row r="89" spans="1:27">
      <c r="A89" s="177" t="s">
        <v>85</v>
      </c>
      <c r="B89" s="56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9">
        <f t="shared" si="3"/>
        <v>2</v>
      </c>
      <c r="O89" s="60"/>
      <c r="P89" s="48"/>
      <c r="Q89" s="90" t="s">
        <v>1781</v>
      </c>
      <c r="R89" s="91">
        <v>38000</v>
      </c>
      <c r="S89" s="92">
        <v>39520</v>
      </c>
      <c r="T89" s="92">
        <v>41040</v>
      </c>
      <c r="U89" s="93"/>
      <c r="V89" s="91"/>
      <c r="W89" s="94">
        <v>500</v>
      </c>
    </row>
    <row r="90" spans="1:27">
      <c r="A90" s="137" t="s">
        <v>1440</v>
      </c>
      <c r="B90" s="56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9">
        <f t="shared" si="3"/>
        <v>16</v>
      </c>
      <c r="O90" s="60"/>
      <c r="P90" s="48"/>
      <c r="Q90" s="96">
        <v>47147.984595873975</v>
      </c>
      <c r="R90" s="97">
        <v>44790.585366080275</v>
      </c>
      <c r="S90" s="92">
        <v>46582.208780723486</v>
      </c>
      <c r="T90" s="92">
        <v>48373.832195366696</v>
      </c>
      <c r="U90" s="93"/>
      <c r="V90" s="91"/>
      <c r="W90" s="98"/>
    </row>
    <row r="91" spans="1:27">
      <c r="A91" s="176" t="s">
        <v>1540</v>
      </c>
      <c r="B91" s="56" t="str">
        <f>IFERROR(HYPERLINK(VLOOKUP(A91,ÜRÜNLER!A:C,3,FALSE),VLOOKUP(A91,ÜRÜNLER!A:B,2,FALSE)),"")</f>
        <v>iQ500 Çamaşır Makinesi, 10kg/1200devir, Gümüş</v>
      </c>
      <c r="C91" s="5">
        <v>6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9">
        <f t="shared" si="3"/>
        <v>7</v>
      </c>
      <c r="O91" s="60">
        <v>10</v>
      </c>
      <c r="P91" s="48"/>
      <c r="Q91" s="96">
        <v>49073.715895703179</v>
      </c>
      <c r="R91" s="97">
        <v>46620.030100918018</v>
      </c>
      <c r="S91" s="92">
        <v>48484.831304954736</v>
      </c>
      <c r="T91" s="92">
        <v>50349.632508991461</v>
      </c>
      <c r="U91" s="93"/>
      <c r="V91" s="91"/>
      <c r="W91" s="98"/>
      <c r="Y91" s="66"/>
      <c r="Z91" s="66"/>
      <c r="AA91" s="11"/>
    </row>
    <row r="92" spans="1:27">
      <c r="A92" s="176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90" t="s">
        <v>1781</v>
      </c>
      <c r="R92" s="91">
        <v>40000</v>
      </c>
      <c r="S92" s="92">
        <v>41600</v>
      </c>
      <c r="T92" s="92">
        <v>43200</v>
      </c>
      <c r="U92" s="93"/>
      <c r="V92" s="91"/>
      <c r="W92" s="94">
        <v>500</v>
      </c>
    </row>
    <row r="93" spans="1:27">
      <c r="A93" s="134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90" t="s">
        <v>1781</v>
      </c>
      <c r="R93" s="100">
        <v>42000</v>
      </c>
      <c r="S93" s="92">
        <v>43680</v>
      </c>
      <c r="T93" s="92">
        <v>45360</v>
      </c>
      <c r="U93" s="93"/>
      <c r="V93" s="91"/>
      <c r="W93" s="94">
        <v>500</v>
      </c>
    </row>
    <row r="94" spans="1:27">
      <c r="A94" s="134" t="s">
        <v>1802</v>
      </c>
      <c r="B94" s="56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0</v>
      </c>
      <c r="O94" s="60"/>
      <c r="P94" s="48"/>
      <c r="Q94" s="96">
        <v>52561.488908400599</v>
      </c>
      <c r="R94" s="100">
        <v>52561.488908400599</v>
      </c>
      <c r="S94" s="92">
        <v>54663.948464736626</v>
      </c>
      <c r="T94" s="92">
        <v>56766.408021072646</v>
      </c>
      <c r="U94" s="93"/>
      <c r="V94" s="91"/>
      <c r="W94" s="91"/>
    </row>
    <row r="95" spans="1:27">
      <c r="A95" s="134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90" t="s">
        <v>1781</v>
      </c>
      <c r="R95" s="100">
        <v>52000</v>
      </c>
      <c r="S95" s="92">
        <v>54080</v>
      </c>
      <c r="T95" s="92">
        <v>56160</v>
      </c>
      <c r="U95" s="93"/>
      <c r="V95" s="91"/>
      <c r="W95" s="94">
        <v>500</v>
      </c>
    </row>
    <row r="96" spans="1:27">
      <c r="A96" s="134" t="s">
        <v>1445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90" t="s">
        <v>1781</v>
      </c>
      <c r="R96" s="100">
        <v>55000</v>
      </c>
      <c r="S96" s="92">
        <v>57200</v>
      </c>
      <c r="T96" s="92">
        <v>59400</v>
      </c>
      <c r="U96" s="93"/>
      <c r="V96" s="91"/>
      <c r="W96" s="94">
        <v>500</v>
      </c>
    </row>
    <row r="97" spans="1:25">
      <c r="A97" s="134" t="s">
        <v>1447</v>
      </c>
      <c r="B97" s="56" t="str">
        <f>IFERROR(HYPERLINK(VLOOKUP(A97,ÜRÜNLER!A:C,3,FALSE),VLOOKUP(A97,ÜRÜNLER!A:B,2,FALSE)),"")</f>
        <v>iQ500 Çamaşır Makinesi, 10kg/1400devir, i-dos, Beyaz</v>
      </c>
      <c r="C97" s="5">
        <v>19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9">
        <f t="shared" si="3"/>
        <v>22</v>
      </c>
      <c r="O97" s="60"/>
      <c r="P97" s="48"/>
      <c r="Q97" s="96">
        <v>47289.815559320137</v>
      </c>
      <c r="R97" s="97">
        <v>44925.324781354131</v>
      </c>
      <c r="S97" s="92">
        <v>46722.337772608298</v>
      </c>
      <c r="T97" s="92">
        <v>48519.350763862458</v>
      </c>
      <c r="U97" s="93"/>
      <c r="V97" s="91"/>
      <c r="W97" s="98"/>
      <c r="Y97" s="181"/>
    </row>
    <row r="98" spans="1:25">
      <c r="A98" s="136" t="s">
        <v>1798</v>
      </c>
      <c r="B98" s="56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9">
        <f t="shared" si="3"/>
        <v>0</v>
      </c>
      <c r="O98" s="60">
        <v>2</v>
      </c>
      <c r="P98" s="48"/>
      <c r="Q98" s="96">
        <v>60958.457320099915</v>
      </c>
      <c r="R98" s="91">
        <v>60958.457320099915</v>
      </c>
      <c r="S98" s="92">
        <v>63396.795612903908</v>
      </c>
      <c r="T98" s="92">
        <v>65835.133905707902</v>
      </c>
      <c r="U98" s="93"/>
      <c r="V98" s="91"/>
      <c r="W98" s="98"/>
    </row>
    <row r="99" spans="1:25">
      <c r="A99" s="136" t="s">
        <v>1795</v>
      </c>
      <c r="B99" s="56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9">
        <f t="shared" si="3"/>
        <v>1</v>
      </c>
      <c r="O99" s="60">
        <v>2</v>
      </c>
      <c r="P99" s="48"/>
      <c r="Q99" s="96">
        <v>62780.288082804618</v>
      </c>
      <c r="R99" s="91">
        <v>62780.288082804618</v>
      </c>
      <c r="S99" s="92">
        <v>65291.499606116806</v>
      </c>
      <c r="T99" s="92">
        <v>67802.711129428993</v>
      </c>
      <c r="U99" s="93"/>
      <c r="V99" s="91"/>
      <c r="W99" s="98"/>
    </row>
    <row r="100" spans="1:25">
      <c r="A100" s="136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90" t="s">
        <v>1781</v>
      </c>
      <c r="R100" s="91">
        <v>40000</v>
      </c>
      <c r="S100" s="92">
        <v>41600</v>
      </c>
      <c r="T100" s="92">
        <v>43200</v>
      </c>
      <c r="U100" s="93"/>
      <c r="V100" s="91"/>
      <c r="W100" s="94">
        <v>500</v>
      </c>
    </row>
    <row r="101" spans="1:25">
      <c r="A101" s="130" t="s">
        <v>1449</v>
      </c>
      <c r="B101" s="56" t="str">
        <f>IFERROR(HYPERLINK(VLOOKUP(A101,ÜRÜNLER!A:C,3,FALSE),VLOOKUP(A101,ÜRÜNLER!A:B,2,FALSE)),"")</f>
        <v>iQ500 Çamaşır Makinesi, 11kg/1400devir, i-dos, Beyaz</v>
      </c>
      <c r="C101" s="5">
        <v>3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3"/>
        <v>3</v>
      </c>
      <c r="O101" s="60"/>
      <c r="P101" s="48"/>
      <c r="Q101" s="96">
        <v>50367.146466691978</v>
      </c>
      <c r="R101" s="97">
        <v>47848.789143357382</v>
      </c>
      <c r="S101" s="92">
        <v>49762.740709091675</v>
      </c>
      <c r="T101" s="92">
        <v>51676.692274825975</v>
      </c>
      <c r="U101" s="93"/>
      <c r="V101" s="91"/>
      <c r="W101" s="98"/>
    </row>
    <row r="102" spans="1:25">
      <c r="A102" s="222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46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52</v>
      </c>
      <c r="O102" s="60"/>
      <c r="P102" s="48"/>
      <c r="Q102" s="96">
        <v>48992.310366043464</v>
      </c>
      <c r="R102" s="117">
        <v>44093.079329439119</v>
      </c>
      <c r="S102" s="219">
        <v>45856.802502616687</v>
      </c>
      <c r="T102" s="219">
        <v>47620.525675794248</v>
      </c>
      <c r="U102" s="93"/>
      <c r="V102" s="91"/>
      <c r="W102" s="98"/>
    </row>
    <row r="103" spans="1:25">
      <c r="A103" s="135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59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63</v>
      </c>
      <c r="O103" s="60"/>
      <c r="P103" s="48"/>
      <c r="Q103" s="96">
        <v>52387.95330734842</v>
      </c>
      <c r="R103" s="117">
        <v>47149.157976613576</v>
      </c>
      <c r="S103" s="219">
        <v>49035.124295678121</v>
      </c>
      <c r="T103" s="219">
        <v>50921.090614742665</v>
      </c>
      <c r="U103" s="93"/>
      <c r="V103" s="91"/>
      <c r="W103" s="98"/>
    </row>
    <row r="104" spans="1:25">
      <c r="A104" s="136" t="s">
        <v>94</v>
      </c>
      <c r="B104" s="56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9">
        <f t="shared" si="3"/>
        <v>2</v>
      </c>
      <c r="O104" s="60"/>
      <c r="P104" s="48"/>
      <c r="Q104" s="90" t="s">
        <v>1781</v>
      </c>
      <c r="R104" s="91">
        <v>40000</v>
      </c>
      <c r="S104" s="92">
        <v>41600</v>
      </c>
      <c r="T104" s="92">
        <v>43200</v>
      </c>
      <c r="U104" s="93"/>
      <c r="V104" s="91"/>
      <c r="W104" s="94">
        <v>500</v>
      </c>
    </row>
    <row r="105" spans="1:25">
      <c r="A105" s="136" t="s">
        <v>95</v>
      </c>
      <c r="B105" s="56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9">
        <f t="shared" si="3"/>
        <v>1</v>
      </c>
      <c r="O105" s="60"/>
      <c r="P105" s="48"/>
      <c r="Q105" s="90" t="s">
        <v>1781</v>
      </c>
      <c r="R105" s="91">
        <v>40000</v>
      </c>
      <c r="S105" s="92">
        <v>41600</v>
      </c>
      <c r="T105" s="92">
        <v>43200</v>
      </c>
      <c r="U105" s="93"/>
      <c r="V105" s="91"/>
      <c r="W105" s="94">
        <v>500</v>
      </c>
    </row>
    <row r="106" spans="1:25">
      <c r="A106" s="136" t="s">
        <v>96</v>
      </c>
      <c r="B106" s="56" t="str">
        <f>IFERROR(HYPERLINK(VLOOKUP(A106,ÜRÜNLER!A:C,3,FALSE),VLOOKUP(A106,ÜRÜNLER!A:B,2,FALSE)),"")</f>
        <v>iQ700 Kurutmalı Çamaşır Makinesi, 10.5kg/6kg/1400devir, i-dos, Beyaz</v>
      </c>
      <c r="C106" s="5">
        <v>1</v>
      </c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9">
        <f t="shared" si="3"/>
        <v>1</v>
      </c>
      <c r="O106" s="60"/>
      <c r="P106" s="48"/>
      <c r="Q106" s="96">
        <v>83123.484182492699</v>
      </c>
      <c r="R106" s="102">
        <v>83123.484182492699</v>
      </c>
      <c r="S106" s="92">
        <v>86448.423549792409</v>
      </c>
      <c r="T106" s="92">
        <v>89773.362917092119</v>
      </c>
      <c r="U106" s="93"/>
      <c r="V106" s="91"/>
      <c r="W106" s="94">
        <v>500</v>
      </c>
      <c r="Y106" s="181"/>
    </row>
    <row r="107" spans="1:25" ht="30">
      <c r="A107" s="178" t="s">
        <v>97</v>
      </c>
      <c r="B107" s="56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>SUM(N76:N106)</f>
        <v>475</v>
      </c>
      <c r="O107" s="60"/>
      <c r="P107" s="67"/>
      <c r="Q107" s="90"/>
      <c r="R107" s="98"/>
      <c r="S107" s="92"/>
      <c r="T107" s="92"/>
      <c r="U107" s="93"/>
      <c r="V107" s="91"/>
      <c r="W107" s="98"/>
    </row>
    <row r="108" spans="1:25">
      <c r="A108" s="138" t="s">
        <v>1311</v>
      </c>
      <c r="B108" s="56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9">
        <f t="shared" ref="N108:N119" si="4">M108+K108+L108+J108+I108+H108+G108+F108+E108+D108+C108</f>
        <v>2</v>
      </c>
      <c r="O108" s="60"/>
      <c r="P108" s="48"/>
      <c r="Q108" s="90" t="s">
        <v>1781</v>
      </c>
      <c r="R108" s="102">
        <v>40000</v>
      </c>
      <c r="S108" s="92">
        <v>41600</v>
      </c>
      <c r="T108" s="92">
        <v>43200</v>
      </c>
      <c r="U108" s="93"/>
      <c r="V108" s="91"/>
      <c r="W108" s="98">
        <v>500</v>
      </c>
    </row>
    <row r="109" spans="1:25">
      <c r="A109" s="130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268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9">
        <f t="shared" si="4"/>
        <v>272</v>
      </c>
      <c r="O109" s="60">
        <v>25</v>
      </c>
      <c r="P109" s="48"/>
      <c r="Q109" s="96">
        <v>40479.183630719002</v>
      </c>
      <c r="R109" s="97">
        <v>38455.22444918305</v>
      </c>
      <c r="S109" s="92">
        <v>39993.433427150369</v>
      </c>
      <c r="T109" s="92">
        <v>41531.642405117695</v>
      </c>
      <c r="U109" s="93"/>
      <c r="V109" s="91"/>
      <c r="W109" s="98"/>
    </row>
    <row r="110" spans="1:25">
      <c r="A110" s="138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37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4"/>
        <v>38</v>
      </c>
      <c r="O110" s="60">
        <v>13</v>
      </c>
      <c r="P110" s="48"/>
      <c r="Q110" s="96">
        <v>44577.292199844233</v>
      </c>
      <c r="R110" s="97">
        <v>42348.427589852021</v>
      </c>
      <c r="S110" s="92">
        <v>44042.364693446099</v>
      </c>
      <c r="T110" s="92">
        <v>45736.301797040185</v>
      </c>
      <c r="U110" s="93"/>
      <c r="V110" s="91"/>
      <c r="W110" s="98"/>
    </row>
    <row r="111" spans="1:25">
      <c r="A111" s="139" t="s">
        <v>1338</v>
      </c>
      <c r="B111" s="56" t="str">
        <f>IFERROR(HYPERLINK(VLOOKUP(A111,ÜRÜNLER!A:C,3,FALSE),VLOOKUP(A111,ÜRÜNLER!A:B,2,FALSE)),"")</f>
        <v>iQ500 Isı Pompalı Kurutma Makinesi, 9kg, Gümüş</v>
      </c>
      <c r="C111" s="5">
        <v>203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4"/>
        <v>206</v>
      </c>
      <c r="O111" s="60"/>
      <c r="P111" s="48"/>
      <c r="Q111" s="96">
        <v>46009.017809057535</v>
      </c>
      <c r="R111" s="117">
        <v>41408.11602815178</v>
      </c>
      <c r="S111" s="92">
        <v>43064.44066927785</v>
      </c>
      <c r="T111" s="92">
        <v>44720.76531040392</v>
      </c>
      <c r="U111" s="93"/>
      <c r="V111" s="91"/>
      <c r="W111" s="98"/>
    </row>
    <row r="112" spans="1:25">
      <c r="A112" s="130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141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4"/>
        <v>144</v>
      </c>
      <c r="O112" s="60"/>
      <c r="P112" s="64"/>
      <c r="Q112" s="96">
        <v>47420.871814843675</v>
      </c>
      <c r="R112" s="117">
        <v>42678.784633359304</v>
      </c>
      <c r="S112" s="92">
        <v>44385.936018693676</v>
      </c>
      <c r="T112" s="92">
        <v>46093.087404028047</v>
      </c>
      <c r="U112" s="93"/>
      <c r="V112" s="91"/>
      <c r="W112" s="101"/>
    </row>
    <row r="113" spans="1:26">
      <c r="A113" s="140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27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4"/>
        <v>31</v>
      </c>
      <c r="O113" s="60"/>
      <c r="P113" s="48"/>
      <c r="Q113" s="90" t="s">
        <v>1781</v>
      </c>
      <c r="R113" s="91">
        <v>42000</v>
      </c>
      <c r="S113" s="92">
        <v>43680</v>
      </c>
      <c r="T113" s="92">
        <v>45360</v>
      </c>
      <c r="U113" s="93"/>
      <c r="V113" s="91"/>
      <c r="W113" s="94">
        <v>1000</v>
      </c>
    </row>
    <row r="114" spans="1:26">
      <c r="A114" s="130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162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4"/>
        <v>165</v>
      </c>
      <c r="O114" s="60"/>
      <c r="P114" s="48"/>
      <c r="Q114" s="96">
        <v>63125.29318633354</v>
      </c>
      <c r="R114" s="117">
        <v>56812.763867700181</v>
      </c>
      <c r="S114" s="92">
        <v>59085.274422408191</v>
      </c>
      <c r="T114" s="92">
        <v>61357.7849771162</v>
      </c>
      <c r="U114" s="93"/>
      <c r="V114" s="91"/>
      <c r="W114" s="98"/>
    </row>
    <row r="115" spans="1:26">
      <c r="A115" s="139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4"/>
        <v>107</v>
      </c>
      <c r="O115" s="60">
        <v>5</v>
      </c>
      <c r="P115" s="48"/>
      <c r="Q115" s="96">
        <v>64173.815005360768</v>
      </c>
      <c r="R115" s="117">
        <v>57756.433504824694</v>
      </c>
      <c r="S115" s="92">
        <v>60066.690845017685</v>
      </c>
      <c r="T115" s="92">
        <v>62376.948185210669</v>
      </c>
      <c r="U115" s="93"/>
      <c r="V115" s="91"/>
      <c r="W115" s="98"/>
    </row>
    <row r="116" spans="1:26">
      <c r="A116" s="134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339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4"/>
        <v>340</v>
      </c>
      <c r="O116" s="60"/>
      <c r="P116" s="48"/>
      <c r="Q116" s="96">
        <v>44577.292199844233</v>
      </c>
      <c r="R116" s="117">
        <v>40119.562979859809</v>
      </c>
      <c r="S116" s="92">
        <v>41724.345499054201</v>
      </c>
      <c r="T116" s="92">
        <v>43329.128018248593</v>
      </c>
      <c r="U116" s="93"/>
      <c r="V116" s="91"/>
      <c r="W116" s="92"/>
    </row>
    <row r="117" spans="1:26">
      <c r="A117" s="135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121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125</v>
      </c>
      <c r="O117" s="60"/>
      <c r="P117" s="48"/>
      <c r="Q117" s="96">
        <v>49356.830997552024</v>
      </c>
      <c r="R117" s="117">
        <v>44421.147897796822</v>
      </c>
      <c r="S117" s="92">
        <v>46197.993813708694</v>
      </c>
      <c r="T117" s="92">
        <v>47974.839729620566</v>
      </c>
      <c r="U117" s="93"/>
      <c r="V117" s="91"/>
      <c r="W117" s="92"/>
    </row>
    <row r="118" spans="1:26">
      <c r="A118" s="134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4"/>
        <v>24</v>
      </c>
      <c r="O118" s="60">
        <v>27</v>
      </c>
      <c r="P118" s="48"/>
      <c r="Q118" s="96">
        <v>48902.5623757086</v>
      </c>
      <c r="R118" s="97">
        <v>46457.434256923167</v>
      </c>
      <c r="S118" s="92">
        <v>48315.73162720009</v>
      </c>
      <c r="T118" s="92">
        <v>50174.02899747702</v>
      </c>
      <c r="U118" s="93"/>
      <c r="V118" s="91"/>
      <c r="W118" s="98"/>
    </row>
    <row r="119" spans="1:26">
      <c r="A119" s="130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>
        <v>1</v>
      </c>
      <c r="J119" s="7">
        <v>1</v>
      </c>
      <c r="K119" s="6"/>
      <c r="L119" s="6"/>
      <c r="M119" s="7">
        <v>1</v>
      </c>
      <c r="N119" s="59">
        <f t="shared" si="4"/>
        <v>4</v>
      </c>
      <c r="O119" s="60"/>
      <c r="P119" s="48"/>
      <c r="Q119" s="90" t="s">
        <v>1781</v>
      </c>
      <c r="R119" s="111">
        <v>35000</v>
      </c>
      <c r="S119" s="92">
        <v>36400</v>
      </c>
      <c r="T119" s="92">
        <v>37800</v>
      </c>
      <c r="U119" s="93"/>
      <c r="V119" s="91"/>
      <c r="W119" s="98">
        <v>500</v>
      </c>
    </row>
    <row r="120" spans="1:26" s="10" customFormat="1" ht="34.5" customHeight="1">
      <c r="A120" s="159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SUM(N108:N119)</f>
        <v>1458</v>
      </c>
      <c r="O120" s="60"/>
      <c r="P120" s="48"/>
      <c r="Q120" s="90"/>
      <c r="R120" s="102"/>
      <c r="S120" s="92"/>
      <c r="T120" s="92"/>
      <c r="U120" s="93"/>
      <c r="V120" s="91"/>
      <c r="W120" s="102"/>
      <c r="X120" s="95"/>
      <c r="Y120" s="65"/>
      <c r="Z120" s="65"/>
    </row>
    <row r="121" spans="1:26">
      <c r="A121" s="130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5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5">M121+K121+L121+J121+I121+H121+G121+F121+E121+D121+C121</f>
        <v>6</v>
      </c>
      <c r="O121" s="60">
        <v>16</v>
      </c>
      <c r="P121" s="48"/>
      <c r="Q121" s="96">
        <v>41657.630418962712</v>
      </c>
      <c r="R121" s="97">
        <v>39574.748898014579</v>
      </c>
      <c r="S121" s="92">
        <v>41157.73885393516</v>
      </c>
      <c r="T121" s="92">
        <v>42740.728809855747</v>
      </c>
      <c r="U121" s="93"/>
      <c r="V121" s="91"/>
      <c r="W121" s="98"/>
    </row>
    <row r="122" spans="1:26">
      <c r="A122" s="131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89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5"/>
        <v>93</v>
      </c>
      <c r="O122" s="60"/>
      <c r="P122" s="48"/>
      <c r="Q122" s="96">
        <v>43389.161947710978</v>
      </c>
      <c r="R122" s="112">
        <v>40351.920611371206</v>
      </c>
      <c r="S122" s="92">
        <v>41965.997435826052</v>
      </c>
      <c r="T122" s="92">
        <v>43580.074260280904</v>
      </c>
      <c r="U122" s="93"/>
      <c r="V122" s="91"/>
      <c r="W122" s="98"/>
    </row>
    <row r="123" spans="1:26">
      <c r="A123" s="130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31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5"/>
        <v>31</v>
      </c>
      <c r="O123" s="60"/>
      <c r="P123" s="48"/>
      <c r="Q123" s="96">
        <v>38654.881582706876</v>
      </c>
      <c r="R123" s="112">
        <v>35949.039871917397</v>
      </c>
      <c r="S123" s="92">
        <v>37387.001466794092</v>
      </c>
      <c r="T123" s="92">
        <v>38824.963061670787</v>
      </c>
      <c r="U123" s="93"/>
      <c r="V123" s="91"/>
      <c r="W123" s="98"/>
    </row>
    <row r="124" spans="1:26">
      <c r="A124" s="130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47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5"/>
        <v>53</v>
      </c>
      <c r="O124" s="60"/>
      <c r="P124" s="132" t="s">
        <v>1543</v>
      </c>
      <c r="Q124" s="96">
        <v>28392.60538072262</v>
      </c>
      <c r="R124" s="102">
        <v>28500</v>
      </c>
      <c r="S124" s="92">
        <v>29640</v>
      </c>
      <c r="T124" s="92">
        <v>30780</v>
      </c>
      <c r="U124" s="93"/>
      <c r="V124" s="91"/>
      <c r="W124" s="98"/>
    </row>
    <row r="125" spans="1:26">
      <c r="A125" s="130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4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5"/>
        <v>9</v>
      </c>
      <c r="O125" s="60">
        <v>10</v>
      </c>
      <c r="P125" s="132" t="s">
        <v>1543</v>
      </c>
      <c r="Q125" s="96">
        <v>27155.374846273568</v>
      </c>
      <c r="R125" s="102">
        <v>28500</v>
      </c>
      <c r="S125" s="92">
        <v>29640</v>
      </c>
      <c r="T125" s="92">
        <v>30780</v>
      </c>
      <c r="U125" s="93">
        <v>783.28182301775098</v>
      </c>
      <c r="V125" s="91"/>
      <c r="W125" s="98"/>
    </row>
    <row r="126" spans="1:26">
      <c r="A126" s="130" t="s">
        <v>1414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5"/>
        <v>1</v>
      </c>
      <c r="O126" s="60"/>
      <c r="P126" s="60"/>
      <c r="Q126" s="90" t="s">
        <v>1781</v>
      </c>
      <c r="R126" s="102">
        <v>30000</v>
      </c>
      <c r="S126" s="92">
        <v>31200</v>
      </c>
      <c r="T126" s="92">
        <v>32400</v>
      </c>
      <c r="U126" s="93"/>
      <c r="V126" s="91"/>
      <c r="W126" s="94">
        <v>1000</v>
      </c>
    </row>
    <row r="127" spans="1:26">
      <c r="A127" s="130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5"/>
        <v>1</v>
      </c>
      <c r="O127" s="60"/>
      <c r="P127" s="48"/>
      <c r="Q127" s="90" t="s">
        <v>1781</v>
      </c>
      <c r="R127" s="100">
        <v>33624</v>
      </c>
      <c r="S127" s="92">
        <v>34968.959999999999</v>
      </c>
      <c r="T127" s="92">
        <v>36313.919999999998</v>
      </c>
      <c r="U127" s="93"/>
      <c r="V127" s="91">
        <v>7623.5399999999991</v>
      </c>
      <c r="W127" s="94">
        <v>500</v>
      </c>
    </row>
    <row r="128" spans="1:26">
      <c r="A128" s="130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/>
      <c r="J128" s="7"/>
      <c r="K128" s="6"/>
      <c r="L128" s="6"/>
      <c r="M128" s="7"/>
      <c r="N128" s="59">
        <f t="shared" si="5"/>
        <v>0</v>
      </c>
      <c r="O128" s="60"/>
      <c r="P128" s="48"/>
      <c r="Q128" s="90" t="s">
        <v>1781</v>
      </c>
      <c r="R128" s="111">
        <v>35377</v>
      </c>
      <c r="S128" s="92">
        <v>36792.080000000002</v>
      </c>
      <c r="T128" s="92">
        <v>38207.160000000003</v>
      </c>
      <c r="U128" s="93"/>
      <c r="V128" s="91">
        <v>7376.8919999999998</v>
      </c>
      <c r="W128" s="94">
        <v>500</v>
      </c>
    </row>
    <row r="129" spans="1:25">
      <c r="A129" s="130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46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5"/>
        <v>49</v>
      </c>
      <c r="O129" s="60">
        <v>1</v>
      </c>
      <c r="P129" s="48"/>
      <c r="Q129" s="96">
        <v>34609.794751972418</v>
      </c>
      <c r="R129" s="112">
        <v>32187.109119334349</v>
      </c>
      <c r="S129" s="92">
        <v>33474.593484107725</v>
      </c>
      <c r="T129" s="92">
        <v>34762.077848881097</v>
      </c>
      <c r="U129" s="93">
        <v>3191.1901008096283</v>
      </c>
      <c r="V129" s="91"/>
      <c r="W129" s="98"/>
    </row>
    <row r="130" spans="1:25">
      <c r="A130" s="135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5"/>
        <v>1</v>
      </c>
      <c r="O130" s="60"/>
      <c r="P130" s="48"/>
      <c r="Q130" s="90" t="s">
        <v>1781</v>
      </c>
      <c r="R130" s="111">
        <v>44765</v>
      </c>
      <c r="S130" s="92">
        <v>46555.6</v>
      </c>
      <c r="T130" s="92">
        <v>48346.2</v>
      </c>
      <c r="U130" s="93"/>
      <c r="V130" s="91"/>
      <c r="W130" s="94">
        <v>1000</v>
      </c>
    </row>
    <row r="131" spans="1:25">
      <c r="A131" s="139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5"/>
        <v>2</v>
      </c>
      <c r="O131" s="60"/>
      <c r="P131" s="48"/>
      <c r="Q131" s="90" t="s">
        <v>1781</v>
      </c>
      <c r="R131" s="111">
        <v>43000</v>
      </c>
      <c r="S131" s="92">
        <v>44720</v>
      </c>
      <c r="T131" s="92">
        <v>46440</v>
      </c>
      <c r="U131" s="93"/>
      <c r="V131" s="91"/>
      <c r="W131" s="98"/>
    </row>
    <row r="132" spans="1:25">
      <c r="A132" s="179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5"/>
        <v>6</v>
      </c>
      <c r="O132" s="60"/>
      <c r="P132" s="48"/>
      <c r="Q132" s="96">
        <v>45858.498018909566</v>
      </c>
      <c r="R132" s="97">
        <v>43565.573117964086</v>
      </c>
      <c r="S132" s="92">
        <v>45308.196042682648</v>
      </c>
      <c r="T132" s="92">
        <v>47050.81896740121</v>
      </c>
      <c r="U132" s="93"/>
      <c r="V132" s="91"/>
      <c r="W132" s="98"/>
    </row>
    <row r="133" spans="1:25">
      <c r="A133" s="131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/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5"/>
        <v>3</v>
      </c>
      <c r="O133" s="60"/>
      <c r="P133" s="48"/>
      <c r="Q133" s="90" t="s">
        <v>1781</v>
      </c>
      <c r="R133" s="111">
        <v>36000</v>
      </c>
      <c r="S133" s="92">
        <v>37440</v>
      </c>
      <c r="T133" s="92">
        <v>38880</v>
      </c>
      <c r="U133" s="93"/>
      <c r="V133" s="91"/>
      <c r="W133" s="94">
        <v>500</v>
      </c>
    </row>
    <row r="134" spans="1:25">
      <c r="A134" s="141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29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5"/>
        <v>33</v>
      </c>
      <c r="O134" s="60"/>
      <c r="P134" s="64"/>
      <c r="Q134" s="96">
        <v>36240.481354441705</v>
      </c>
      <c r="R134" s="97">
        <v>34428.457286719618</v>
      </c>
      <c r="S134" s="92">
        <v>35805.595578188404</v>
      </c>
      <c r="T134" s="92">
        <v>37182.73386965719</v>
      </c>
      <c r="U134" s="93">
        <v>3682.3418195579834</v>
      </c>
      <c r="V134" s="91"/>
      <c r="W134" s="98"/>
    </row>
    <row r="135" spans="1:25">
      <c r="A135" s="220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110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5"/>
        <v>116</v>
      </c>
      <c r="O135" s="60"/>
      <c r="P135" s="64"/>
      <c r="Q135" s="96">
        <v>33948.361891003922</v>
      </c>
      <c r="R135" s="117">
        <v>30553.525701903531</v>
      </c>
      <c r="S135" s="219">
        <v>31775.666729979672</v>
      </c>
      <c r="T135" s="219">
        <v>32997.807758055817</v>
      </c>
      <c r="U135" s="93">
        <v>3750.687472399266</v>
      </c>
      <c r="V135" s="91"/>
      <c r="W135" s="98"/>
    </row>
    <row r="136" spans="1:25">
      <c r="A136" s="141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/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5"/>
        <v>4</v>
      </c>
      <c r="O136" s="60"/>
      <c r="P136" s="48"/>
      <c r="Q136" s="90" t="s">
        <v>1781</v>
      </c>
      <c r="R136" s="92">
        <v>33000</v>
      </c>
      <c r="S136" s="92">
        <v>34320</v>
      </c>
      <c r="T136" s="92">
        <v>35640</v>
      </c>
      <c r="U136" s="93"/>
      <c r="V136" s="91"/>
      <c r="W136" s="98"/>
    </row>
    <row r="137" spans="1:25">
      <c r="A137" s="130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5"/>
        <v>7</v>
      </c>
      <c r="O137" s="60"/>
      <c r="P137" s="48"/>
      <c r="Q137" s="90" t="s">
        <v>1781</v>
      </c>
      <c r="R137" s="92">
        <v>31000</v>
      </c>
      <c r="S137" s="92">
        <v>32240</v>
      </c>
      <c r="T137" s="92">
        <v>33480</v>
      </c>
      <c r="U137" s="93"/>
      <c r="V137" s="91"/>
      <c r="W137" s="98"/>
    </row>
    <row r="138" spans="1:25">
      <c r="A138" s="130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8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5"/>
        <v>13</v>
      </c>
      <c r="O138" s="60"/>
      <c r="P138" s="48"/>
      <c r="Q138" s="96">
        <v>40906.640308709808</v>
      </c>
      <c r="R138" s="97">
        <v>38861.30829327432</v>
      </c>
      <c r="S138" s="92">
        <v>40415.760625005292</v>
      </c>
      <c r="T138" s="92">
        <v>41970.212956736264</v>
      </c>
      <c r="U138" s="93"/>
      <c r="V138" s="91"/>
      <c r="W138" s="98"/>
      <c r="Y138" s="181"/>
    </row>
    <row r="139" spans="1:25">
      <c r="A139" s="130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16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5"/>
        <v>16</v>
      </c>
      <c r="O139" s="60"/>
      <c r="P139" s="48"/>
      <c r="Q139" s="96">
        <v>42591.055237352906</v>
      </c>
      <c r="R139" s="97">
        <v>40461.502475485264</v>
      </c>
      <c r="S139" s="92">
        <v>42079.962574504672</v>
      </c>
      <c r="T139" s="92">
        <v>43698.422673524088</v>
      </c>
      <c r="U139" s="93"/>
      <c r="V139" s="91"/>
      <c r="W139" s="98"/>
      <c r="Y139" s="181"/>
    </row>
    <row r="140" spans="1:25">
      <c r="A140" s="141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5"/>
        <v>6</v>
      </c>
      <c r="O140" s="60">
        <v>16</v>
      </c>
      <c r="P140" s="48"/>
      <c r="Q140" s="96">
        <v>48552.805622770371</v>
      </c>
      <c r="R140" s="97">
        <v>46125.165341631851</v>
      </c>
      <c r="S140" s="92">
        <v>47970.171955297126</v>
      </c>
      <c r="T140" s="92">
        <v>49815.178568962401</v>
      </c>
      <c r="U140" s="93"/>
      <c r="V140" s="91"/>
      <c r="W140" s="98"/>
    </row>
    <row r="141" spans="1:25">
      <c r="A141" s="141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/>
      <c r="N141" s="59">
        <f t="shared" si="5"/>
        <v>1</v>
      </c>
      <c r="O141" s="60"/>
      <c r="P141" s="48"/>
      <c r="Q141" s="90" t="s">
        <v>1781</v>
      </c>
      <c r="R141" s="111">
        <v>49000</v>
      </c>
      <c r="S141" s="92">
        <v>50960</v>
      </c>
      <c r="T141" s="92">
        <v>52920</v>
      </c>
      <c r="U141" s="93"/>
      <c r="V141" s="91"/>
      <c r="W141" s="94">
        <v>1000</v>
      </c>
    </row>
    <row r="142" spans="1:25">
      <c r="A142" s="134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3</v>
      </c>
      <c r="D142" s="5"/>
      <c r="E142" s="6"/>
      <c r="F142" s="6"/>
      <c r="G142" s="6"/>
      <c r="H142" s="6"/>
      <c r="I142" s="7"/>
      <c r="J142" s="7"/>
      <c r="K142" s="6"/>
      <c r="L142" s="6"/>
      <c r="M142" s="7">
        <v>1</v>
      </c>
      <c r="N142" s="59">
        <f t="shared" si="5"/>
        <v>4</v>
      </c>
      <c r="O142" s="60"/>
      <c r="P142" s="48"/>
      <c r="Q142" s="96">
        <v>58104.846500596184</v>
      </c>
      <c r="R142" s="97">
        <v>55199.604175566375</v>
      </c>
      <c r="S142" s="92">
        <v>57407.588342589028</v>
      </c>
      <c r="T142" s="92">
        <v>59615.572509611688</v>
      </c>
      <c r="U142" s="93"/>
      <c r="V142" s="91"/>
      <c r="W142" s="98"/>
    </row>
    <row r="143" spans="1:25">
      <c r="A143" s="130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5"/>
        <v>5</v>
      </c>
      <c r="O143" s="60"/>
      <c r="P143" s="48"/>
      <c r="Q143" s="96">
        <v>38471.959497051292</v>
      </c>
      <c r="R143" s="97">
        <v>36548.361522198727</v>
      </c>
      <c r="S143" s="92">
        <v>38010.295983086675</v>
      </c>
      <c r="T143" s="92">
        <v>39472.230443974622</v>
      </c>
      <c r="U143" s="93"/>
      <c r="V143" s="91"/>
      <c r="W143" s="98"/>
      <c r="Y143" s="181"/>
    </row>
    <row r="144" spans="1:25">
      <c r="A144" s="130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5"/>
        <v>1</v>
      </c>
      <c r="O144" s="60"/>
      <c r="P144" s="48"/>
      <c r="Q144" s="90" t="s">
        <v>1781</v>
      </c>
      <c r="R144" s="111">
        <v>43000</v>
      </c>
      <c r="S144" s="92">
        <v>44720</v>
      </c>
      <c r="T144" s="92">
        <v>46440</v>
      </c>
      <c r="U144" s="93"/>
      <c r="V144" s="91"/>
      <c r="W144" s="113">
        <v>1000</v>
      </c>
    </row>
    <row r="145" spans="1:24">
      <c r="A145" s="130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5"/>
        <v>1</v>
      </c>
      <c r="O145" s="60"/>
      <c r="P145" s="48"/>
      <c r="Q145" s="90" t="s">
        <v>1781</v>
      </c>
      <c r="R145" s="91">
        <v>44000</v>
      </c>
      <c r="S145" s="92">
        <v>45760</v>
      </c>
      <c r="T145" s="92">
        <v>47520</v>
      </c>
      <c r="U145" s="93"/>
      <c r="V145" s="91"/>
      <c r="W145" s="113">
        <v>1000</v>
      </c>
    </row>
    <row r="146" spans="1:24">
      <c r="A146" s="141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21</v>
      </c>
      <c r="D146" s="5"/>
      <c r="E146" s="6"/>
      <c r="F146" s="6"/>
      <c r="G146" s="6">
        <v>1</v>
      </c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5"/>
        <v>27</v>
      </c>
      <c r="O146" s="60"/>
      <c r="P146" s="64"/>
      <c r="Q146" s="96">
        <v>63283.742233012534</v>
      </c>
      <c r="R146" s="117">
        <v>56955.368009711281</v>
      </c>
      <c r="S146" s="219">
        <v>59233.582730099733</v>
      </c>
      <c r="T146" s="219">
        <v>61511.797450488186</v>
      </c>
      <c r="U146" s="93"/>
      <c r="V146" s="91"/>
      <c r="W146" s="101"/>
    </row>
    <row r="147" spans="1:24" s="12" customFormat="1" ht="30">
      <c r="A147" s="142" t="s">
        <v>1546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489</v>
      </c>
      <c r="O147" s="60"/>
      <c r="P147" s="48"/>
      <c r="Q147" s="90"/>
      <c r="R147" s="98"/>
      <c r="S147" s="92"/>
      <c r="T147" s="92"/>
      <c r="U147" s="93"/>
      <c r="V147" s="91"/>
      <c r="W147" s="98"/>
      <c r="X147" s="95"/>
    </row>
    <row r="148" spans="1:24">
      <c r="A148" s="137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17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6">M148+K148+L148+J148+I148+H148+G148+F148+E148+D148+C148</f>
        <v>19</v>
      </c>
      <c r="O148" s="60">
        <v>1</v>
      </c>
      <c r="P148" s="48"/>
      <c r="Q148" s="96">
        <v>46302.450187445836</v>
      </c>
      <c r="R148" s="112">
        <v>43061.278674324625</v>
      </c>
      <c r="S148" s="92">
        <v>44783.729821297609</v>
      </c>
      <c r="T148" s="92">
        <v>46506.180968270593</v>
      </c>
      <c r="U148" s="93"/>
      <c r="V148" s="91"/>
      <c r="W148" s="98"/>
    </row>
    <row r="149" spans="1:24">
      <c r="A149" s="137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6"/>
        <v>11</v>
      </c>
      <c r="O149" s="60"/>
      <c r="P149" s="48"/>
      <c r="Q149" s="96">
        <v>46302.450187445836</v>
      </c>
      <c r="R149" s="112">
        <v>43061.278674324625</v>
      </c>
      <c r="S149" s="92">
        <v>44783.729821297609</v>
      </c>
      <c r="T149" s="92">
        <v>46506.180968270593</v>
      </c>
      <c r="U149" s="93"/>
      <c r="V149" s="91"/>
      <c r="W149" s="98"/>
    </row>
    <row r="150" spans="1:24">
      <c r="A150" s="137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6"/>
        <v>1</v>
      </c>
      <c r="O150" s="60"/>
      <c r="P150" s="48"/>
      <c r="Q150" s="90" t="s">
        <v>1781</v>
      </c>
      <c r="R150" s="91">
        <v>20000</v>
      </c>
      <c r="S150" s="92">
        <v>20800</v>
      </c>
      <c r="T150" s="92">
        <v>21600</v>
      </c>
      <c r="U150" s="93"/>
      <c r="V150" s="91"/>
      <c r="W150" s="94">
        <v>500</v>
      </c>
    </row>
    <row r="151" spans="1:24">
      <c r="A151" s="137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>
        <v>1</v>
      </c>
      <c r="H151" s="6"/>
      <c r="I151" s="7"/>
      <c r="J151" s="7"/>
      <c r="K151" s="6"/>
      <c r="L151" s="6">
        <v>1</v>
      </c>
      <c r="M151" s="7"/>
      <c r="N151" s="59">
        <f t="shared" si="6"/>
        <v>2</v>
      </c>
      <c r="O151" s="60"/>
      <c r="P151" s="48"/>
      <c r="Q151" s="90" t="s">
        <v>1781</v>
      </c>
      <c r="R151" s="91">
        <v>22140</v>
      </c>
      <c r="S151" s="92">
        <v>23025.599999999999</v>
      </c>
      <c r="T151" s="92">
        <v>23911.200000000001</v>
      </c>
      <c r="U151" s="93"/>
      <c r="V151" s="91">
        <v>2139.9119999999998</v>
      </c>
      <c r="W151" s="94">
        <v>500</v>
      </c>
    </row>
    <row r="152" spans="1:24">
      <c r="A152" s="137" t="s">
        <v>1775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6"/>
        <v>0</v>
      </c>
      <c r="O152" s="60">
        <v>13</v>
      </c>
      <c r="P152" s="48"/>
      <c r="Q152" s="96">
        <v>39106.282627840912</v>
      </c>
      <c r="R152" s="102">
        <v>39106.282627840912</v>
      </c>
      <c r="S152" s="92">
        <v>40670.533932954546</v>
      </c>
      <c r="T152" s="92">
        <v>42234.785238068187</v>
      </c>
      <c r="U152" s="93"/>
      <c r="V152" s="91"/>
      <c r="W152" s="98"/>
    </row>
    <row r="153" spans="1:24">
      <c r="A153" s="137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11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6"/>
        <v>14</v>
      </c>
      <c r="O153" s="60"/>
      <c r="P153" s="48"/>
      <c r="Q153" s="96">
        <v>37178.88943312272</v>
      </c>
      <c r="R153" s="112">
        <v>34576.36717280413</v>
      </c>
      <c r="S153" s="92">
        <v>35959.421859716298</v>
      </c>
      <c r="T153" s="92">
        <v>37342.476546628459</v>
      </c>
      <c r="U153" s="93"/>
      <c r="V153" s="91"/>
      <c r="W153" s="98"/>
    </row>
    <row r="154" spans="1:24">
      <c r="A154" s="134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8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6"/>
        <v>12</v>
      </c>
      <c r="O154" s="60"/>
      <c r="P154" s="48"/>
      <c r="Q154" s="96">
        <v>39113.386376596158</v>
      </c>
      <c r="R154" s="97">
        <v>37157.717057766349</v>
      </c>
      <c r="S154" s="92">
        <v>38644.025740077006</v>
      </c>
      <c r="T154" s="92">
        <v>40130.334422387656</v>
      </c>
      <c r="U154" s="93"/>
      <c r="V154" s="91"/>
      <c r="W154" s="98"/>
    </row>
    <row r="155" spans="1:24">
      <c r="A155" s="137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6"/>
        <v>3</v>
      </c>
      <c r="O155" s="60"/>
      <c r="P155" s="48"/>
      <c r="Q155" s="90" t="s">
        <v>1781</v>
      </c>
      <c r="R155" s="111">
        <v>27756.046587678491</v>
      </c>
      <c r="S155" s="92">
        <v>28866.288451185632</v>
      </c>
      <c r="T155" s="92">
        <v>29976.530314692769</v>
      </c>
      <c r="U155" s="93"/>
      <c r="V155" s="91"/>
      <c r="W155" s="98"/>
    </row>
    <row r="156" spans="1:24">
      <c r="A156" s="143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11</v>
      </c>
      <c r="D156" s="5"/>
      <c r="E156" s="6"/>
      <c r="F156" s="6"/>
      <c r="G156" s="6">
        <v>2</v>
      </c>
      <c r="H156" s="6"/>
      <c r="I156" s="7"/>
      <c r="J156" s="7"/>
      <c r="K156" s="6"/>
      <c r="L156" s="6">
        <v>1</v>
      </c>
      <c r="M156" s="7"/>
      <c r="N156" s="59">
        <f t="shared" si="6"/>
        <v>14</v>
      </c>
      <c r="O156" s="60"/>
      <c r="P156" s="48"/>
      <c r="Q156" s="96">
        <v>51145.09185598667</v>
      </c>
      <c r="R156" s="112">
        <v>47564.935426067605</v>
      </c>
      <c r="S156" s="92">
        <v>49467.532843110312</v>
      </c>
      <c r="T156" s="92">
        <v>51370.130260153011</v>
      </c>
      <c r="U156" s="93"/>
      <c r="V156" s="91"/>
      <c r="W156" s="98"/>
    </row>
    <row r="157" spans="1:24">
      <c r="A157" s="137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6"/>
        <v>1</v>
      </c>
      <c r="O157" s="60"/>
      <c r="P157" s="48"/>
      <c r="Q157" s="90" t="s">
        <v>1781</v>
      </c>
      <c r="R157" s="100">
        <v>50000</v>
      </c>
      <c r="S157" s="92">
        <v>52000</v>
      </c>
      <c r="T157" s="92">
        <v>54000</v>
      </c>
      <c r="U157" s="93"/>
      <c r="V157" s="91"/>
      <c r="W157" s="94">
        <v>500</v>
      </c>
    </row>
    <row r="158" spans="1:24">
      <c r="A158" s="143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6"/>
        <v>2</v>
      </c>
      <c r="O158" s="60">
        <v>1</v>
      </c>
      <c r="P158" s="48"/>
      <c r="Q158" s="96">
        <v>79339.839835346269</v>
      </c>
      <c r="R158" s="102">
        <v>79339.839835346269</v>
      </c>
      <c r="S158" s="92">
        <v>82513.433428760123</v>
      </c>
      <c r="T158" s="92">
        <v>85687.027022173977</v>
      </c>
      <c r="U158" s="93"/>
      <c r="V158" s="91"/>
      <c r="W158" s="98"/>
    </row>
    <row r="159" spans="1:24">
      <c r="A159" s="137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4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6"/>
        <v>7</v>
      </c>
      <c r="O159" s="60">
        <v>10</v>
      </c>
      <c r="P159" s="48"/>
      <c r="Q159" s="96">
        <v>38589.565951951226</v>
      </c>
      <c r="R159" s="102">
        <v>38589.565951951226</v>
      </c>
      <c r="S159" s="92">
        <v>40133.148590029276</v>
      </c>
      <c r="T159" s="92">
        <v>41676.731228107325</v>
      </c>
      <c r="U159" s="93"/>
      <c r="V159" s="91"/>
      <c r="W159" s="98"/>
    </row>
    <row r="160" spans="1:24">
      <c r="A160" s="135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6"/>
        <v>1</v>
      </c>
      <c r="O160" s="60"/>
      <c r="P160" s="48"/>
      <c r="Q160" s="90" t="s">
        <v>1781</v>
      </c>
      <c r="R160" s="91">
        <v>42000</v>
      </c>
      <c r="S160" s="92">
        <v>43680</v>
      </c>
      <c r="T160" s="92">
        <v>45360</v>
      </c>
      <c r="U160" s="93"/>
      <c r="V160" s="91"/>
      <c r="W160" s="94">
        <v>500</v>
      </c>
    </row>
    <row r="161" spans="1:24">
      <c r="A161" s="133" t="s">
        <v>1776</v>
      </c>
      <c r="B161" s="56" t="str">
        <f>IFERROR(HYPERLINK(VLOOKUP(A161,ÜRÜNLER!A:C,3,FALSE),VLOOKUP(A161,ÜRÜNLER!A:B,2,FALSE)),"")</f>
        <v>iQ500 Tam Ankastre Bulaşık Makinesi, Üstten Sepetli</v>
      </c>
      <c r="C161" s="5">
        <v>5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6"/>
        <v>5</v>
      </c>
      <c r="O161" s="60"/>
      <c r="P161" s="48"/>
      <c r="Q161" s="96">
        <v>55691.582916666674</v>
      </c>
      <c r="R161" s="102">
        <v>55691.582916666674</v>
      </c>
      <c r="S161" s="92">
        <v>57919.246233333339</v>
      </c>
      <c r="T161" s="92">
        <v>60146.909550000011</v>
      </c>
      <c r="U161" s="93"/>
      <c r="V161" s="91"/>
      <c r="W161" s="98"/>
    </row>
    <row r="162" spans="1:24">
      <c r="A162" s="141" t="s">
        <v>1550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6"/>
        <v>2</v>
      </c>
      <c r="O162" s="60">
        <v>10</v>
      </c>
      <c r="P162" s="48"/>
      <c r="Q162" s="96">
        <v>63630.727610470603</v>
      </c>
      <c r="R162" s="102">
        <v>63630.727610470603</v>
      </c>
      <c r="S162" s="92">
        <v>66175.956714889428</v>
      </c>
      <c r="T162" s="92">
        <v>68721.185819308244</v>
      </c>
      <c r="U162" s="93"/>
      <c r="V162" s="91"/>
      <c r="W162" s="98"/>
    </row>
    <row r="163" spans="1:24">
      <c r="A163" s="134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6"/>
        <v>3</v>
      </c>
      <c r="O163" s="60"/>
      <c r="P163" s="48"/>
      <c r="Q163" s="90" t="s">
        <v>1781</v>
      </c>
      <c r="R163" s="106">
        <v>80000</v>
      </c>
      <c r="S163" s="92">
        <v>83200</v>
      </c>
      <c r="T163" s="92">
        <v>86400</v>
      </c>
      <c r="U163" s="93"/>
      <c r="V163" s="91"/>
      <c r="W163" s="98">
        <v>250</v>
      </c>
    </row>
    <row r="164" spans="1:24">
      <c r="A164" s="134" t="s">
        <v>1501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11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6"/>
        <v>11</v>
      </c>
      <c r="O164" s="60"/>
      <c r="P164" s="48"/>
      <c r="Q164" s="108">
        <v>103804.65752271106</v>
      </c>
      <c r="R164" s="129">
        <v>90310.052044758617</v>
      </c>
      <c r="S164" s="92">
        <v>93922.454126548968</v>
      </c>
      <c r="T164" s="92">
        <v>97534.856208339304</v>
      </c>
      <c r="U164" s="93"/>
      <c r="V164" s="91"/>
      <c r="W164" s="98">
        <v>250</v>
      </c>
    </row>
    <row r="165" spans="1:24">
      <c r="A165" s="134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08">
        <v>121390.24320547108</v>
      </c>
      <c r="R165" s="108">
        <v>109251.21888492398</v>
      </c>
      <c r="S165" s="92">
        <v>113621.26764032093</v>
      </c>
      <c r="T165" s="92">
        <v>117991.31639571789</v>
      </c>
      <c r="U165" s="93"/>
      <c r="V165" s="91"/>
      <c r="W165" s="98">
        <v>250</v>
      </c>
    </row>
    <row r="166" spans="1:24">
      <c r="A166" s="134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>
        <v>1</v>
      </c>
      <c r="G166" s="6"/>
      <c r="H166" s="6"/>
      <c r="I166" s="7"/>
      <c r="J166" s="7"/>
      <c r="K166" s="6"/>
      <c r="L166" s="6">
        <v>1</v>
      </c>
      <c r="M166" s="7"/>
      <c r="N166" s="59">
        <f t="shared" si="6"/>
        <v>2</v>
      </c>
      <c r="O166" s="60"/>
      <c r="P166" s="48"/>
      <c r="Q166" s="90" t="s">
        <v>1781</v>
      </c>
      <c r="R166" s="111">
        <v>50000</v>
      </c>
      <c r="S166" s="92">
        <v>52000</v>
      </c>
      <c r="T166" s="92">
        <v>54000</v>
      </c>
      <c r="U166" s="93"/>
      <c r="V166" s="91"/>
      <c r="W166" s="94">
        <v>500</v>
      </c>
    </row>
    <row r="167" spans="1:24">
      <c r="A167" s="134" t="s">
        <v>1530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1</v>
      </c>
      <c r="O167" s="60">
        <v>2</v>
      </c>
      <c r="P167" s="48"/>
      <c r="Q167" s="96">
        <v>65145.985451647073</v>
      </c>
      <c r="R167" s="102">
        <v>65145.985451647073</v>
      </c>
      <c r="S167" s="92">
        <v>67751.82486971296</v>
      </c>
      <c r="T167" s="92">
        <v>70357.66428777884</v>
      </c>
      <c r="U167" s="93"/>
      <c r="V167" s="91"/>
      <c r="W167" s="91"/>
    </row>
    <row r="168" spans="1:24">
      <c r="A168" s="134" t="s">
        <v>1485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23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23</v>
      </c>
      <c r="O168" s="60"/>
      <c r="P168" s="48"/>
      <c r="Q168" s="90"/>
      <c r="R168" s="114">
        <v>1250</v>
      </c>
      <c r="S168" s="92">
        <v>1300</v>
      </c>
      <c r="T168" s="92">
        <v>1350</v>
      </c>
      <c r="U168" s="93"/>
      <c r="V168" s="91"/>
      <c r="W168" s="98"/>
    </row>
    <row r="169" spans="1:24" s="12" customFormat="1" ht="30">
      <c r="A169" s="142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136</v>
      </c>
      <c r="O169" s="60"/>
      <c r="P169" s="48"/>
      <c r="Q169" s="90"/>
      <c r="R169" s="98"/>
      <c r="S169" s="92"/>
      <c r="T169" s="92"/>
      <c r="U169" s="93"/>
      <c r="V169" s="91"/>
      <c r="W169" s="98"/>
      <c r="X169" s="95"/>
    </row>
    <row r="170" spans="1:24">
      <c r="A170" s="144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8" si="7">M170+K170+L170+J170+I170+H170+G170+F170+E170+D170+C170</f>
        <v>1</v>
      </c>
      <c r="O170" s="60"/>
      <c r="P170" s="48"/>
      <c r="Q170" s="90" t="s">
        <v>1781</v>
      </c>
      <c r="R170" s="91">
        <v>70000</v>
      </c>
      <c r="S170" s="92">
        <v>72800</v>
      </c>
      <c r="T170" s="92">
        <v>75600</v>
      </c>
      <c r="U170" s="93"/>
      <c r="V170" s="91"/>
      <c r="W170" s="94">
        <v>1000</v>
      </c>
    </row>
    <row r="171" spans="1:24">
      <c r="A171" s="144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7"/>
        <v>3</v>
      </c>
      <c r="O171" s="60"/>
      <c r="P171" s="48"/>
      <c r="Q171" s="96">
        <v>87032.234439154243</v>
      </c>
      <c r="R171" s="97">
        <v>82680.622717196529</v>
      </c>
      <c r="S171" s="92">
        <v>85987.847625884388</v>
      </c>
      <c r="T171" s="92">
        <v>89295.072534572246</v>
      </c>
      <c r="U171" s="93"/>
      <c r="V171" s="91"/>
      <c r="W171" s="98">
        <v>250</v>
      </c>
    </row>
    <row r="172" spans="1:24">
      <c r="A172" s="137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2</v>
      </c>
      <c r="O172" s="60"/>
      <c r="P172" s="48"/>
      <c r="Q172" s="108">
        <v>190222.05057268229</v>
      </c>
      <c r="R172" s="108">
        <v>171199.84551541405</v>
      </c>
      <c r="S172" s="92">
        <v>178047.83933603062</v>
      </c>
      <c r="T172" s="92">
        <v>184895.83315664719</v>
      </c>
      <c r="U172" s="93"/>
      <c r="V172" s="91"/>
      <c r="W172" s="98">
        <v>250</v>
      </c>
    </row>
    <row r="173" spans="1:24">
      <c r="A173" s="137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7"/>
        <v>4</v>
      </c>
      <c r="O173" s="60"/>
      <c r="P173" s="48"/>
      <c r="Q173" s="90" t="s">
        <v>1781</v>
      </c>
      <c r="R173" s="91">
        <v>120000</v>
      </c>
      <c r="S173" s="92">
        <v>124800</v>
      </c>
      <c r="T173" s="92">
        <v>129600</v>
      </c>
      <c r="U173" s="93"/>
      <c r="V173" s="91"/>
      <c r="W173" s="98">
        <v>250</v>
      </c>
    </row>
    <row r="174" spans="1:24">
      <c r="A174" s="143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7"/>
        <v>17</v>
      </c>
      <c r="O174" s="60">
        <v>10</v>
      </c>
      <c r="P174" s="47"/>
      <c r="Q174" s="96">
        <v>23753.656291101179</v>
      </c>
      <c r="R174" s="97">
        <v>22565.973476546118</v>
      </c>
      <c r="S174" s="92">
        <v>23468.612415607964</v>
      </c>
      <c r="T174" s="92">
        <v>24371.251354669806</v>
      </c>
      <c r="U174" s="93"/>
      <c r="V174" s="91"/>
      <c r="W174" s="98"/>
    </row>
    <row r="175" spans="1:24">
      <c r="A175" s="145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51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7"/>
        <v>54</v>
      </c>
      <c r="O175" s="60"/>
      <c r="P175" s="47"/>
      <c r="Q175" s="96">
        <v>23753.656291101179</v>
      </c>
      <c r="R175" s="99">
        <v>21378.290661991061</v>
      </c>
      <c r="S175" s="92">
        <v>22233.422288470705</v>
      </c>
      <c r="T175" s="92">
        <v>23088.553914950346</v>
      </c>
      <c r="U175" s="93"/>
      <c r="V175" s="91"/>
      <c r="W175" s="98"/>
    </row>
    <row r="176" spans="1:24">
      <c r="A176" s="137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7"/>
        <v>28</v>
      </c>
      <c r="O176" s="60"/>
      <c r="P176" s="47"/>
      <c r="Q176" s="96">
        <v>23753.656291101179</v>
      </c>
      <c r="R176" s="99">
        <v>21378.290661991061</v>
      </c>
      <c r="S176" s="92">
        <v>22233.422288470705</v>
      </c>
      <c r="T176" s="92">
        <v>23088.553914950346</v>
      </c>
      <c r="U176" s="93"/>
      <c r="V176" s="91"/>
      <c r="W176" s="98"/>
    </row>
    <row r="177" spans="1:23">
      <c r="A177" s="134" t="s">
        <v>1340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>
        <v>1</v>
      </c>
      <c r="G177" s="6"/>
      <c r="H177" s="6"/>
      <c r="I177" s="7"/>
      <c r="J177" s="7"/>
      <c r="K177" s="6"/>
      <c r="L177" s="6">
        <v>1</v>
      </c>
      <c r="M177" s="7"/>
      <c r="N177" s="59">
        <f t="shared" si="7"/>
        <v>2</v>
      </c>
      <c r="O177" s="60"/>
      <c r="P177" s="48"/>
      <c r="Q177" s="90" t="s">
        <v>1781</v>
      </c>
      <c r="R177" s="91">
        <v>17797</v>
      </c>
      <c r="S177" s="92">
        <v>18508.88</v>
      </c>
      <c r="T177" s="92">
        <v>19220.759999999998</v>
      </c>
      <c r="U177" s="93"/>
      <c r="V177" s="91">
        <v>2797.2959999999998</v>
      </c>
      <c r="W177" s="94">
        <v>500</v>
      </c>
    </row>
    <row r="178" spans="1:23">
      <c r="A178" s="145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7"/>
        <v>1</v>
      </c>
      <c r="O178" s="60"/>
      <c r="P178" s="48"/>
      <c r="Q178" s="90" t="s">
        <v>1781</v>
      </c>
      <c r="R178" s="91">
        <v>23000</v>
      </c>
      <c r="S178" s="92">
        <v>23920</v>
      </c>
      <c r="T178" s="92">
        <v>24840</v>
      </c>
      <c r="U178" s="93"/>
      <c r="V178" s="91">
        <v>3040.14</v>
      </c>
      <c r="W178" s="94">
        <v>500</v>
      </c>
    </row>
    <row r="179" spans="1:23">
      <c r="A179" s="143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7"/>
        <v>3</v>
      </c>
      <c r="O179" s="60"/>
      <c r="P179" s="48"/>
      <c r="Q179" s="90" t="s">
        <v>1781</v>
      </c>
      <c r="R179" s="106">
        <v>85000</v>
      </c>
      <c r="S179" s="92">
        <v>88400</v>
      </c>
      <c r="T179" s="92">
        <v>91800</v>
      </c>
      <c r="U179" s="93"/>
      <c r="V179" s="91"/>
      <c r="W179" s="98">
        <v>250</v>
      </c>
    </row>
    <row r="180" spans="1:23">
      <c r="A180" s="134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7"/>
        <v>1</v>
      </c>
      <c r="O180" s="60"/>
      <c r="P180" s="48"/>
      <c r="Q180" s="90" t="s">
        <v>1781</v>
      </c>
      <c r="R180" s="91">
        <v>17423</v>
      </c>
      <c r="S180" s="92">
        <v>18119.919999999998</v>
      </c>
      <c r="T180" s="92">
        <v>18816.84</v>
      </c>
      <c r="U180" s="93"/>
      <c r="V180" s="91">
        <v>1422.5519999999999</v>
      </c>
      <c r="W180" s="94">
        <v>500</v>
      </c>
    </row>
    <row r="181" spans="1:23">
      <c r="A181" s="143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7"/>
        <v>3</v>
      </c>
      <c r="O181" s="60"/>
      <c r="P181" s="48"/>
      <c r="Q181" s="90" t="s">
        <v>1781</v>
      </c>
      <c r="R181" s="91">
        <v>18607</v>
      </c>
      <c r="S181" s="92">
        <v>19351.28</v>
      </c>
      <c r="T181" s="92">
        <v>20095.560000000001</v>
      </c>
      <c r="U181" s="93"/>
      <c r="V181" s="91">
        <v>1606.5839999999998</v>
      </c>
      <c r="W181" s="94">
        <v>500</v>
      </c>
    </row>
    <row r="182" spans="1:23">
      <c r="A182" s="143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7"/>
        <v>11</v>
      </c>
      <c r="O182" s="60">
        <v>3</v>
      </c>
      <c r="P182" s="48"/>
      <c r="Q182" s="96">
        <v>36485.916896663985</v>
      </c>
      <c r="R182" s="97">
        <v>34661.621051830785</v>
      </c>
      <c r="S182" s="92">
        <v>36048.085893904019</v>
      </c>
      <c r="T182" s="92">
        <v>37434.550735977245</v>
      </c>
      <c r="U182" s="93"/>
      <c r="V182" s="91"/>
      <c r="W182" s="98"/>
    </row>
    <row r="183" spans="1:23">
      <c r="A183" s="145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7"/>
        <v>3</v>
      </c>
      <c r="O183" s="60"/>
      <c r="P183" s="48"/>
      <c r="Q183" s="90" t="s">
        <v>1781</v>
      </c>
      <c r="R183" s="91">
        <v>20000</v>
      </c>
      <c r="S183" s="92">
        <v>20800</v>
      </c>
      <c r="T183" s="92">
        <v>21600</v>
      </c>
      <c r="U183" s="93"/>
      <c r="V183" s="91"/>
      <c r="W183" s="94">
        <v>500</v>
      </c>
    </row>
    <row r="184" spans="1:23">
      <c r="A184" s="143" t="s">
        <v>1632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7"/>
        <v>3</v>
      </c>
      <c r="O184" s="60"/>
      <c r="P184" s="48"/>
      <c r="Q184" s="96">
        <v>15307.657304072218</v>
      </c>
      <c r="R184" s="97">
        <v>14542.274438868608</v>
      </c>
      <c r="S184" s="92">
        <v>15123.965416423353</v>
      </c>
      <c r="T184" s="92">
        <v>15705.656393978097</v>
      </c>
      <c r="U184" s="93"/>
      <c r="V184" s="91"/>
      <c r="W184" s="98"/>
    </row>
    <row r="185" spans="1:23">
      <c r="A185" s="143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/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9">
        <f t="shared" si="7"/>
        <v>1</v>
      </c>
      <c r="O185" s="60"/>
      <c r="P185" s="48"/>
      <c r="Q185" s="90" t="s">
        <v>1781</v>
      </c>
      <c r="R185" s="91">
        <v>21000</v>
      </c>
      <c r="S185" s="92">
        <v>21840</v>
      </c>
      <c r="T185" s="92">
        <v>22680</v>
      </c>
      <c r="U185" s="93"/>
      <c r="V185" s="91"/>
      <c r="W185" s="94">
        <v>500</v>
      </c>
    </row>
    <row r="186" spans="1:23">
      <c r="A186" s="134" t="s">
        <v>1342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1</v>
      </c>
      <c r="O186" s="60"/>
      <c r="P186" s="48"/>
      <c r="Q186" s="90" t="s">
        <v>1781</v>
      </c>
      <c r="R186" s="91">
        <v>45000</v>
      </c>
      <c r="S186" s="92">
        <v>46800</v>
      </c>
      <c r="T186" s="92">
        <v>48600</v>
      </c>
      <c r="U186" s="93"/>
      <c r="V186" s="91"/>
      <c r="W186" s="94">
        <v>500</v>
      </c>
    </row>
    <row r="187" spans="1:23">
      <c r="A187" s="137" t="s">
        <v>183</v>
      </c>
      <c r="B187" s="56" t="str">
        <f>IFERROR(HYPERLINK(VLOOKUP(A187,ÜRÜNLER!A:C,3,FALSE),VLOOKUP(A187,ÜRÜNLER!A:B,2,FALSE)),"")</f>
        <v>iQ700 Ankastre Fırın, Arkası Kendini Temizler, Siyah</v>
      </c>
      <c r="C187" s="5">
        <v>1</v>
      </c>
      <c r="D187" s="5"/>
      <c r="E187" s="6"/>
      <c r="F187" s="6"/>
      <c r="G187" s="6"/>
      <c r="H187" s="6"/>
      <c r="I187" s="7">
        <v>1</v>
      </c>
      <c r="J187" s="7">
        <v>1</v>
      </c>
      <c r="K187" s="6">
        <v>1</v>
      </c>
      <c r="L187" s="6">
        <v>1</v>
      </c>
      <c r="M187" s="7"/>
      <c r="N187" s="59">
        <f t="shared" si="7"/>
        <v>5</v>
      </c>
      <c r="O187" s="60">
        <v>2</v>
      </c>
      <c r="P187" s="48"/>
      <c r="Q187" s="96">
        <v>59668.107779510901</v>
      </c>
      <c r="R187" s="112">
        <v>55491.340234945135</v>
      </c>
      <c r="S187" s="92">
        <v>57710.993844342942</v>
      </c>
      <c r="T187" s="92">
        <v>59930.647453740748</v>
      </c>
      <c r="U187" s="93"/>
      <c r="V187" s="91"/>
      <c r="W187" s="94">
        <v>500</v>
      </c>
    </row>
    <row r="188" spans="1:23">
      <c r="A188" s="137" t="s">
        <v>184</v>
      </c>
      <c r="B188" s="56" t="str">
        <f>IFERROR(HYPERLINK(VLOOKUP(A188,ÜRÜNLER!A:C,3,FALSE),VLOOKUP(A188,ÜRÜNLER!A:B,2,FALSE)),"")</f>
        <v>iQ700 Ankastre Fırın, Arkası Kendini Temizler, Beyaz</v>
      </c>
      <c r="C188" s="5">
        <v>3</v>
      </c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4</v>
      </c>
      <c r="O188" s="60"/>
      <c r="P188" s="48"/>
      <c r="Q188" s="90" t="s">
        <v>1781</v>
      </c>
      <c r="R188" s="91">
        <v>55000</v>
      </c>
      <c r="S188" s="92">
        <v>57200</v>
      </c>
      <c r="T188" s="92">
        <v>59400</v>
      </c>
      <c r="U188" s="93"/>
      <c r="V188" s="91"/>
      <c r="W188" s="94">
        <v>500</v>
      </c>
    </row>
    <row r="189" spans="1:23">
      <c r="A189" s="143" t="s">
        <v>185</v>
      </c>
      <c r="B189" s="56" t="str">
        <f>IFERROR(HYPERLINK(VLOOKUP(A189,ÜRÜNLER!A:C,3,FALSE),VLOOKUP(A189,ÜRÜNLER!A:B,2,FALSE)),"")</f>
        <v>iQ700 Ankastre Fırın, Siyah</v>
      </c>
      <c r="C189" s="5">
        <v>2</v>
      </c>
      <c r="D189" s="5"/>
      <c r="E189" s="6"/>
      <c r="F189" s="6">
        <v>2</v>
      </c>
      <c r="G189" s="6"/>
      <c r="H189" s="6"/>
      <c r="I189" s="7"/>
      <c r="J189" s="7">
        <v>1</v>
      </c>
      <c r="K189" s="6"/>
      <c r="L189" s="6"/>
      <c r="M189" s="7">
        <v>1</v>
      </c>
      <c r="N189" s="59">
        <f t="shared" si="7"/>
        <v>6</v>
      </c>
      <c r="O189" s="60">
        <v>5</v>
      </c>
      <c r="P189" s="48"/>
      <c r="Q189" s="96">
        <v>75874.260509748405</v>
      </c>
      <c r="R189" s="112">
        <v>70563.062274066018</v>
      </c>
      <c r="S189" s="92">
        <v>73385.58476502866</v>
      </c>
      <c r="T189" s="92">
        <v>76208.107255991301</v>
      </c>
      <c r="U189" s="93"/>
      <c r="V189" s="91"/>
      <c r="W189" s="98"/>
    </row>
    <row r="190" spans="1:23">
      <c r="A190" s="143" t="s">
        <v>186</v>
      </c>
      <c r="B190" s="56" t="str">
        <f>IFERROR(HYPERLINK(VLOOKUP(A190,ÜRÜNLER!A:C,3,FALSE),VLOOKUP(A190,ÜRÜNLER!A:B,2,FALSE)),"")</f>
        <v>iQ700 Ankastre Fırın, Komple Kendini Temizler, Siyah</v>
      </c>
      <c r="C190" s="5">
        <v>9</v>
      </c>
      <c r="D190" s="5"/>
      <c r="E190" s="6"/>
      <c r="F190" s="6"/>
      <c r="G190" s="6"/>
      <c r="H190" s="6"/>
      <c r="I190" s="7"/>
      <c r="J190" s="7"/>
      <c r="K190" s="6"/>
      <c r="L190" s="6"/>
      <c r="M190" s="7"/>
      <c r="N190" s="59">
        <f t="shared" si="7"/>
        <v>9</v>
      </c>
      <c r="O190" s="60">
        <v>3</v>
      </c>
      <c r="P190" s="48"/>
      <c r="Q190" s="96">
        <v>88231.927917319001</v>
      </c>
      <c r="R190" s="112">
        <v>82055.692963106674</v>
      </c>
      <c r="S190" s="92">
        <v>85337.920681630945</v>
      </c>
      <c r="T190" s="92">
        <v>88620.148400155202</v>
      </c>
      <c r="U190" s="93"/>
      <c r="V190" s="91"/>
      <c r="W190" s="98"/>
    </row>
    <row r="191" spans="1:23">
      <c r="A191" s="143" t="s">
        <v>187</v>
      </c>
      <c r="B191" s="56" t="str">
        <f>IFERROR(HYPERLINK(VLOOKUP(A191,ÜRÜNLER!A:C,3,FALSE),VLOOKUP(A191,ÜRÜNLER!A:B,2,FALSE)),"")</f>
        <v>iQ700 studioLine Ankastre Fırın, 3 Teleskopik Ray, Komple Kendini Temizler, Siyah</v>
      </c>
      <c r="C191" s="5"/>
      <c r="D191" s="5">
        <v>2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9">
        <f t="shared" si="7"/>
        <v>3</v>
      </c>
      <c r="O191" s="60"/>
      <c r="P191" s="48"/>
      <c r="Q191" s="90" t="s">
        <v>1781</v>
      </c>
      <c r="R191" s="91">
        <v>100000</v>
      </c>
      <c r="S191" s="92">
        <v>104000</v>
      </c>
      <c r="T191" s="92">
        <v>108000</v>
      </c>
      <c r="U191" s="93"/>
      <c r="V191" s="91"/>
      <c r="W191" s="94">
        <v>500</v>
      </c>
    </row>
    <row r="192" spans="1:23">
      <c r="A192" s="143" t="s">
        <v>194</v>
      </c>
      <c r="B192" s="56" t="str">
        <f>IFERROR(HYPERLINK(VLOOKUP(A192,ÜRÜNLER!A:C,3,FALSE),VLOOKUP(A192,ÜRÜNLER!A:B,2,FALSE)),"")</f>
        <v>iQ700 studioLine Ankastre Fırın, 1 Teleskopik Ray, Komple Kendini Temizler, Siyah</v>
      </c>
      <c r="C192" s="5"/>
      <c r="D192" s="5">
        <v>3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7"/>
        <v>4</v>
      </c>
      <c r="O192" s="60"/>
      <c r="P192" s="48"/>
      <c r="Q192" s="108">
        <v>140764.31742378484</v>
      </c>
      <c r="R192" s="108">
        <v>126687.88568140636</v>
      </c>
      <c r="S192" s="92">
        <v>131755.40110866263</v>
      </c>
      <c r="T192" s="92">
        <v>136822.91653591886</v>
      </c>
      <c r="U192" s="93"/>
      <c r="V192" s="91"/>
      <c r="W192" s="94">
        <v>500</v>
      </c>
    </row>
    <row r="193" spans="1:23">
      <c r="A193" s="144" t="s">
        <v>1312</v>
      </c>
      <c r="B193" s="56" t="str">
        <f>IFERROR(HYPERLINK(VLOOKUP(A193,ÜRÜNLER!A:C,3,FALSE),VLOOKUP(A193,ÜRÜNLER!A:B,2,FALSE)),"")</f>
        <v>iQ300 Ankastre Fırın, 1 Teleskopik Ray, Arkası Kendini Temizler, Beyaz</v>
      </c>
      <c r="C193" s="5"/>
      <c r="D193" s="5"/>
      <c r="E193" s="6"/>
      <c r="F193" s="6"/>
      <c r="G193" s="6"/>
      <c r="H193" s="6"/>
      <c r="I193" s="7">
        <v>1</v>
      </c>
      <c r="J193" s="7"/>
      <c r="K193" s="6"/>
      <c r="L193" s="6"/>
      <c r="M193" s="7"/>
      <c r="N193" s="59">
        <f t="shared" si="7"/>
        <v>1</v>
      </c>
      <c r="O193" s="60"/>
      <c r="P193" s="48"/>
      <c r="Q193" s="90" t="s">
        <v>1781</v>
      </c>
      <c r="R193" s="91">
        <v>20000</v>
      </c>
      <c r="S193" s="92">
        <v>20800</v>
      </c>
      <c r="T193" s="92">
        <v>21600</v>
      </c>
      <c r="U193" s="93"/>
      <c r="V193" s="91"/>
      <c r="W193" s="94">
        <v>500</v>
      </c>
    </row>
    <row r="194" spans="1:23">
      <c r="A194" s="146" t="s">
        <v>153</v>
      </c>
      <c r="B194" s="56" t="str">
        <f>IFERROR(HYPERLINK(VLOOKUP(A194,ÜRÜNLER!A:C,3,FALSE),VLOOKUP(A194,ÜRÜNLER!A:B,2,FALSE)),"")</f>
        <v>iQ500 Ankastre Fırın, 2 Teleskopik Ray, Komple Kendini Temizler, Siyah</v>
      </c>
      <c r="C194" s="5">
        <v>52</v>
      </c>
      <c r="D194" s="5"/>
      <c r="E194" s="6"/>
      <c r="F194" s="6">
        <v>1</v>
      </c>
      <c r="G194" s="6"/>
      <c r="H194" s="6"/>
      <c r="I194" s="7">
        <v>1</v>
      </c>
      <c r="J194" s="7"/>
      <c r="K194" s="6"/>
      <c r="L194" s="6">
        <v>2</v>
      </c>
      <c r="M194" s="7">
        <v>1</v>
      </c>
      <c r="N194" s="59">
        <f t="shared" si="7"/>
        <v>57</v>
      </c>
      <c r="O194" s="60"/>
      <c r="P194" s="47"/>
      <c r="Q194" s="96">
        <v>35614.703467286046</v>
      </c>
      <c r="R194" s="97">
        <v>33833.968293921745</v>
      </c>
      <c r="S194" s="91">
        <v>35187.327025678613</v>
      </c>
      <c r="T194" s="91">
        <v>36540.685757435487</v>
      </c>
      <c r="U194" s="93"/>
      <c r="V194" s="91"/>
      <c r="W194" s="98"/>
    </row>
    <row r="195" spans="1:23">
      <c r="A195" s="145" t="s">
        <v>155</v>
      </c>
      <c r="B195" s="56" t="str">
        <f>IFERROR(HYPERLINK(VLOOKUP(A195,ÜRÜNLER!A:C,3,FALSE),VLOOKUP(A195,ÜRÜNLER!A:B,2,FALSE)),"")</f>
        <v>iQ500 Ankastre Fırın, 2 Teleskopik Ray, Komple Kendini Temizler, Antrasit</v>
      </c>
      <c r="C195" s="5">
        <v>29</v>
      </c>
      <c r="D195" s="5"/>
      <c r="E195" s="6"/>
      <c r="F195" s="6">
        <v>1</v>
      </c>
      <c r="G195" s="6">
        <v>1</v>
      </c>
      <c r="H195" s="6"/>
      <c r="I195" s="7"/>
      <c r="J195" s="7">
        <v>1</v>
      </c>
      <c r="K195" s="6"/>
      <c r="L195" s="6"/>
      <c r="M195" s="7"/>
      <c r="N195" s="59">
        <f t="shared" si="7"/>
        <v>32</v>
      </c>
      <c r="O195" s="60"/>
      <c r="P195" s="47"/>
      <c r="Q195" s="96">
        <v>35614.703467286046</v>
      </c>
      <c r="R195" s="97">
        <v>33833.968293921745</v>
      </c>
      <c r="S195" s="92">
        <v>35187.327025678613</v>
      </c>
      <c r="T195" s="92">
        <v>36540.685757435487</v>
      </c>
      <c r="U195" s="93"/>
      <c r="V195" s="91"/>
      <c r="W195" s="98"/>
    </row>
    <row r="196" spans="1:23">
      <c r="A196" s="137" t="s">
        <v>154</v>
      </c>
      <c r="B196" s="56" t="str">
        <f>IFERROR(HYPERLINK(VLOOKUP(A196,ÜRÜNLER!A:C,3,FALSE),VLOOKUP(A196,ÜRÜNLER!A:B,2,FALSE)),"")</f>
        <v>iQ500 Ankastre Fırın, 2 Teleskopik Ray, Komple Kendini Temizler, Beyaz</v>
      </c>
      <c r="C196" s="5">
        <v>9</v>
      </c>
      <c r="D196" s="5"/>
      <c r="E196" s="6"/>
      <c r="F196" s="6">
        <v>2</v>
      </c>
      <c r="G196" s="6">
        <v>1</v>
      </c>
      <c r="H196" s="6"/>
      <c r="I196" s="7">
        <v>1</v>
      </c>
      <c r="J196" s="7">
        <v>1</v>
      </c>
      <c r="K196" s="6">
        <v>1</v>
      </c>
      <c r="L196" s="6"/>
      <c r="M196" s="7"/>
      <c r="N196" s="59">
        <f t="shared" si="7"/>
        <v>15</v>
      </c>
      <c r="O196" s="60">
        <v>10</v>
      </c>
      <c r="P196" s="47"/>
      <c r="Q196" s="96">
        <v>35614.703467286046</v>
      </c>
      <c r="R196" s="97">
        <v>33833.968293921745</v>
      </c>
      <c r="S196" s="92">
        <v>35187.327025678613</v>
      </c>
      <c r="T196" s="92">
        <v>36540.685757435487</v>
      </c>
      <c r="U196" s="93"/>
      <c r="V196" s="91"/>
      <c r="W196" s="98"/>
    </row>
    <row r="197" spans="1:23">
      <c r="A197" s="137" t="s">
        <v>195</v>
      </c>
      <c r="B197" s="56" t="str">
        <f>IFERROR(HYPERLINK(VLOOKUP(A197,ÜRÜNLER!A:C,3,FALSE),VLOOKUP(A197,ÜRÜNLER!A:B,2,FALSE)),"")</f>
        <v>iQ700 studioLine Buhar ve Mikrodalga Fonksiyonlu Ankastre Fırın, Komple Kendini Temizler, Siyah</v>
      </c>
      <c r="C197" s="5"/>
      <c r="D197" s="5">
        <v>1</v>
      </c>
      <c r="E197" s="6"/>
      <c r="F197" s="6"/>
      <c r="G197" s="6"/>
      <c r="H197" s="6"/>
      <c r="I197" s="7"/>
      <c r="J197" s="7"/>
      <c r="K197" s="6"/>
      <c r="L197" s="6"/>
      <c r="M197" s="7"/>
      <c r="N197" s="59">
        <f t="shared" si="7"/>
        <v>1</v>
      </c>
      <c r="O197" s="60"/>
      <c r="P197" s="48"/>
      <c r="Q197" s="108">
        <v>243931.80602849839</v>
      </c>
      <c r="R197" s="108">
        <v>219538.62542564856</v>
      </c>
      <c r="S197" s="92">
        <v>228320.17044267448</v>
      </c>
      <c r="T197" s="92">
        <v>237101.71545970044</v>
      </c>
      <c r="U197" s="93"/>
      <c r="V197" s="91"/>
      <c r="W197" s="94">
        <v>500</v>
      </c>
    </row>
    <row r="198" spans="1:23">
      <c r="A198" s="146" t="s">
        <v>152</v>
      </c>
      <c r="B198" s="56" t="str">
        <f>IFERROR(HYPERLINK(VLOOKUP(A198,ÜRÜNLER!A:C,3,FALSE),VLOOKUP(A198,ÜRÜNLER!A:B,2,FALSE)),"")</f>
        <v>iQ300 Buhar Destekli Ankastre Fırın, 1 Teleskopik Ray, Arkası Kendini Temizler, Siyah/Dark Inox</v>
      </c>
      <c r="C198" s="5">
        <v>2</v>
      </c>
      <c r="D198" s="5"/>
      <c r="E198" s="6"/>
      <c r="F198" s="6"/>
      <c r="G198" s="6"/>
      <c r="H198" s="6"/>
      <c r="I198" s="7">
        <v>1</v>
      </c>
      <c r="J198" s="7"/>
      <c r="K198" s="6">
        <v>1</v>
      </c>
      <c r="L198" s="6">
        <v>1</v>
      </c>
      <c r="M198" s="7"/>
      <c r="N198" s="59">
        <f t="shared" si="7"/>
        <v>5</v>
      </c>
      <c r="O198" s="60">
        <v>2</v>
      </c>
      <c r="P198" s="48"/>
      <c r="Q198" s="96">
        <v>40202.335542884808</v>
      </c>
      <c r="R198" s="102">
        <v>40202.335542884808</v>
      </c>
      <c r="S198" s="92">
        <v>41810.4289646002</v>
      </c>
      <c r="T198" s="92">
        <v>43418.522386315592</v>
      </c>
      <c r="U198" s="93"/>
      <c r="V198" s="91"/>
      <c r="W198" s="98"/>
    </row>
    <row r="199" spans="1:23">
      <c r="A199" s="143" t="s">
        <v>190</v>
      </c>
      <c r="B199" s="56" t="str">
        <f>IFERROR(HYPERLINK(VLOOKUP(A199,ÜRÜNLER!A:C,3,FALSE),VLOOKUP(A199,ÜRÜNLER!A:B,2,FALSE)),"")</f>
        <v>iQ500 Buhar Destekli Ankastre Fırın, Arkası Kendini Temizler, Siyah/Inox</v>
      </c>
      <c r="C199" s="5">
        <v>3</v>
      </c>
      <c r="D199" s="5"/>
      <c r="E199" s="6"/>
      <c r="F199" s="6"/>
      <c r="G199" s="6"/>
      <c r="H199" s="6"/>
      <c r="I199" s="7">
        <v>1</v>
      </c>
      <c r="J199" s="7">
        <v>1</v>
      </c>
      <c r="K199" s="6">
        <v>1</v>
      </c>
      <c r="L199" s="6"/>
      <c r="M199" s="7">
        <v>1</v>
      </c>
      <c r="N199" s="59">
        <f t="shared" si="7"/>
        <v>7</v>
      </c>
      <c r="O199" s="60"/>
      <c r="P199" s="48"/>
      <c r="Q199" s="90" t="s">
        <v>1781</v>
      </c>
      <c r="R199" s="91">
        <v>26144</v>
      </c>
      <c r="S199" s="92">
        <v>27189.759999999998</v>
      </c>
      <c r="T199" s="92">
        <v>28235.52</v>
      </c>
      <c r="U199" s="93"/>
      <c r="V199" s="91"/>
      <c r="W199" s="98"/>
    </row>
    <row r="200" spans="1:23">
      <c r="A200" s="137" t="s">
        <v>191</v>
      </c>
      <c r="B200" s="56" t="str">
        <f>IFERROR(HYPERLINK(VLOOKUP(A200,ÜRÜNLER!A:C,3,FALSE),VLOOKUP(A200,ÜRÜNLER!A:B,2,FALSE)),"")</f>
        <v>iQ700 Ankastre Fırın, Siyah</v>
      </c>
      <c r="C200" s="5">
        <v>1</v>
      </c>
      <c r="D200" s="5"/>
      <c r="E200" s="6"/>
      <c r="F200" s="6"/>
      <c r="G200" s="6"/>
      <c r="H200" s="6"/>
      <c r="I200" s="7">
        <v>1</v>
      </c>
      <c r="J200" s="7">
        <v>1</v>
      </c>
      <c r="K200" s="6"/>
      <c r="L200" s="6">
        <v>1</v>
      </c>
      <c r="M200" s="7">
        <v>1</v>
      </c>
      <c r="N200" s="59">
        <f t="shared" si="7"/>
        <v>5</v>
      </c>
      <c r="O200" s="60">
        <v>11</v>
      </c>
      <c r="P200" s="48"/>
      <c r="Q200" s="96">
        <v>90714.373227096235</v>
      </c>
      <c r="R200" s="102">
        <v>90714.373227096235</v>
      </c>
      <c r="S200" s="92">
        <v>94342.948156180079</v>
      </c>
      <c r="T200" s="92">
        <v>97971.523085263936</v>
      </c>
      <c r="U200" s="93"/>
      <c r="V200" s="91"/>
      <c r="W200" s="101"/>
    </row>
    <row r="201" spans="1:23">
      <c r="A201" s="144" t="s">
        <v>192</v>
      </c>
      <c r="B201" s="56" t="str">
        <f>IFERROR(HYPERLINK(VLOOKUP(A201,ÜRÜNLER!A:C,3,FALSE),VLOOKUP(A201,ÜRÜNLER!A:B,2,FALSE)),"")</f>
        <v>iQ700 Buhar Destekli Ankastre Fırın, Arkası Kendini Temizler, Siyah/Inox</v>
      </c>
      <c r="C201" s="5"/>
      <c r="D201" s="5"/>
      <c r="E201" s="6"/>
      <c r="F201" s="6"/>
      <c r="G201" s="6"/>
      <c r="H201" s="6"/>
      <c r="I201" s="7">
        <v>1</v>
      </c>
      <c r="J201" s="7"/>
      <c r="K201" s="6"/>
      <c r="L201" s="6"/>
      <c r="M201" s="7"/>
      <c r="N201" s="59">
        <f t="shared" si="7"/>
        <v>1</v>
      </c>
      <c r="O201" s="60"/>
      <c r="P201" s="48"/>
      <c r="Q201" s="90" t="s">
        <v>1781</v>
      </c>
      <c r="R201" s="91">
        <v>66000</v>
      </c>
      <c r="S201" s="92">
        <v>68640</v>
      </c>
      <c r="T201" s="92">
        <v>71280</v>
      </c>
      <c r="U201" s="93"/>
      <c r="V201" s="91"/>
      <c r="W201" s="98"/>
    </row>
    <row r="202" spans="1:23">
      <c r="A202" s="146" t="s">
        <v>157</v>
      </c>
      <c r="B202" s="56" t="str">
        <f>IFERROR(HYPERLINK(VLOOKUP(A202,ÜRÜNLER!A:C,3,FALSE),VLOOKUP(A202,ÜRÜNLER!A:B,2,FALSE)),"")</f>
        <v>iQ300 Buhar Destekli Ankastre Fırın, Siyah</v>
      </c>
      <c r="C202" s="5">
        <v>26</v>
      </c>
      <c r="D202" s="5"/>
      <c r="E202" s="6"/>
      <c r="F202" s="6">
        <v>1</v>
      </c>
      <c r="G202" s="6"/>
      <c r="H202" s="6"/>
      <c r="I202" s="7">
        <v>1</v>
      </c>
      <c r="J202" s="7">
        <v>1</v>
      </c>
      <c r="K202" s="6"/>
      <c r="L202" s="6"/>
      <c r="M202" s="7"/>
      <c r="N202" s="59">
        <f t="shared" si="7"/>
        <v>29</v>
      </c>
      <c r="O202" s="60"/>
      <c r="P202" s="47"/>
      <c r="Q202" s="96">
        <v>26434.340759742558</v>
      </c>
      <c r="R202" s="97">
        <v>25112.62372175543</v>
      </c>
      <c r="S202" s="92">
        <v>26117.128670625647</v>
      </c>
      <c r="T202" s="92">
        <v>27121.633619495864</v>
      </c>
      <c r="U202" s="93"/>
      <c r="V202" s="91"/>
      <c r="W202" s="98"/>
    </row>
    <row r="203" spans="1:23">
      <c r="A203" s="145" t="s">
        <v>158</v>
      </c>
      <c r="B203" s="56" t="str">
        <f>IFERROR(HYPERLINK(VLOOKUP(A203,ÜRÜNLER!A:C,3,FALSE),VLOOKUP(A203,ÜRÜNLER!A:B,2,FALSE)),"")</f>
        <v>iQ300 Buhar Destekli Ankastre Fırın, Antrasit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/>
      <c r="M203" s="7">
        <v>1</v>
      </c>
      <c r="N203" s="59">
        <f t="shared" si="7"/>
        <v>3</v>
      </c>
      <c r="O203" s="60">
        <v>11</v>
      </c>
      <c r="P203" s="47"/>
      <c r="Q203" s="96">
        <v>26434.340759742558</v>
      </c>
      <c r="R203" s="102">
        <v>26434.340759742558</v>
      </c>
      <c r="S203" s="92">
        <v>27491.71439013226</v>
      </c>
      <c r="T203" s="92">
        <v>28549.088020521962</v>
      </c>
      <c r="U203" s="93"/>
      <c r="V203" s="91"/>
      <c r="W203" s="98"/>
    </row>
    <row r="204" spans="1:23">
      <c r="A204" s="137" t="s">
        <v>156</v>
      </c>
      <c r="B204" s="56" t="str">
        <f>IFERROR(HYPERLINK(VLOOKUP(A204,ÜRÜNLER!A:C,3,FALSE),VLOOKUP(A204,ÜRÜNLER!A:B,2,FALSE)),"")</f>
        <v>iQ300 Buhar Destekli Ankastre Fırın, Beyaz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>
        <v>1</v>
      </c>
      <c r="L204" s="6"/>
      <c r="M204" s="7"/>
      <c r="N204" s="59">
        <f t="shared" si="7"/>
        <v>3</v>
      </c>
      <c r="O204" s="60">
        <v>30</v>
      </c>
      <c r="P204" s="47"/>
      <c r="Q204" s="96">
        <v>26434.340759742558</v>
      </c>
      <c r="R204" s="97">
        <v>25112.62372175543</v>
      </c>
      <c r="S204" s="92">
        <v>26117.128670625647</v>
      </c>
      <c r="T204" s="92">
        <v>27121.633619495864</v>
      </c>
      <c r="U204" s="93"/>
      <c r="V204" s="91"/>
      <c r="W204" s="98"/>
    </row>
    <row r="205" spans="1:23">
      <c r="A205" s="146" t="s">
        <v>159</v>
      </c>
      <c r="B205" s="56" t="str">
        <f>IFERROR(HYPERLINK(VLOOKUP(A205,ÜRÜNLER!A:C,3,FALSE),VLOOKUP(A205,ÜRÜNLER!A:B,2,FALSE)),"")</f>
        <v>iQ300 Ankastre Fırın, 1 Teleskopik Ray, Arkası Kendini Temizler, Siyah</v>
      </c>
      <c r="C205" s="5">
        <v>21</v>
      </c>
      <c r="D205" s="5"/>
      <c r="E205" s="6"/>
      <c r="F205" s="6"/>
      <c r="G205" s="6"/>
      <c r="H205" s="6"/>
      <c r="I205" s="7"/>
      <c r="J205" s="7"/>
      <c r="K205" s="6"/>
      <c r="L205" s="6"/>
      <c r="M205" s="7">
        <v>1</v>
      </c>
      <c r="N205" s="59">
        <f t="shared" si="7"/>
        <v>22</v>
      </c>
      <c r="O205" s="60"/>
      <c r="P205" s="47"/>
      <c r="Q205" s="96">
        <v>29770.112012281617</v>
      </c>
      <c r="R205" s="99">
        <v>26793.100811053457</v>
      </c>
      <c r="S205" s="92">
        <v>27864.824843495597</v>
      </c>
      <c r="T205" s="92">
        <v>28936.548875937733</v>
      </c>
      <c r="U205" s="93"/>
      <c r="V205" s="91"/>
      <c r="W205" s="98"/>
    </row>
    <row r="206" spans="1:23">
      <c r="A206" s="146" t="s">
        <v>160</v>
      </c>
      <c r="B206" s="56" t="str">
        <f>IFERROR(HYPERLINK(VLOOKUP(A206,ÜRÜNLER!A:C,3,FALSE),VLOOKUP(A206,ÜRÜNLER!A:B,2,FALSE)),"")</f>
        <v>iQ300 Buhar Destekli Ankastre Fırın, 1 Teleskopik Ray, Arkası Kendini Temizler, darkSteel Line</v>
      </c>
      <c r="C206" s="5">
        <v>14</v>
      </c>
      <c r="D206" s="5"/>
      <c r="E206" s="6"/>
      <c r="F206" s="6"/>
      <c r="G206" s="6"/>
      <c r="H206" s="6"/>
      <c r="I206" s="7">
        <v>1</v>
      </c>
      <c r="J206" s="7"/>
      <c r="K206" s="6"/>
      <c r="L206" s="6"/>
      <c r="M206" s="7"/>
      <c r="N206" s="59">
        <f t="shared" si="7"/>
        <v>15</v>
      </c>
      <c r="O206" s="60">
        <v>10</v>
      </c>
      <c r="P206" s="47"/>
      <c r="Q206" s="96">
        <v>29770.112012281617</v>
      </c>
      <c r="R206" s="97">
        <v>28281.606411667537</v>
      </c>
      <c r="S206" s="92">
        <v>29412.870668134237</v>
      </c>
      <c r="T206" s="92">
        <v>30544.134924600941</v>
      </c>
      <c r="U206" s="93"/>
      <c r="V206" s="91"/>
      <c r="W206" s="98"/>
    </row>
    <row r="207" spans="1:23">
      <c r="A207" s="145" t="s">
        <v>161</v>
      </c>
      <c r="B207" s="56" t="str">
        <f>IFERROR(HYPERLINK(VLOOKUP(A207,ÜRÜNLER!A:C,3,FALSE),VLOOKUP(A207,ÜRÜNLER!A:B,2,FALSE)),"")</f>
        <v>iQ300 Ankastre Fırın, 1 Teleskopik Ray, Arkası Kendini Temizler, Antrasit</v>
      </c>
      <c r="C207" s="5">
        <v>6</v>
      </c>
      <c r="D207" s="5"/>
      <c r="E207" s="6"/>
      <c r="F207" s="6"/>
      <c r="G207" s="6">
        <v>1</v>
      </c>
      <c r="H207" s="6"/>
      <c r="I207" s="7"/>
      <c r="J207" s="7">
        <v>1</v>
      </c>
      <c r="K207" s="6">
        <v>1</v>
      </c>
      <c r="L207" s="6"/>
      <c r="M207" s="7">
        <v>1</v>
      </c>
      <c r="N207" s="59">
        <f t="shared" si="7"/>
        <v>10</v>
      </c>
      <c r="O207" s="60">
        <v>10</v>
      </c>
      <c r="P207" s="47"/>
      <c r="Q207" s="96">
        <v>29489.261898958212</v>
      </c>
      <c r="R207" s="97">
        <v>28014.798804010301</v>
      </c>
      <c r="S207" s="92">
        <v>29135.390756170713</v>
      </c>
      <c r="T207" s="92">
        <v>30255.982708331125</v>
      </c>
      <c r="U207" s="93"/>
      <c r="V207" s="91"/>
      <c r="W207" s="98"/>
    </row>
    <row r="208" spans="1:23">
      <c r="A208" s="137" t="s">
        <v>162</v>
      </c>
      <c r="B208" s="56" t="str">
        <f>IFERROR(HYPERLINK(VLOOKUP(A208,ÜRÜNLER!A:C,3,FALSE),VLOOKUP(A208,ÜRÜNLER!A:B,2,FALSE)),"")</f>
        <v>iQ300 Buhar Destekli Ankastre Fırın, 1 Teleskopik Ray, Arkası Kendini Temizler, Beyaz</v>
      </c>
      <c r="C208" s="5"/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/>
      <c r="N208" s="59">
        <f t="shared" si="7"/>
        <v>2</v>
      </c>
      <c r="O208" s="60">
        <v>25</v>
      </c>
      <c r="P208" s="47"/>
      <c r="Q208" s="96">
        <v>29770.112012281617</v>
      </c>
      <c r="R208" s="102">
        <v>29770.112012281617</v>
      </c>
      <c r="S208" s="92">
        <v>30960.916492772882</v>
      </c>
      <c r="T208" s="92">
        <v>32151.720973264146</v>
      </c>
      <c r="U208" s="93"/>
      <c r="V208" s="91"/>
      <c r="W208" s="98"/>
    </row>
    <row r="209" spans="1:25" s="12" customFormat="1" ht="40.5" customHeight="1">
      <c r="A209" s="147" t="s">
        <v>202</v>
      </c>
      <c r="B209" s="56" t="str">
        <f>IFERROR(HYPERLINK(VLOOKUP(A209,ÜRÜNLER!A:C,3,FALSE),VLOOKUP(A209,ÜRÜNLER!A:B,2,FALSE)),"")</f>
        <v/>
      </c>
      <c r="C209" s="5"/>
      <c r="D209" s="5"/>
      <c r="E209" s="6"/>
      <c r="F209" s="6"/>
      <c r="G209" s="6"/>
      <c r="H209" s="6"/>
      <c r="I209" s="7"/>
      <c r="J209" s="7"/>
      <c r="K209" s="6"/>
      <c r="L209" s="6"/>
      <c r="M209" s="7"/>
      <c r="N209" s="59">
        <f>SUM(N170:N208)</f>
        <v>377</v>
      </c>
      <c r="O209" s="60"/>
      <c r="P209" s="48"/>
      <c r="Q209" s="90"/>
      <c r="R209" s="90"/>
      <c r="S209" s="92"/>
      <c r="T209" s="92"/>
      <c r="U209" s="93"/>
      <c r="V209" s="91"/>
      <c r="W209" s="101"/>
      <c r="X209" s="95"/>
    </row>
    <row r="210" spans="1:25">
      <c r="A210" s="135" t="s">
        <v>203</v>
      </c>
      <c r="B210" s="56" t="str">
        <f>IFERROR(HYPERLINK(VLOOKUP(A210,ÜRÜNLER!A:C,3,FALSE),VLOOKUP(A210,ÜRÜNLER!A:B,2,FALSE)),"")</f>
        <v>iQ500 Ankastre Mikrodalga, Izgaralı, Siyah</v>
      </c>
      <c r="C210" s="5"/>
      <c r="D210" s="5"/>
      <c r="E210" s="6"/>
      <c r="F210" s="6">
        <v>1</v>
      </c>
      <c r="G210" s="6"/>
      <c r="H210" s="6"/>
      <c r="I210" s="7"/>
      <c r="J210" s="7"/>
      <c r="K210" s="6"/>
      <c r="L210" s="6"/>
      <c r="M210" s="7"/>
      <c r="N210" s="59">
        <f t="shared" ref="N210:N226" si="8">M210+K210+L210+J210+I210+H210+G210+F210+E210+D210+C210</f>
        <v>1</v>
      </c>
      <c r="O210" s="60">
        <v>20</v>
      </c>
      <c r="P210" s="48"/>
      <c r="Q210" s="96">
        <v>21982.812937232065</v>
      </c>
      <c r="R210" s="102">
        <v>21982.812937232065</v>
      </c>
      <c r="S210" s="92">
        <v>22862.125454721347</v>
      </c>
      <c r="T210" s="92">
        <v>23741.437972210631</v>
      </c>
      <c r="U210" s="93"/>
      <c r="V210" s="91"/>
      <c r="W210" s="101"/>
      <c r="X210" s="95">
        <v>20700</v>
      </c>
      <c r="Y210" s="181"/>
    </row>
    <row r="211" spans="1:25">
      <c r="A211" s="133" t="s">
        <v>204</v>
      </c>
      <c r="B211" s="56" t="str">
        <f>IFERROR(HYPERLINK(VLOOKUP(A211,ÜRÜNLER!A:C,3,FALSE),VLOOKUP(A211,ÜRÜNLER!A:B,2,FALSE)),"")</f>
        <v>iQ500 Ankastre Mikrodalga, Izgara Fonksiyonlu, 20L, Siyah/darkSteel</v>
      </c>
      <c r="C211" s="5">
        <v>2</v>
      </c>
      <c r="D211" s="5"/>
      <c r="E211" s="6"/>
      <c r="F211" s="6">
        <v>1</v>
      </c>
      <c r="G211" s="6"/>
      <c r="H211" s="6"/>
      <c r="I211" s="7"/>
      <c r="J211" s="7"/>
      <c r="K211" s="6"/>
      <c r="L211" s="6">
        <v>1</v>
      </c>
      <c r="M211" s="7"/>
      <c r="N211" s="59">
        <f t="shared" si="8"/>
        <v>4</v>
      </c>
      <c r="O211" s="60">
        <v>15</v>
      </c>
      <c r="P211" s="48"/>
      <c r="Q211" s="96">
        <v>21982.812937232065</v>
      </c>
      <c r="R211" s="102">
        <v>21982.812937232065</v>
      </c>
      <c r="S211" s="92">
        <v>22862.125454721347</v>
      </c>
      <c r="T211" s="92">
        <v>23741.437972210631</v>
      </c>
      <c r="U211" s="93"/>
      <c r="V211" s="91"/>
      <c r="W211" s="98"/>
    </row>
    <row r="212" spans="1:25">
      <c r="A212" s="145" t="s">
        <v>205</v>
      </c>
      <c r="B212" s="56" t="str">
        <f>IFERROR(HYPERLINK(VLOOKUP(A212,ÜRÜNLER!A:C,3,FALSE),VLOOKUP(A212,ÜRÜNLER!A:B,2,FALSE)),"")</f>
        <v>iQ500 Ankastre Mikrodalga, Izgaralı, Anstrasit</v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si="8"/>
        <v>0</v>
      </c>
      <c r="O212" s="60">
        <v>31</v>
      </c>
      <c r="P212" s="48"/>
      <c r="Q212" s="96">
        <v>21982.812937232065</v>
      </c>
      <c r="R212" s="102">
        <v>21982.812937232065</v>
      </c>
      <c r="S212" s="92">
        <v>22862.125454721347</v>
      </c>
      <c r="T212" s="92">
        <v>23741.437972210631</v>
      </c>
      <c r="U212" s="93"/>
      <c r="V212" s="91"/>
      <c r="W212" s="98"/>
    </row>
    <row r="213" spans="1:25">
      <c r="A213" s="134" t="s">
        <v>206</v>
      </c>
      <c r="B213" s="56" t="str">
        <f>IFERROR(HYPERLINK(VLOOKUP(A213,ÜRÜNLER!A:C,3,FALSE),VLOOKUP(A213,ÜRÜNLER!A:B,2,FALSE)),"")</f>
        <v>iQ500 Ankastre Mikrodalga, Izgara Fonksiyonlu, 20L, Beyaz</v>
      </c>
      <c r="C213" s="5">
        <v>1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8"/>
        <v>1</v>
      </c>
      <c r="O213" s="60">
        <v>6</v>
      </c>
      <c r="P213" s="48"/>
      <c r="Q213" s="96">
        <v>21982.812937232065</v>
      </c>
      <c r="R213" s="102">
        <v>21982.812937232065</v>
      </c>
      <c r="S213" s="92">
        <v>22862.125454721347</v>
      </c>
      <c r="T213" s="92">
        <v>23741.437972210631</v>
      </c>
      <c r="U213" s="93"/>
      <c r="V213" s="91"/>
      <c r="W213" s="98"/>
    </row>
    <row r="214" spans="1:25">
      <c r="A214" s="135" t="s">
        <v>209</v>
      </c>
      <c r="B214" s="56" t="str">
        <f>IFERROR(HYPERLINK(VLOOKUP(A214,ÜRÜNLER!A:C,3,FALSE),VLOOKUP(A214,ÜRÜNLER!A:B,2,FALSE)),"")</f>
        <v>iQ500 Ankastre Mikrodalga, Izgaralı, Siyah</v>
      </c>
      <c r="C214" s="5">
        <v>1</v>
      </c>
      <c r="D214" s="5"/>
      <c r="E214" s="6"/>
      <c r="F214" s="6"/>
      <c r="G214" s="6"/>
      <c r="H214" s="6"/>
      <c r="I214" s="7">
        <v>1</v>
      </c>
      <c r="J214" s="7"/>
      <c r="K214" s="6">
        <v>1</v>
      </c>
      <c r="L214" s="6"/>
      <c r="M214" s="7"/>
      <c r="N214" s="59">
        <f t="shared" si="8"/>
        <v>3</v>
      </c>
      <c r="O214" s="60">
        <v>25</v>
      </c>
      <c r="P214" s="48"/>
      <c r="Q214" s="96">
        <v>25108.834056139687</v>
      </c>
      <c r="R214" s="102">
        <v>25108.834056139687</v>
      </c>
      <c r="S214" s="92">
        <v>26113.187418385274</v>
      </c>
      <c r="T214" s="92">
        <v>27117.540780630861</v>
      </c>
      <c r="U214" s="93"/>
      <c r="V214" s="91"/>
      <c r="W214" s="101"/>
    </row>
    <row r="215" spans="1:25">
      <c r="A215" s="134" t="s">
        <v>210</v>
      </c>
      <c r="B215" s="56" t="str">
        <f>IFERROR(HYPERLINK(VLOOKUP(A215,ÜRÜNLER!A:C,3,FALSE),VLOOKUP(A215,ÜRÜNLER!A:B,2,FALSE)),"")</f>
        <v>iQ700 Ankastre Mikrodalga, Izgara Fonksiyonlu, 21L, Siyah</v>
      </c>
      <c r="C215" s="5">
        <v>1</v>
      </c>
      <c r="D215" s="5"/>
      <c r="E215" s="6"/>
      <c r="F215" s="6">
        <v>1</v>
      </c>
      <c r="G215" s="6">
        <v>2</v>
      </c>
      <c r="H215" s="6"/>
      <c r="I215" s="7"/>
      <c r="J215" s="7"/>
      <c r="K215" s="6"/>
      <c r="L215" s="6"/>
      <c r="M215" s="7"/>
      <c r="N215" s="59">
        <f t="shared" si="8"/>
        <v>4</v>
      </c>
      <c r="O215" s="60">
        <v>5</v>
      </c>
      <c r="P215" s="48"/>
      <c r="Q215" s="96">
        <v>35710.442070253615</v>
      </c>
      <c r="R215" s="102">
        <v>35710.442070253615</v>
      </c>
      <c r="S215" s="92">
        <v>37138.859753063763</v>
      </c>
      <c r="T215" s="92">
        <v>38567.277435873904</v>
      </c>
      <c r="U215" s="93"/>
      <c r="V215" s="91"/>
      <c r="W215" s="101"/>
    </row>
    <row r="216" spans="1:25">
      <c r="A216" s="135" t="s">
        <v>211</v>
      </c>
      <c r="B216" s="56" t="str">
        <f>IFERROR(HYPERLINK(VLOOKUP(A216,ÜRÜNLER!A:C,3,FALSE),VLOOKUP(A216,ÜRÜNLER!A:B,2,FALSE)),"")</f>
        <v>iQ300 Ankastre Mikrodalga, 20L, Siyah</v>
      </c>
      <c r="C216" s="5">
        <v>5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5</v>
      </c>
      <c r="O216" s="60">
        <v>10</v>
      </c>
      <c r="P216" s="48"/>
      <c r="Q216" s="96">
        <v>18657.18356292399</v>
      </c>
      <c r="R216" s="102">
        <v>18657.18356292399</v>
      </c>
      <c r="S216" s="92">
        <v>19403.47090544095</v>
      </c>
      <c r="T216" s="92">
        <v>20149.75824795791</v>
      </c>
      <c r="U216" s="93"/>
      <c r="V216" s="91"/>
      <c r="W216" s="101"/>
    </row>
    <row r="217" spans="1:25">
      <c r="A217" s="134" t="s">
        <v>212</v>
      </c>
      <c r="B217" s="56" t="str">
        <f>IFERROR(HYPERLINK(VLOOKUP(A217,ÜRÜNLER!A:C,3,FALSE),VLOOKUP(A217,ÜRÜNLER!A:B,2,FALSE)),"")</f>
        <v>iQ300 Ankastre Mikrodalga, 20L, Siyah/Inox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/>
      <c r="M217" s="7"/>
      <c r="N217" s="59">
        <f t="shared" si="8"/>
        <v>2</v>
      </c>
      <c r="O217" s="60"/>
      <c r="P217" s="48"/>
      <c r="Q217" s="90" t="s">
        <v>1781</v>
      </c>
      <c r="R217" s="91">
        <v>19500</v>
      </c>
      <c r="S217" s="92">
        <v>20280</v>
      </c>
      <c r="T217" s="92">
        <v>21060</v>
      </c>
      <c r="U217" s="93"/>
      <c r="V217" s="91"/>
      <c r="W217" s="113">
        <v>500</v>
      </c>
    </row>
    <row r="218" spans="1:25">
      <c r="A218" s="134" t="s">
        <v>214</v>
      </c>
      <c r="B218" s="56" t="str">
        <f>IFERROR(HYPERLINK(VLOOKUP(A218,ÜRÜNLER!A:C,3,FALSE),VLOOKUP(A218,ÜRÜNLER!A:B,2,FALSE)),"")</f>
        <v>iQ500 Ankastre Mikrodalga, 20L, Beyaz/Inox</v>
      </c>
      <c r="C218" s="5"/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>
        <v>2</v>
      </c>
      <c r="M218" s="7"/>
      <c r="N218" s="59">
        <f t="shared" si="8"/>
        <v>4</v>
      </c>
      <c r="O218" s="60"/>
      <c r="P218" s="48"/>
      <c r="Q218" s="90" t="s">
        <v>1781</v>
      </c>
      <c r="R218" s="91">
        <v>19500</v>
      </c>
      <c r="S218" s="92">
        <v>20280</v>
      </c>
      <c r="T218" s="92">
        <v>21060</v>
      </c>
      <c r="U218" s="93"/>
      <c r="V218" s="91"/>
      <c r="W218" s="113">
        <v>500</v>
      </c>
    </row>
    <row r="219" spans="1:25">
      <c r="A219" s="145" t="s">
        <v>215</v>
      </c>
      <c r="B219" s="56" t="str">
        <f>IFERROR(HYPERLINK(VLOOKUP(A219,ÜRÜNLER!A:C,3,FALSE),VLOOKUP(A219,ÜRÜNLER!A:B,2,FALSE)),"")</f>
        <v>iQ300 Ankastre Mikrodalga, 20L, Antrasit/Titanyum Gri</v>
      </c>
      <c r="C219" s="5">
        <v>11</v>
      </c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13</v>
      </c>
      <c r="O219" s="60"/>
      <c r="P219" s="48"/>
      <c r="Q219" s="96">
        <v>17498.604610194066</v>
      </c>
      <c r="R219" s="102">
        <v>17498.604610194066</v>
      </c>
      <c r="S219" s="92">
        <v>18198.548794601829</v>
      </c>
      <c r="T219" s="92">
        <v>18898.492979009592</v>
      </c>
      <c r="U219" s="93"/>
      <c r="V219" s="91"/>
      <c r="W219" s="101"/>
      <c r="X219" s="95">
        <v>16400</v>
      </c>
      <c r="Y219" s="181"/>
    </row>
    <row r="220" spans="1:25">
      <c r="A220" s="134" t="s">
        <v>216</v>
      </c>
      <c r="B220" s="56" t="str">
        <f>IFERROR(HYPERLINK(VLOOKUP(A220,ÜRÜNLER!A:C,3,FALSE),VLOOKUP(A220,ÜRÜNLER!A:B,2,FALSE)),"")</f>
        <v>iQ300 Ankastre Mikrodalga, Inox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>
        <v>1</v>
      </c>
      <c r="L220" s="6"/>
      <c r="M220" s="7">
        <v>1</v>
      </c>
      <c r="N220" s="59">
        <f t="shared" si="8"/>
        <v>13</v>
      </c>
      <c r="O220" s="60"/>
      <c r="P220" s="48"/>
      <c r="Q220" s="96">
        <v>17748.639744541822</v>
      </c>
      <c r="R220" s="102">
        <v>17748.639744541822</v>
      </c>
      <c r="S220" s="92">
        <v>18458.585334323496</v>
      </c>
      <c r="T220" s="92">
        <v>19168.530924105169</v>
      </c>
      <c r="U220" s="93"/>
      <c r="V220" s="91"/>
      <c r="W220" s="98"/>
      <c r="X220" s="95">
        <v>16400</v>
      </c>
      <c r="Y220" s="181"/>
    </row>
    <row r="221" spans="1:25">
      <c r="A221" s="134" t="s">
        <v>217</v>
      </c>
      <c r="B221" s="56" t="str">
        <f>IFERROR(HYPERLINK(VLOOKUP(A221,ÜRÜNLER!A:C,3,FALSE),VLOOKUP(A221,ÜRÜNLER!A:B,2,FALSE)),"")</f>
        <v>iQ300 Ankastre Mikrodalga, 20L, Beyaz</v>
      </c>
      <c r="C221" s="5">
        <v>9</v>
      </c>
      <c r="D221" s="5"/>
      <c r="E221" s="6"/>
      <c r="F221" s="6">
        <v>1</v>
      </c>
      <c r="G221" s="6"/>
      <c r="H221" s="6"/>
      <c r="I221" s="7">
        <v>1</v>
      </c>
      <c r="J221" s="7"/>
      <c r="K221" s="6"/>
      <c r="L221" s="6"/>
      <c r="M221" s="7"/>
      <c r="N221" s="59">
        <f t="shared" si="8"/>
        <v>11</v>
      </c>
      <c r="O221" s="60"/>
      <c r="P221" s="48"/>
      <c r="Q221" s="96">
        <v>17748.639744541822</v>
      </c>
      <c r="R221" s="102">
        <v>17748.639744541822</v>
      </c>
      <c r="S221" s="92">
        <v>18458.585334323496</v>
      </c>
      <c r="T221" s="92">
        <v>19168.530924105169</v>
      </c>
      <c r="U221" s="93"/>
      <c r="V221" s="91"/>
      <c r="W221" s="98"/>
      <c r="X221" s="95">
        <v>16400</v>
      </c>
      <c r="Y221" s="181"/>
    </row>
    <row r="222" spans="1:25">
      <c r="A222" s="134" t="s">
        <v>218</v>
      </c>
      <c r="B222" s="56" t="str">
        <f>IFERROR(HYPERLINK(VLOOKUP(A222,ÜRÜNLER!A:C,3,FALSE),VLOOKUP(A222,ÜRÜNLER!A:B,2,FALSE)),"")</f>
        <v>iQ700 studioLine Ankastre Mikrodalga, 21L, Siyah</v>
      </c>
      <c r="C222" s="5"/>
      <c r="D222" s="5">
        <v>2</v>
      </c>
      <c r="E222" s="6"/>
      <c r="F222" s="6"/>
      <c r="G222" s="6"/>
      <c r="H222" s="6">
        <v>1</v>
      </c>
      <c r="I222" s="7"/>
      <c r="J222" s="7"/>
      <c r="K222" s="6"/>
      <c r="L222" s="6"/>
      <c r="M222" s="7"/>
      <c r="N222" s="59">
        <f t="shared" si="8"/>
        <v>3</v>
      </c>
      <c r="O222" s="60"/>
      <c r="P222" s="48"/>
      <c r="Q222" s="90" t="s">
        <v>1781</v>
      </c>
      <c r="R222" s="106">
        <v>45000</v>
      </c>
      <c r="S222" s="92">
        <v>46800</v>
      </c>
      <c r="T222" s="92">
        <v>48600</v>
      </c>
      <c r="U222" s="93"/>
      <c r="V222" s="91"/>
      <c r="W222" s="94">
        <v>500</v>
      </c>
    </row>
    <row r="223" spans="1:25">
      <c r="A223" s="135" t="s">
        <v>219</v>
      </c>
      <c r="B223" s="56" t="str">
        <f>IFERROR(HYPERLINK(VLOOKUP(A223,ÜRÜNLER!A:C,3,FALSE),VLOOKUP(A223,ÜRÜNLER!A:B,2,FALSE)),"")</f>
        <v>iQ700 studioLine Ankastre Mikrodalga, 21L, Siyah</v>
      </c>
      <c r="C223" s="5"/>
      <c r="D223" s="5">
        <v>3</v>
      </c>
      <c r="E223" s="6"/>
      <c r="F223" s="6"/>
      <c r="G223" s="6"/>
      <c r="H223" s="6"/>
      <c r="I223" s="7"/>
      <c r="J223" s="7"/>
      <c r="K223" s="6"/>
      <c r="L223" s="6"/>
      <c r="M223" s="7"/>
      <c r="N223" s="59">
        <f t="shared" si="8"/>
        <v>3</v>
      </c>
      <c r="O223" s="60"/>
      <c r="P223" s="48"/>
      <c r="Q223" s="108">
        <v>55076.061557332032</v>
      </c>
      <c r="R223" s="106">
        <v>49568.455401598825</v>
      </c>
      <c r="S223" s="92">
        <v>51551.193617662779</v>
      </c>
      <c r="T223" s="92">
        <v>53533.931833726732</v>
      </c>
      <c r="U223" s="93"/>
      <c r="V223" s="91"/>
      <c r="W223" s="94">
        <v>500</v>
      </c>
    </row>
    <row r="224" spans="1:25">
      <c r="A224" s="136" t="s">
        <v>220</v>
      </c>
      <c r="B224" s="56" t="str">
        <f>IFERROR(HYPERLINK(VLOOKUP(A224,ÜRÜNLER!A:C,3,FALSE),VLOOKUP(A224,ÜRÜNLER!A:B,2,FALSE)),"")</f>
        <v>iQ300 Solo Mikrodalga, 20L, Siyah</v>
      </c>
      <c r="C224" s="5">
        <v>5</v>
      </c>
      <c r="D224" s="5"/>
      <c r="E224" s="6"/>
      <c r="F224" s="6">
        <v>2</v>
      </c>
      <c r="G224" s="6"/>
      <c r="H224" s="6"/>
      <c r="I224" s="7">
        <v>1</v>
      </c>
      <c r="J224" s="7">
        <v>1</v>
      </c>
      <c r="K224" s="6"/>
      <c r="L224" s="6">
        <v>1</v>
      </c>
      <c r="M224" s="7">
        <v>1</v>
      </c>
      <c r="N224" s="59">
        <f t="shared" si="8"/>
        <v>11</v>
      </c>
      <c r="O224" s="60"/>
      <c r="P224" s="48"/>
      <c r="Q224" s="96">
        <v>7890.8475199693648</v>
      </c>
      <c r="R224" s="102">
        <v>7890.8475199693648</v>
      </c>
      <c r="S224" s="92">
        <v>8206.4814207681393</v>
      </c>
      <c r="T224" s="92">
        <v>8522.1153215669146</v>
      </c>
      <c r="U224" s="93"/>
      <c r="V224" s="91"/>
      <c r="W224" s="101"/>
    </row>
    <row r="225" spans="1:25">
      <c r="A225" s="136" t="s">
        <v>221</v>
      </c>
      <c r="B225" s="56" t="str">
        <f>IFERROR(HYPERLINK(VLOOKUP(A225,ÜRÜNLER!A:C,3,FALSE),VLOOKUP(A225,ÜRÜNLER!A:B,2,FALSE)),"")</f>
        <v>iQ300 Solo Mikrodalga, 20L, Beyaz</v>
      </c>
      <c r="C225" s="5">
        <v>10</v>
      </c>
      <c r="D225" s="5"/>
      <c r="E225" s="6"/>
      <c r="F225" s="6">
        <v>1</v>
      </c>
      <c r="G225" s="6"/>
      <c r="H225" s="6"/>
      <c r="I225" s="7">
        <v>1</v>
      </c>
      <c r="J225" s="7">
        <v>1</v>
      </c>
      <c r="K225" s="6">
        <v>1</v>
      </c>
      <c r="L225" s="6"/>
      <c r="M225" s="7">
        <v>1</v>
      </c>
      <c r="N225" s="59">
        <f t="shared" si="8"/>
        <v>15</v>
      </c>
      <c r="O225" s="60">
        <v>1</v>
      </c>
      <c r="P225" s="48"/>
      <c r="Q225" s="96">
        <v>7320.948454753433</v>
      </c>
      <c r="R225" s="102">
        <v>7320.948454753433</v>
      </c>
      <c r="S225" s="92">
        <v>7613.7863929435707</v>
      </c>
      <c r="T225" s="92">
        <v>7906.6243311337075</v>
      </c>
      <c r="U225" s="93"/>
      <c r="V225" s="91"/>
      <c r="W225" s="101"/>
    </row>
    <row r="226" spans="1:25">
      <c r="A226" s="136" t="s">
        <v>222</v>
      </c>
      <c r="B226" s="56" t="str">
        <f>IFERROR(HYPERLINK(VLOOKUP(A226,ÜRÜNLER!A:C,3,FALSE),VLOOKUP(A226,ÜRÜNLER!A:B,2,FALSE)),"")</f>
        <v>iQ300 Solo Mikrodalga, 20L, Siyah/Inox</v>
      </c>
      <c r="C226" s="5">
        <v>6</v>
      </c>
      <c r="D226" s="5"/>
      <c r="E226" s="6"/>
      <c r="F226" s="6">
        <v>1</v>
      </c>
      <c r="G226" s="6"/>
      <c r="H226" s="6"/>
      <c r="I226" s="7">
        <v>1</v>
      </c>
      <c r="J226" s="7"/>
      <c r="K226" s="6"/>
      <c r="L226" s="6"/>
      <c r="M226" s="7">
        <v>1</v>
      </c>
      <c r="N226" s="59">
        <f t="shared" si="8"/>
        <v>9</v>
      </c>
      <c r="O226" s="60"/>
      <c r="P226" s="48"/>
      <c r="Q226" s="96">
        <v>8744.2953162644753</v>
      </c>
      <c r="R226" s="102">
        <v>8744.2953162644753</v>
      </c>
      <c r="S226" s="92">
        <v>9094.0671289150541</v>
      </c>
      <c r="T226" s="92">
        <v>9443.8389415656329</v>
      </c>
      <c r="U226" s="93"/>
      <c r="V226" s="91"/>
      <c r="W226" s="101"/>
    </row>
    <row r="227" spans="1:25" ht="35.25" customHeight="1">
      <c r="A227" s="142" t="s">
        <v>223</v>
      </c>
      <c r="B227" s="56" t="str">
        <f>IFERROR(HYPERLINK(VLOOKUP(A227,ÜRÜNLER!A:C,3,FALSE),VLOOKUP(A227,ÜRÜNLER!A:B,2,FALSE)),"")</f>
        <v/>
      </c>
      <c r="C227" s="5"/>
      <c r="D227" s="5"/>
      <c r="E227" s="6"/>
      <c r="F227" s="6"/>
      <c r="G227" s="6"/>
      <c r="H227" s="6"/>
      <c r="I227" s="7"/>
      <c r="J227" s="7"/>
      <c r="K227" s="6"/>
      <c r="L227" s="6"/>
      <c r="M227" s="7"/>
      <c r="N227" s="59">
        <f>SUM(N210:N226)</f>
        <v>102</v>
      </c>
      <c r="O227" s="60"/>
      <c r="P227" s="48"/>
      <c r="Q227" s="90"/>
      <c r="R227" s="90"/>
      <c r="S227" s="92"/>
      <c r="T227" s="92"/>
      <c r="U227" s="93"/>
      <c r="V227" s="91"/>
      <c r="W227" s="101"/>
    </row>
    <row r="228" spans="1:25">
      <c r="A228" s="137" t="s">
        <v>227</v>
      </c>
      <c r="B228" s="56" t="str">
        <f>IFERROR(HYPERLINK(VLOOKUP(A228,ÜRÜNLER!A:C,3,FALSE),VLOOKUP(A228,ÜRÜNLER!A:B,2,FALSE)),"")</f>
        <v>iQ100 Eğimli Davlumbaz, 59cm, 360m3, Beyaz Cam</v>
      </c>
      <c r="C228" s="5"/>
      <c r="D228" s="5"/>
      <c r="E228" s="6"/>
      <c r="F228" s="6">
        <v>1</v>
      </c>
      <c r="G228" s="6"/>
      <c r="H228" s="6"/>
      <c r="I228" s="7"/>
      <c r="J228" s="7"/>
      <c r="K228" s="6"/>
      <c r="L228" s="6"/>
      <c r="M228" s="7"/>
      <c r="N228" s="59">
        <f t="shared" ref="N228:N277" si="9">M228+K228+L228+J228+I228+H228+G228+F228+E228+D228+C228</f>
        <v>1</v>
      </c>
      <c r="O228" s="60"/>
      <c r="P228" s="132" t="s">
        <v>1543</v>
      </c>
      <c r="Q228" s="96">
        <v>9949.9104171655872</v>
      </c>
      <c r="R228" s="91">
        <v>9949.9104171655872</v>
      </c>
      <c r="S228" s="92">
        <v>10347.90683385221</v>
      </c>
      <c r="T228" s="92">
        <v>10745.903250538835</v>
      </c>
      <c r="U228" s="93"/>
      <c r="V228" s="91"/>
      <c r="W228" s="101"/>
    </row>
    <row r="229" spans="1:25">
      <c r="A229" s="137" t="s">
        <v>228</v>
      </c>
      <c r="B229" s="56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>
        <v>1</v>
      </c>
      <c r="N229" s="59">
        <f t="shared" si="9"/>
        <v>1</v>
      </c>
      <c r="O229" s="60"/>
      <c r="P229" s="132" t="s">
        <v>1543</v>
      </c>
      <c r="Q229" s="96">
        <v>9949.9104171655872</v>
      </c>
      <c r="R229" s="91">
        <v>9949.9104171655872</v>
      </c>
      <c r="S229" s="92">
        <v>10347.90683385221</v>
      </c>
      <c r="T229" s="92">
        <v>10745.903250538835</v>
      </c>
      <c r="U229" s="93"/>
      <c r="V229" s="91"/>
      <c r="W229" s="101"/>
    </row>
    <row r="230" spans="1:25">
      <c r="A230" s="137" t="s">
        <v>229</v>
      </c>
      <c r="B230" s="56" t="str">
        <f>IFERROR(HYPERLINK(VLOOKUP(A230,ÜRÜNLER!A:C,3,FALSE),VLOOKUP(A230,ÜRÜNLER!A:B,2,FALSE)),"")</f>
        <v>iQ100 Eğimli Davlumbaz, 59cm, 360m3, Siyah Cam</v>
      </c>
      <c r="C230" s="5"/>
      <c r="D230" s="5"/>
      <c r="E230" s="6"/>
      <c r="F230" s="6"/>
      <c r="G230" s="6"/>
      <c r="H230" s="6"/>
      <c r="I230" s="7"/>
      <c r="J230" s="7">
        <v>1</v>
      </c>
      <c r="K230" s="6"/>
      <c r="L230" s="6">
        <v>1</v>
      </c>
      <c r="M230" s="7"/>
      <c r="N230" s="59">
        <f t="shared" si="9"/>
        <v>2</v>
      </c>
      <c r="O230" s="60"/>
      <c r="P230" s="132" t="s">
        <v>1543</v>
      </c>
      <c r="Q230" s="96">
        <v>9949.9104171655872</v>
      </c>
      <c r="R230" s="91">
        <v>9949.9104171655872</v>
      </c>
      <c r="S230" s="92">
        <v>10347.90683385221</v>
      </c>
      <c r="T230" s="92">
        <v>10745.903250538835</v>
      </c>
      <c r="U230" s="93"/>
      <c r="V230" s="91"/>
      <c r="W230" s="101"/>
    </row>
    <row r="231" spans="1:25">
      <c r="A231" s="134" t="s">
        <v>236</v>
      </c>
      <c r="B231" s="56" t="str">
        <f>IFERROR(HYPERLINK(VLOOKUP(A231,ÜRÜNLER!A:C,3,FALSE),VLOOKUP(A231,ÜRÜNLER!A:B,2,FALSE)),"")</f>
        <v>iQ100 Eğimli Davlumbaz, 60cm, 400m3, Beyaz Cam</v>
      </c>
      <c r="C231" s="5">
        <v>5</v>
      </c>
      <c r="D231" s="5"/>
      <c r="E231" s="6"/>
      <c r="F231" s="6"/>
      <c r="G231" s="6"/>
      <c r="H231" s="6"/>
      <c r="I231" s="7">
        <v>1</v>
      </c>
      <c r="J231" s="7"/>
      <c r="K231" s="6"/>
      <c r="L231" s="6"/>
      <c r="M231" s="7"/>
      <c r="N231" s="59">
        <f t="shared" si="9"/>
        <v>6</v>
      </c>
      <c r="O231" s="60">
        <v>15</v>
      </c>
      <c r="P231" s="48"/>
      <c r="Q231" s="96">
        <v>15453.423870263241</v>
      </c>
      <c r="R231" s="102">
        <v>15453.423870263241</v>
      </c>
      <c r="S231" s="92">
        <v>16071.560825073771</v>
      </c>
      <c r="T231" s="92">
        <v>16689.6977798843</v>
      </c>
      <c r="U231" s="93"/>
      <c r="V231" s="91"/>
      <c r="W231" s="101"/>
    </row>
    <row r="232" spans="1:25">
      <c r="A232" s="134" t="s">
        <v>237</v>
      </c>
      <c r="B232" s="56" t="str">
        <f>IFERROR(HYPERLINK(VLOOKUP(A232,ÜRÜNLER!A:C,3,FALSE),VLOOKUP(A232,ÜRÜNLER!A:B,2,FALSE)),"")</f>
        <v>iQ100 Eğimli Davlumbaz, 60cm, 400m3,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/>
      <c r="M232" s="7"/>
      <c r="N232" s="59">
        <f t="shared" si="9"/>
        <v>1</v>
      </c>
      <c r="O232" s="60">
        <v>20</v>
      </c>
      <c r="P232" s="132" t="s">
        <v>1837</v>
      </c>
      <c r="Q232" s="96">
        <v>15453.423870263241</v>
      </c>
      <c r="R232" s="102">
        <v>16226.095063776404</v>
      </c>
      <c r="S232" s="92">
        <v>16875.138866327459</v>
      </c>
      <c r="T232" s="92">
        <v>17524.182668878515</v>
      </c>
      <c r="V232" s="91"/>
      <c r="W232" s="101"/>
      <c r="Y232" s="115" t="s">
        <v>1838</v>
      </c>
    </row>
    <row r="233" spans="1:25">
      <c r="A233" s="145" t="s">
        <v>238</v>
      </c>
      <c r="B233" s="56" t="str">
        <f>IFERROR(HYPERLINK(VLOOKUP(A233,ÜRÜNLER!A:C,3,FALSE),VLOOKUP(A233,ÜRÜNLER!A:B,2,FALSE)),"")</f>
        <v>iQ100 Eğimli Davlumbaz, 60cm, 400m3, Antrasit Gri Cam</v>
      </c>
      <c r="C233" s="5"/>
      <c r="D233" s="5"/>
      <c r="E233" s="6"/>
      <c r="F233" s="6">
        <v>1</v>
      </c>
      <c r="G233" s="6"/>
      <c r="H233" s="6"/>
      <c r="I233" s="7">
        <v>1</v>
      </c>
      <c r="J233" s="7"/>
      <c r="K233" s="6">
        <v>1</v>
      </c>
      <c r="L233" s="6"/>
      <c r="M233" s="7">
        <v>1</v>
      </c>
      <c r="N233" s="59">
        <f t="shared" si="9"/>
        <v>4</v>
      </c>
      <c r="O233" s="60">
        <v>26</v>
      </c>
      <c r="P233" s="132" t="s">
        <v>1837</v>
      </c>
      <c r="Q233" s="96">
        <v>15453.423870263241</v>
      </c>
      <c r="R233" s="102">
        <v>16226.095063776404</v>
      </c>
      <c r="S233" s="92">
        <v>16875.138866327459</v>
      </c>
      <c r="T233" s="92">
        <v>17524.182668878515</v>
      </c>
      <c r="V233" s="91"/>
      <c r="W233" s="101"/>
      <c r="Y233" s="115" t="s">
        <v>1838</v>
      </c>
    </row>
    <row r="234" spans="1:25">
      <c r="A234" s="137" t="s">
        <v>224</v>
      </c>
      <c r="B234" s="56" t="str">
        <f>IFERROR(HYPERLINK(VLOOKUP(A234,ÜRÜNLER!A:C,3,FALSE),VLOOKUP(A234,ÜRÜNLER!A:B,2,FALSE)),"")</f>
        <v>iQ100 Düz Davlumbaz, 60cm, 380m3, Beyaz</v>
      </c>
      <c r="C234" s="5">
        <v>1</v>
      </c>
      <c r="D234" s="5"/>
      <c r="E234" s="6"/>
      <c r="F234" s="6"/>
      <c r="G234" s="6"/>
      <c r="H234" s="6"/>
      <c r="I234" s="7">
        <v>1</v>
      </c>
      <c r="J234" s="7"/>
      <c r="K234" s="6"/>
      <c r="L234" s="6">
        <v>1</v>
      </c>
      <c r="M234" s="7"/>
      <c r="N234" s="59">
        <f t="shared" si="9"/>
        <v>3</v>
      </c>
      <c r="O234" s="60"/>
      <c r="P234" s="48"/>
      <c r="Q234" s="90" t="s">
        <v>1781</v>
      </c>
      <c r="R234" s="91">
        <v>8000</v>
      </c>
      <c r="S234" s="92">
        <v>8320</v>
      </c>
      <c r="T234" s="92">
        <v>8640</v>
      </c>
      <c r="V234" s="91"/>
      <c r="W234" s="94">
        <v>500</v>
      </c>
      <c r="Y234" s="93"/>
    </row>
    <row r="235" spans="1:25">
      <c r="A235" s="137" t="s">
        <v>225</v>
      </c>
      <c r="B235" s="56" t="str">
        <f>IFERROR(HYPERLINK(VLOOKUP(A235,ÜRÜNLER!A:C,3,FALSE),VLOOKUP(A235,ÜRÜNLER!A:B,2,FALSE)),"")</f>
        <v>iQ100 Düz Davlumbaz, 60cm, 380m3, Inox</v>
      </c>
      <c r="C235" s="5">
        <v>3</v>
      </c>
      <c r="D235" s="5"/>
      <c r="E235" s="6"/>
      <c r="F235" s="6"/>
      <c r="G235" s="6"/>
      <c r="H235" s="6"/>
      <c r="I235" s="7"/>
      <c r="J235" s="7"/>
      <c r="K235" s="6">
        <v>1</v>
      </c>
      <c r="L235" s="6"/>
      <c r="M235" s="7"/>
      <c r="N235" s="59">
        <f t="shared" si="9"/>
        <v>4</v>
      </c>
      <c r="O235" s="60"/>
      <c r="P235" s="148" t="s">
        <v>1544</v>
      </c>
      <c r="Q235" s="90" t="s">
        <v>1781</v>
      </c>
      <c r="R235" s="91">
        <v>9000</v>
      </c>
      <c r="S235" s="92">
        <v>9360</v>
      </c>
      <c r="T235" s="92">
        <v>9720</v>
      </c>
      <c r="V235" s="91"/>
      <c r="W235" s="98">
        <v>250</v>
      </c>
      <c r="Y235" s="93"/>
    </row>
    <row r="236" spans="1:25">
      <c r="A236" s="137" t="s">
        <v>226</v>
      </c>
      <c r="B236" s="56" t="str">
        <f>IFERROR(HYPERLINK(VLOOKUP(A236,ÜRÜNLER!A:C,3,FALSE),VLOOKUP(A236,ÜRÜNLER!A:B,2,FALSE)),"")</f>
        <v>iQ100 Düz Davlumbaz, 60cm, 380m3, Siyah</v>
      </c>
      <c r="C236" s="5">
        <v>2</v>
      </c>
      <c r="D236" s="5"/>
      <c r="E236" s="6"/>
      <c r="F236" s="6">
        <v>1</v>
      </c>
      <c r="G236" s="6"/>
      <c r="H236" s="6"/>
      <c r="I236" s="7"/>
      <c r="J236" s="7"/>
      <c r="K236" s="6"/>
      <c r="L236" s="6">
        <v>2</v>
      </c>
      <c r="M236" s="7"/>
      <c r="N236" s="59">
        <f t="shared" si="9"/>
        <v>5</v>
      </c>
      <c r="O236" s="60"/>
      <c r="P236" s="48"/>
      <c r="Q236" s="90" t="s">
        <v>1781</v>
      </c>
      <c r="R236" s="91">
        <v>9000</v>
      </c>
      <c r="S236" s="92">
        <v>9360</v>
      </c>
      <c r="T236" s="92">
        <v>9720</v>
      </c>
      <c r="V236" s="91"/>
      <c r="W236" s="98">
        <v>250</v>
      </c>
      <c r="Y236" s="93"/>
    </row>
    <row r="237" spans="1:25">
      <c r="A237" s="137" t="s">
        <v>230</v>
      </c>
      <c r="B237" s="56" t="str">
        <f>IFERROR(HYPERLINK(VLOOKUP(A237,ÜRÜNLER!A:C,3,FALSE),VLOOKUP(A237,ÜRÜNLER!A:B,2,FALSE)),"")</f>
        <v>iQ100 Düz Davlumbaz, 60cm, 612m3, Paslanmaz Çelik</v>
      </c>
      <c r="C237" s="5">
        <v>5</v>
      </c>
      <c r="D237" s="5"/>
      <c r="E237" s="6"/>
      <c r="F237" s="6">
        <v>1</v>
      </c>
      <c r="G237" s="6"/>
      <c r="H237" s="6"/>
      <c r="I237" s="7">
        <v>1</v>
      </c>
      <c r="J237" s="7"/>
      <c r="K237" s="6"/>
      <c r="L237" s="6"/>
      <c r="M237" s="7"/>
      <c r="N237" s="59">
        <f t="shared" si="9"/>
        <v>7</v>
      </c>
      <c r="O237" s="60"/>
      <c r="P237" s="48"/>
      <c r="Q237" s="96">
        <v>18529.104551827117</v>
      </c>
      <c r="R237" s="102">
        <v>18529.104551827117</v>
      </c>
      <c r="S237" s="92">
        <v>19270.2687339002</v>
      </c>
      <c r="T237" s="92">
        <v>20011.432915973288</v>
      </c>
      <c r="V237" s="91"/>
      <c r="W237" s="101"/>
      <c r="Y237" s="93"/>
    </row>
    <row r="238" spans="1:25">
      <c r="A238" s="145" t="s">
        <v>244</v>
      </c>
      <c r="B238" s="56" t="str">
        <f>IFERROR(HYPERLINK(VLOOKUP(A238,ÜRÜNLER!A:C,3,FALSE),VLOOKUP(A238,ÜRÜNLER!A:B,2,FALSE)),"")</f>
        <v>iQ300 Düz Davlumbaz, 60cm, 649m3, Antrasit Gri Cam</v>
      </c>
      <c r="C238" s="5">
        <v>5</v>
      </c>
      <c r="D238" s="5"/>
      <c r="E238" s="6"/>
      <c r="F238" s="6"/>
      <c r="G238" s="6"/>
      <c r="H238" s="6"/>
      <c r="I238" s="7"/>
      <c r="J238" s="7"/>
      <c r="K238" s="6">
        <v>1</v>
      </c>
      <c r="L238" s="6">
        <v>1</v>
      </c>
      <c r="M238" s="7"/>
      <c r="N238" s="59">
        <f t="shared" si="9"/>
        <v>7</v>
      </c>
      <c r="O238" s="60"/>
      <c r="P238" s="48"/>
      <c r="Q238" s="96">
        <v>21837.761714421129</v>
      </c>
      <c r="R238" s="102">
        <v>21837.761714421129</v>
      </c>
      <c r="S238" s="92">
        <v>22711.272182997975</v>
      </c>
      <c r="T238" s="92">
        <v>23584.78265157482</v>
      </c>
      <c r="V238" s="91"/>
      <c r="W238" s="101"/>
      <c r="Y238" s="93"/>
    </row>
    <row r="239" spans="1:25">
      <c r="A239" s="137" t="s">
        <v>232</v>
      </c>
      <c r="B239" s="56" t="str">
        <f>IFERROR(HYPERLINK(VLOOKUP(A239,ÜRÜNLER!A:C,3,FALSE),VLOOKUP(A239,ÜRÜNLER!A:B,2,FALSE)),"")</f>
        <v>iQ300 Düz Davlumbaz, 60cm, 649m3, Beyaz Cam</v>
      </c>
      <c r="C239" s="5">
        <v>10</v>
      </c>
      <c r="D239" s="5"/>
      <c r="E239" s="6"/>
      <c r="F239" s="6">
        <v>1</v>
      </c>
      <c r="G239" s="6"/>
      <c r="H239" s="6"/>
      <c r="I239" s="7"/>
      <c r="J239" s="7">
        <v>1</v>
      </c>
      <c r="K239" s="6"/>
      <c r="L239" s="6">
        <v>1</v>
      </c>
      <c r="M239" s="7"/>
      <c r="N239" s="59">
        <f t="shared" si="9"/>
        <v>13</v>
      </c>
      <c r="O239" s="60"/>
      <c r="P239" s="48"/>
      <c r="Q239" s="96">
        <v>21837.761714421129</v>
      </c>
      <c r="R239" s="102">
        <v>21837.761714421129</v>
      </c>
      <c r="S239" s="92">
        <v>22711.272182997975</v>
      </c>
      <c r="T239" s="92">
        <v>23584.78265157482</v>
      </c>
      <c r="V239" s="91"/>
      <c r="W239" s="101"/>
      <c r="Y239" s="93"/>
    </row>
    <row r="240" spans="1:25">
      <c r="A240" s="137" t="s">
        <v>233</v>
      </c>
      <c r="B240" s="56" t="str">
        <f>IFERROR(HYPERLINK(VLOOKUP(A240,ÜRÜNLER!A:C,3,FALSE),VLOOKUP(A240,ÜRÜNLER!A:B,2,FALSE)),"")</f>
        <v>iQ300 Düz Davlumbaz, 60cm, 649m3, Siyah Cam</v>
      </c>
      <c r="C240" s="5"/>
      <c r="D240" s="5"/>
      <c r="E240" s="6"/>
      <c r="F240" s="6"/>
      <c r="G240" s="6"/>
      <c r="H240" s="6"/>
      <c r="I240" s="7">
        <v>2</v>
      </c>
      <c r="J240" s="7"/>
      <c r="K240" s="6"/>
      <c r="L240" s="6">
        <v>1</v>
      </c>
      <c r="M240" s="7"/>
      <c r="N240" s="59">
        <f t="shared" si="9"/>
        <v>3</v>
      </c>
      <c r="O240" s="60"/>
      <c r="P240" s="48"/>
      <c r="Q240" s="96">
        <v>21837.761714421129</v>
      </c>
      <c r="R240" s="102">
        <v>21837.761714421129</v>
      </c>
      <c r="S240" s="92">
        <v>22711.272182997975</v>
      </c>
      <c r="T240" s="92">
        <v>23584.78265157482</v>
      </c>
      <c r="V240" s="91"/>
      <c r="W240" s="101"/>
      <c r="Y240" s="93"/>
    </row>
    <row r="241" spans="1:25">
      <c r="A241" s="135" t="s">
        <v>234</v>
      </c>
      <c r="B241" s="56" t="str">
        <f>IFERROR(HYPERLINK(VLOOKUP(A241,ÜRÜNLER!A:C,3,FALSE),VLOOKUP(A241,ÜRÜNLER!A:B,2,FALSE)),"")</f>
        <v>iQ300 Eğimli Davlumbaz, 60cm, 593m3, Siyah Cam</v>
      </c>
      <c r="C241" s="5"/>
      <c r="D241" s="5"/>
      <c r="E241" s="6"/>
      <c r="F241" s="6">
        <v>1</v>
      </c>
      <c r="G241" s="6"/>
      <c r="H241" s="6"/>
      <c r="I241" s="7"/>
      <c r="J241" s="7"/>
      <c r="K241" s="6"/>
      <c r="L241" s="6"/>
      <c r="M241" s="7"/>
      <c r="N241" s="59">
        <f t="shared" si="9"/>
        <v>1</v>
      </c>
      <c r="O241" s="60"/>
      <c r="P241" s="48"/>
      <c r="Q241" s="90" t="s">
        <v>1781</v>
      </c>
      <c r="R241" s="91">
        <v>13000</v>
      </c>
      <c r="S241" s="92">
        <v>13520</v>
      </c>
      <c r="T241" s="92">
        <v>14040</v>
      </c>
      <c r="V241" s="91"/>
      <c r="W241" s="101">
        <v>250</v>
      </c>
      <c r="Y241" s="93"/>
    </row>
    <row r="242" spans="1:25">
      <c r="A242" s="134" t="s">
        <v>239</v>
      </c>
      <c r="B242" s="56" t="str">
        <f>IFERROR(HYPERLINK(VLOOKUP(A242,ÜRÜNLER!A:C,3,FALSE),VLOOKUP(A242,ÜRÜNLER!A:B,2,FALSE)),"")</f>
        <v>iQ300 Eğimli Davlumbaz, 60cm, 510m3, Beyaz Cam</v>
      </c>
      <c r="C242" s="5">
        <v>8</v>
      </c>
      <c r="D242" s="5"/>
      <c r="E242" s="6"/>
      <c r="F242" s="6"/>
      <c r="G242" s="6"/>
      <c r="H242" s="6"/>
      <c r="I242" s="7">
        <v>1</v>
      </c>
      <c r="J242" s="7"/>
      <c r="K242" s="6"/>
      <c r="L242" s="6"/>
      <c r="M242" s="7">
        <v>1</v>
      </c>
      <c r="N242" s="59">
        <f t="shared" si="9"/>
        <v>10</v>
      </c>
      <c r="O242" s="60">
        <v>25</v>
      </c>
      <c r="P242" s="48"/>
      <c r="Q242" s="96">
        <v>19528.389222070771</v>
      </c>
      <c r="R242" s="102">
        <v>19528.389222070771</v>
      </c>
      <c r="S242" s="92">
        <v>20309.524790953601</v>
      </c>
      <c r="T242" s="92">
        <v>21090.660359836435</v>
      </c>
      <c r="V242" s="91"/>
      <c r="W242" s="101"/>
      <c r="Y242" s="93"/>
    </row>
    <row r="243" spans="1:25">
      <c r="A243" s="135" t="s">
        <v>240</v>
      </c>
      <c r="B243" s="56" t="str">
        <f>IFERROR(HYPERLINK(VLOOKUP(A243,ÜRÜNLER!A:C,3,FALSE),VLOOKUP(A243,ÜRÜNLER!A:B,2,FALSE)),"")</f>
        <v>iQ300 Eğimli Davlumbaz, 60cm, 510m3, Siyah Cam</v>
      </c>
      <c r="C243" s="5">
        <v>17</v>
      </c>
      <c r="D243" s="5"/>
      <c r="E243" s="6"/>
      <c r="F243" s="6"/>
      <c r="G243" s="6"/>
      <c r="H243" s="6"/>
      <c r="I243" s="7"/>
      <c r="J243" s="7"/>
      <c r="K243" s="6">
        <v>1</v>
      </c>
      <c r="L243" s="6">
        <v>1</v>
      </c>
      <c r="M243" s="7"/>
      <c r="N243" s="59">
        <f t="shared" si="9"/>
        <v>19</v>
      </c>
      <c r="O243" s="60"/>
      <c r="P243" s="132" t="s">
        <v>1837</v>
      </c>
      <c r="Q243" s="96">
        <v>19528.389222070771</v>
      </c>
      <c r="R243" s="102">
        <v>20504.808683174309</v>
      </c>
      <c r="S243" s="92">
        <v>21325.00103050128</v>
      </c>
      <c r="T243" s="92">
        <v>22145.193377828255</v>
      </c>
      <c r="V243" s="91"/>
      <c r="W243" s="101"/>
      <c r="Y243" s="115" t="s">
        <v>1838</v>
      </c>
    </row>
    <row r="244" spans="1:25">
      <c r="A244" s="145" t="s">
        <v>241</v>
      </c>
      <c r="B244" s="56" t="str">
        <f>IFERROR(HYPERLINK(VLOOKUP(A244,ÜRÜNLER!A:C,3,FALSE),VLOOKUP(A244,ÜRÜNLER!A:B,2,FALSE)),"")</f>
        <v>iQ300 Eğimli Davlumbaz, 60cm, 510m3, Antrasit Gri Cam</v>
      </c>
      <c r="C244" s="5">
        <v>7</v>
      </c>
      <c r="D244" s="5"/>
      <c r="E244" s="6"/>
      <c r="F244" s="6">
        <v>1</v>
      </c>
      <c r="G244" s="6"/>
      <c r="H244" s="6"/>
      <c r="I244" s="7">
        <v>1</v>
      </c>
      <c r="J244" s="7"/>
      <c r="K244" s="6"/>
      <c r="L244" s="6"/>
      <c r="M244" s="7"/>
      <c r="N244" s="59">
        <f t="shared" si="9"/>
        <v>9</v>
      </c>
      <c r="O244" s="60">
        <v>25</v>
      </c>
      <c r="P244" s="48"/>
      <c r="Q244" s="96">
        <v>19528.389222070771</v>
      </c>
      <c r="R244" s="102">
        <v>19528.389222070771</v>
      </c>
      <c r="S244" s="92">
        <v>20309.524790953601</v>
      </c>
      <c r="T244" s="92">
        <v>21090.660359836435</v>
      </c>
      <c r="V244" s="91"/>
      <c r="W244" s="101"/>
      <c r="Y244" s="93"/>
    </row>
    <row r="245" spans="1:25">
      <c r="A245" s="149" t="s">
        <v>1634</v>
      </c>
      <c r="B245" s="56" t="str">
        <f>IFERROR(HYPERLINK(VLOOKUP(A245,ÜRÜNLER!A:C,3,FALSE),VLOOKUP(A245,ÜRÜNLER!A:B,2,FALSE)),"")</f>
        <v>iQ300 Düz Davlumbaz, 60cm, 582m3, Magnet Silver</v>
      </c>
      <c r="C245" s="5">
        <v>1</v>
      </c>
      <c r="D245" s="5"/>
      <c r="E245" s="6"/>
      <c r="F245" s="6"/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96">
        <v>18296.350661364198</v>
      </c>
      <c r="R245" s="102">
        <v>18296.350661364198</v>
      </c>
      <c r="S245" s="92">
        <v>19028.204687818765</v>
      </c>
      <c r="T245" s="92">
        <v>19760.058714273335</v>
      </c>
      <c r="V245" s="91"/>
      <c r="W245" s="98">
        <v>250</v>
      </c>
      <c r="Y245" s="93"/>
    </row>
    <row r="246" spans="1:25">
      <c r="A246" s="137" t="s">
        <v>242</v>
      </c>
      <c r="B246" s="56" t="str">
        <f>IFERROR(HYPERLINK(VLOOKUP(A246,ÜRÜNLER!A:C,3,FALSE),VLOOKUP(A246,ÜRÜNLER!A:B,2,FALSE)),"")</f>
        <v>iQ300 Düz Davlumbaz, 60cm, 582m3, Beyaz/Inox</v>
      </c>
      <c r="C246" s="5">
        <v>24</v>
      </c>
      <c r="D246" s="5"/>
      <c r="E246" s="6"/>
      <c r="F246" s="6">
        <v>1</v>
      </c>
      <c r="G246" s="6">
        <v>1</v>
      </c>
      <c r="H246" s="6"/>
      <c r="I246" s="7"/>
      <c r="J246" s="7">
        <v>1</v>
      </c>
      <c r="K246" s="6"/>
      <c r="L246" s="6"/>
      <c r="M246" s="7"/>
      <c r="N246" s="59">
        <f t="shared" si="9"/>
        <v>27</v>
      </c>
      <c r="O246" s="60"/>
      <c r="P246" s="132" t="s">
        <v>1837</v>
      </c>
      <c r="Q246" s="96">
        <v>20171.726604154028</v>
      </c>
      <c r="R246" s="102">
        <v>20171.726604154028</v>
      </c>
      <c r="S246" s="92">
        <v>20978.595668320188</v>
      </c>
      <c r="T246" s="92">
        <v>21785.464732486351</v>
      </c>
      <c r="V246" s="91"/>
      <c r="W246" s="98">
        <v>250</v>
      </c>
      <c r="Y246" s="115" t="s">
        <v>1838</v>
      </c>
    </row>
    <row r="247" spans="1:25">
      <c r="A247" s="143" t="s">
        <v>243</v>
      </c>
      <c r="B247" s="56" t="str">
        <f>IFERROR(HYPERLINK(VLOOKUP(A247,ÜRÜNLER!A:C,3,FALSE),VLOOKUP(A247,ÜRÜNLER!A:B,2,FALSE)),"")</f>
        <v>iQ300 Düz Davlumbaz, 60cm, 582m3, Siyah/Inox</v>
      </c>
      <c r="C247" s="5">
        <v>36</v>
      </c>
      <c r="D247" s="5"/>
      <c r="E247" s="6"/>
      <c r="F247" s="6"/>
      <c r="G247" s="6"/>
      <c r="H247" s="6"/>
      <c r="I247" s="7"/>
      <c r="J247" s="7">
        <v>1</v>
      </c>
      <c r="K247" s="6"/>
      <c r="L247" s="6">
        <v>3</v>
      </c>
      <c r="M247" s="7">
        <v>1</v>
      </c>
      <c r="N247" s="59">
        <f t="shared" si="9"/>
        <v>41</v>
      </c>
      <c r="O247" s="60"/>
      <c r="P247" s="132" t="s">
        <v>1837</v>
      </c>
      <c r="Q247" s="96">
        <v>20171.726604154028</v>
      </c>
      <c r="R247" s="102">
        <v>20171.726604154028</v>
      </c>
      <c r="S247" s="92">
        <v>20978.595668320188</v>
      </c>
      <c r="T247" s="92">
        <v>21785.464732486351</v>
      </c>
      <c r="V247" s="91"/>
      <c r="W247" s="101"/>
      <c r="Y247" s="115" t="s">
        <v>1838</v>
      </c>
    </row>
    <row r="248" spans="1:25">
      <c r="A248" s="137" t="s">
        <v>245</v>
      </c>
      <c r="B248" s="56" t="str">
        <f>IFERROR(HYPERLINK(VLOOKUP(A248,ÜRÜNLER!A:C,3,FALSE),VLOOKUP(A248,ÜRÜNLER!A:B,2,FALSE)),"")</f>
        <v>iQ500 Düz Davlumbaz, 60cm, 645m3, Beyaz Cam</v>
      </c>
      <c r="C248" s="5">
        <v>10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11</v>
      </c>
      <c r="O248" s="60"/>
      <c r="P248" s="48"/>
      <c r="Q248" s="90" t="s">
        <v>1781</v>
      </c>
      <c r="R248" s="102">
        <v>15000</v>
      </c>
      <c r="S248" s="92">
        <v>15600</v>
      </c>
      <c r="T248" s="92">
        <v>16200</v>
      </c>
      <c r="V248" s="91"/>
      <c r="W248" s="98">
        <v>250</v>
      </c>
      <c r="Y248" s="93"/>
    </row>
    <row r="249" spans="1:25">
      <c r="A249" s="143" t="s">
        <v>246</v>
      </c>
      <c r="B249" s="56" t="str">
        <f>IFERROR(HYPERLINK(VLOOKUP(A249,ÜRÜNLER!A:C,3,FALSE),VLOOKUP(A249,ÜRÜNLER!A:B,2,FALSE)),"")</f>
        <v>iQ500 Düz Davlumbaz, 60cm, 645m3, Siyah Cam</v>
      </c>
      <c r="C249" s="5"/>
      <c r="D249" s="5"/>
      <c r="E249" s="6"/>
      <c r="F249" s="6">
        <v>1</v>
      </c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90" t="s">
        <v>1781</v>
      </c>
      <c r="R249" s="102">
        <v>17000</v>
      </c>
      <c r="S249" s="92">
        <v>17680</v>
      </c>
      <c r="T249" s="92">
        <v>18360</v>
      </c>
      <c r="V249" s="91"/>
      <c r="W249" s="113">
        <v>500</v>
      </c>
      <c r="Y249" s="93"/>
    </row>
    <row r="250" spans="1:25">
      <c r="A250" s="150" t="s">
        <v>250</v>
      </c>
      <c r="B250" s="56" t="str">
        <f>IFERROR(HYPERLINK(VLOOKUP(A250,ÜRÜNLER!A:C,3,FALSE),VLOOKUP(A250,ÜRÜNLER!A:B,2,FALSE)),"")</f>
        <v>iQ500 Eğimli Davlumbaz, 60cm, 510m3, Beyaz Cam</v>
      </c>
      <c r="C250" s="5">
        <v>4</v>
      </c>
      <c r="D250" s="5"/>
      <c r="E250" s="6"/>
      <c r="F250" s="6"/>
      <c r="G250" s="6"/>
      <c r="H250" s="6"/>
      <c r="I250" s="7"/>
      <c r="J250" s="7"/>
      <c r="K250" s="6">
        <v>1</v>
      </c>
      <c r="L250" s="6"/>
      <c r="M250" s="7"/>
      <c r="N250" s="59">
        <f t="shared" si="9"/>
        <v>5</v>
      </c>
      <c r="O250" s="60">
        <v>1</v>
      </c>
      <c r="P250" s="132" t="s">
        <v>1837</v>
      </c>
      <c r="Q250" s="96">
        <v>22225.055782222753</v>
      </c>
      <c r="R250" s="102">
        <v>23336.308571333891</v>
      </c>
      <c r="S250" s="92">
        <v>24269.760914187245</v>
      </c>
      <c r="T250" s="92">
        <v>25203.213257040603</v>
      </c>
      <c r="V250" s="91"/>
      <c r="W250" s="101"/>
      <c r="Y250" s="115" t="s">
        <v>1838</v>
      </c>
    </row>
    <row r="251" spans="1:25">
      <c r="A251" s="143" t="s">
        <v>251</v>
      </c>
      <c r="B251" s="56" t="str">
        <f>IFERROR(HYPERLINK(VLOOKUP(A251,ÜRÜNLER!A:C,3,FALSE),VLOOKUP(A251,ÜRÜNLER!A:B,2,FALSE)),"")</f>
        <v>iQ500 Eğimli Davlumbaz, 60cm, 700m3, Siyah Cam</v>
      </c>
      <c r="C251" s="5">
        <v>9</v>
      </c>
      <c r="D251" s="5"/>
      <c r="E251" s="6"/>
      <c r="F251" s="6"/>
      <c r="G251" s="6">
        <v>1</v>
      </c>
      <c r="H251" s="6"/>
      <c r="I251" s="7"/>
      <c r="J251" s="7"/>
      <c r="K251" s="6"/>
      <c r="L251" s="6">
        <v>1</v>
      </c>
      <c r="M251" s="7"/>
      <c r="N251" s="59">
        <f t="shared" si="9"/>
        <v>11</v>
      </c>
      <c r="O251" s="60"/>
      <c r="P251" s="132" t="s">
        <v>1837</v>
      </c>
      <c r="Q251" s="96">
        <v>22225.055782222753</v>
      </c>
      <c r="R251" s="102">
        <v>22225.055782222753</v>
      </c>
      <c r="S251" s="92">
        <v>23114.058013511662</v>
      </c>
      <c r="T251" s="92">
        <v>24003.060244800574</v>
      </c>
      <c r="V251" s="91"/>
      <c r="W251" s="101"/>
      <c r="Y251" s="115" t="s">
        <v>1838</v>
      </c>
    </row>
    <row r="252" spans="1:25">
      <c r="A252" s="143" t="s">
        <v>247</v>
      </c>
      <c r="B252" s="56" t="str">
        <f>IFERROR(HYPERLINK(VLOOKUP(A252,ÜRÜNLER!A:C,3,FALSE),VLOOKUP(A252,ÜRÜNLER!A:B,2,FALSE)),"")</f>
        <v>iQ500 Eğimli Davlumbaz, 60cm, 510m3, Siyah Cam</v>
      </c>
      <c r="C252" s="5">
        <v>17</v>
      </c>
      <c r="D252" s="5"/>
      <c r="E252" s="6"/>
      <c r="F252" s="6"/>
      <c r="G252" s="6"/>
      <c r="H252" s="6"/>
      <c r="I252" s="7"/>
      <c r="J252" s="7"/>
      <c r="K252" s="6"/>
      <c r="L252" s="6"/>
      <c r="M252" s="7">
        <v>1</v>
      </c>
      <c r="N252" s="59">
        <f t="shared" si="9"/>
        <v>18</v>
      </c>
      <c r="O252" s="60"/>
      <c r="P252" s="132" t="s">
        <v>1837</v>
      </c>
      <c r="Q252" s="96">
        <v>22225.055782222753</v>
      </c>
      <c r="R252" s="102">
        <v>22225.055782222753</v>
      </c>
      <c r="S252" s="92">
        <v>23114.058013511662</v>
      </c>
      <c r="T252" s="92">
        <v>24003.060244800574</v>
      </c>
      <c r="V252" s="91"/>
      <c r="W252" s="101"/>
      <c r="Y252" s="115" t="s">
        <v>1838</v>
      </c>
    </row>
    <row r="253" spans="1:25">
      <c r="A253" s="145" t="s">
        <v>248</v>
      </c>
      <c r="B253" s="56" t="str">
        <f>IFERROR(HYPERLINK(VLOOKUP(A253,ÜRÜNLER!A:C,3,FALSE),VLOOKUP(A253,ÜRÜNLER!A:B,2,FALSE)),"")</f>
        <v>iQ500 Eğimli Davlumbaz, 60cm, 510m3, Antrasit Gri Cam</v>
      </c>
      <c r="C253" s="5"/>
      <c r="D253" s="5"/>
      <c r="E253" s="6"/>
      <c r="F253" s="6"/>
      <c r="G253" s="6"/>
      <c r="H253" s="6"/>
      <c r="I253" s="7"/>
      <c r="J253" s="7">
        <v>1</v>
      </c>
      <c r="K253" s="6"/>
      <c r="L253" s="6"/>
      <c r="M253" s="7"/>
      <c r="N253" s="59">
        <f t="shared" si="9"/>
        <v>1</v>
      </c>
      <c r="O253" s="60">
        <v>21</v>
      </c>
      <c r="P253" s="132" t="s">
        <v>1837</v>
      </c>
      <c r="Q253" s="96">
        <v>22225.055782222753</v>
      </c>
      <c r="R253" s="102">
        <v>23336.308571333891</v>
      </c>
      <c r="S253" s="92">
        <v>24269.760914187245</v>
      </c>
      <c r="T253" s="92">
        <v>25203.213257040603</v>
      </c>
      <c r="V253" s="91"/>
      <c r="W253" s="101"/>
      <c r="Y253" s="115" t="s">
        <v>1838</v>
      </c>
    </row>
    <row r="254" spans="1:25">
      <c r="A254" s="137" t="s">
        <v>249</v>
      </c>
      <c r="B254" s="56" t="str">
        <f>IFERROR(HYPERLINK(VLOOKUP(A254,ÜRÜNLER!A:C,3,FALSE),VLOOKUP(A254,ÜRÜNLER!A:B,2,FALSE)),"")</f>
        <v>iQ500 Eğimli Davlumbaz, 60cm, 578m3, Siyah Cam</v>
      </c>
      <c r="C254" s="5"/>
      <c r="D254" s="5"/>
      <c r="E254" s="6"/>
      <c r="F254" s="6"/>
      <c r="G254" s="6"/>
      <c r="H254" s="6"/>
      <c r="I254" s="7"/>
      <c r="J254" s="7"/>
      <c r="K254" s="6"/>
      <c r="L254" s="6">
        <v>1</v>
      </c>
      <c r="M254" s="7">
        <v>1</v>
      </c>
      <c r="N254" s="59">
        <f t="shared" si="9"/>
        <v>2</v>
      </c>
      <c r="O254" s="60"/>
      <c r="P254" s="48"/>
      <c r="Q254" s="90" t="s">
        <v>1781</v>
      </c>
      <c r="R254" s="102">
        <v>25000</v>
      </c>
      <c r="S254" s="92">
        <v>26000</v>
      </c>
      <c r="T254" s="92">
        <v>27000</v>
      </c>
      <c r="V254" s="91"/>
      <c r="W254" s="113">
        <v>500</v>
      </c>
      <c r="Y254" s="93"/>
    </row>
    <row r="255" spans="1:25">
      <c r="A255" s="143" t="s">
        <v>1502</v>
      </c>
      <c r="B255" s="56" t="str">
        <f>IFERROR(HYPERLINK(VLOOKUP(A255,ÜRÜNLER!A:C,3,FALSE),VLOOKUP(A255,ÜRÜNLER!A:B,2,FALSE)),"")</f>
        <v>iQ700 Eğimli Davlumbaz, 60cm, 616m3, Siyah Cam</v>
      </c>
      <c r="C255" s="5">
        <v>9</v>
      </c>
      <c r="D255" s="5"/>
      <c r="E255" s="6"/>
      <c r="F255" s="6"/>
      <c r="G255" s="6"/>
      <c r="H255" s="6"/>
      <c r="I255" s="7">
        <v>1</v>
      </c>
      <c r="J255" s="7">
        <v>1</v>
      </c>
      <c r="K255" s="6">
        <v>1</v>
      </c>
      <c r="L255" s="6"/>
      <c r="M255" s="7"/>
      <c r="N255" s="59">
        <f t="shared" si="9"/>
        <v>12</v>
      </c>
      <c r="O255" s="60"/>
      <c r="P255" s="132" t="s">
        <v>1837</v>
      </c>
      <c r="Q255" s="96">
        <v>36363.786053704396</v>
      </c>
      <c r="R255" s="102">
        <v>36363.786053704396</v>
      </c>
      <c r="S255" s="92">
        <v>37818.337495852575</v>
      </c>
      <c r="T255" s="92">
        <v>39272.888938000746</v>
      </c>
      <c r="V255" s="91"/>
      <c r="W255" s="101"/>
      <c r="Y255" s="115" t="s">
        <v>1838</v>
      </c>
    </row>
    <row r="256" spans="1:25">
      <c r="A256" s="137" t="s">
        <v>253</v>
      </c>
      <c r="B256" s="56" t="str">
        <f>IFERROR(HYPERLINK(VLOOKUP(A256,ÜRÜNLER!A:C,3,FALSE),VLOOKUP(A256,ÜRÜNLER!A:B,2,FALSE)),"")</f>
        <v>iQ700 Eğimli Davlumbaz, 90cm, 441m3, Siyah Cam</v>
      </c>
      <c r="C256" s="5">
        <v>2</v>
      </c>
      <c r="D256" s="5"/>
      <c r="E256" s="6"/>
      <c r="F256" s="6">
        <v>1</v>
      </c>
      <c r="G256" s="6"/>
      <c r="H256" s="6"/>
      <c r="I256" s="7"/>
      <c r="J256" s="7"/>
      <c r="K256" s="6"/>
      <c r="L256" s="6"/>
      <c r="M256" s="7"/>
      <c r="N256" s="59">
        <f t="shared" si="9"/>
        <v>3</v>
      </c>
      <c r="O256" s="60"/>
      <c r="P256" s="48"/>
      <c r="Q256" s="96">
        <v>66522.529622887014</v>
      </c>
      <c r="R256" s="102">
        <v>63354.790117035249</v>
      </c>
      <c r="S256" s="92">
        <v>65888.981721716656</v>
      </c>
      <c r="T256" s="92">
        <v>68423.173326398071</v>
      </c>
      <c r="U256" s="93"/>
      <c r="V256" s="91"/>
      <c r="W256" s="101"/>
    </row>
    <row r="257" spans="1:25">
      <c r="A257" s="137" t="s">
        <v>254</v>
      </c>
      <c r="B257" s="56" t="str">
        <f>IFERROR(HYPERLINK(VLOOKUP(A257,ÜRÜNLER!A:C,3,FALSE),VLOOKUP(A257,ÜRÜNLER!A:B,2,FALSE)),"")</f>
        <v>iQ700 studioLine Eğimli Davlumbaz, 90cm, 441m3, Siyah Cam</v>
      </c>
      <c r="C257" s="5"/>
      <c r="D257" s="5">
        <v>1</v>
      </c>
      <c r="E257" s="6"/>
      <c r="F257" s="6"/>
      <c r="G257" s="6"/>
      <c r="H257" s="6"/>
      <c r="I257" s="7"/>
      <c r="J257" s="7"/>
      <c r="K257" s="6"/>
      <c r="L257" s="6">
        <v>1</v>
      </c>
      <c r="M257" s="7"/>
      <c r="N257" s="59">
        <f t="shared" si="9"/>
        <v>2</v>
      </c>
      <c r="O257" s="60">
        <v>3</v>
      </c>
      <c r="P257" s="48"/>
      <c r="Q257" s="108">
        <v>99737.407074028422</v>
      </c>
      <c r="R257" s="108">
        <v>89763.666366625577</v>
      </c>
      <c r="S257" s="92">
        <v>93354.213021290605</v>
      </c>
      <c r="T257" s="92">
        <v>96944.759675955618</v>
      </c>
      <c r="U257" s="93"/>
      <c r="V257" s="91"/>
      <c r="W257" s="98">
        <v>250</v>
      </c>
    </row>
    <row r="258" spans="1:25">
      <c r="A258" s="137" t="s">
        <v>255</v>
      </c>
      <c r="B258" s="56" t="str">
        <f>IFERROR(HYPERLINK(VLOOKUP(A258,ÜRÜNLER!A:C,3,FALSE),VLOOKUP(A258,ÜRÜNLER!A:B,2,FALSE)),"")</f>
        <v>iQ100 Düz Davlumbaz, 90cm, 616m3, Inox</v>
      </c>
      <c r="C258" s="5">
        <v>1</v>
      </c>
      <c r="D258" s="5"/>
      <c r="E258" s="6"/>
      <c r="F258" s="6"/>
      <c r="G258" s="6"/>
      <c r="H258" s="6"/>
      <c r="I258" s="7"/>
      <c r="J258" s="7">
        <v>1</v>
      </c>
      <c r="K258" s="6"/>
      <c r="L258" s="6"/>
      <c r="M258" s="7"/>
      <c r="N258" s="59">
        <f t="shared" si="9"/>
        <v>2</v>
      </c>
      <c r="O258" s="60"/>
      <c r="P258" s="48"/>
      <c r="Q258" s="96">
        <v>27597.559366538866</v>
      </c>
      <c r="R258" s="116">
        <v>24837.803429884982</v>
      </c>
      <c r="S258" s="92">
        <v>25831.315567080383</v>
      </c>
      <c r="T258" s="92">
        <v>26824.82770427578</v>
      </c>
      <c r="U258" s="93"/>
      <c r="V258" s="91"/>
      <c r="W258" s="101"/>
    </row>
    <row r="259" spans="1:25">
      <c r="A259" s="151" t="s">
        <v>256</v>
      </c>
      <c r="B259" s="56" t="str">
        <f>IFERROR(HYPERLINK(VLOOKUP(A259,ÜRÜNLER!A:C,3,FALSE),VLOOKUP(A259,ÜRÜNLER!A:B,2,FALSE)),"")</f>
        <v>iQ300 Düz Davlumbaz, 90cm, 649m3, Antrasit Gri Cam</v>
      </c>
      <c r="C259" s="5">
        <v>2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2</v>
      </c>
      <c r="O259" s="60"/>
      <c r="P259" s="48"/>
      <c r="Q259" s="96">
        <v>28825.818980940763</v>
      </c>
      <c r="R259" s="116">
        <v>25943.237082846688</v>
      </c>
      <c r="S259" s="92">
        <v>26980.966566160554</v>
      </c>
      <c r="T259" s="92">
        <v>28018.696049474423</v>
      </c>
      <c r="U259" s="93"/>
      <c r="V259" s="91"/>
      <c r="W259" s="101"/>
    </row>
    <row r="260" spans="1:25">
      <c r="A260" s="133" t="s">
        <v>257</v>
      </c>
      <c r="B260" s="56" t="str">
        <f>IFERROR(HYPERLINK(VLOOKUP(A260,ÜRÜNLER!A:C,3,FALSE),VLOOKUP(A260,ÜRÜNLER!A:B,2,FALSE)),"")</f>
        <v>iQ300 Düz Davlumbaz, 90cm, 649m3, Beyaz Cam</v>
      </c>
      <c r="C260" s="5">
        <v>18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18</v>
      </c>
      <c r="O260" s="60"/>
      <c r="P260" s="48"/>
      <c r="Q260" s="96">
        <v>28825.818980940763</v>
      </c>
      <c r="R260" s="116">
        <v>25943.237082846688</v>
      </c>
      <c r="S260" s="92">
        <v>26980.966566160554</v>
      </c>
      <c r="T260" s="92">
        <v>28018.696049474423</v>
      </c>
      <c r="U260" s="93"/>
      <c r="V260" s="91"/>
      <c r="W260" s="101"/>
    </row>
    <row r="261" spans="1:25">
      <c r="A261" s="149" t="s">
        <v>1520</v>
      </c>
      <c r="B261" s="56" t="str">
        <f>IFERROR(HYPERLINK(VLOOKUP(A261,ÜRÜNLER!A:C,3,FALSE),VLOOKUP(A261,ÜRÜNLER!A:B,2,FALSE)),"")</f>
        <v>iQ300 Düz Davlumbaz, 90cm, 649m3, Beyaz Cam</v>
      </c>
      <c r="C261" s="5"/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0</v>
      </c>
      <c r="O261" s="60">
        <v>2</v>
      </c>
      <c r="P261" s="48"/>
      <c r="Q261" s="96">
        <v>28825.818980940763</v>
      </c>
      <c r="R261" s="102">
        <v>28825.818980940763</v>
      </c>
      <c r="S261" s="92">
        <v>29978.851740178394</v>
      </c>
      <c r="T261" s="92">
        <v>31131.884499416024</v>
      </c>
      <c r="U261" s="93"/>
      <c r="V261" s="91"/>
      <c r="W261" s="98">
        <v>250</v>
      </c>
    </row>
    <row r="262" spans="1:25">
      <c r="A262" s="145" t="s">
        <v>258</v>
      </c>
      <c r="B262" s="56" t="str">
        <f>IFERROR(HYPERLINK(VLOOKUP(A262,ÜRÜNLER!A:C,3,FALSE),VLOOKUP(A262,ÜRÜNLER!A:B,2,FALSE)),"")</f>
        <v>iQ300 Düz Davlumbaz, 90cm, 649m3, Titanyum Gri Cam</v>
      </c>
      <c r="C262" s="5">
        <v>3</v>
      </c>
      <c r="D262" s="5"/>
      <c r="E262" s="6"/>
      <c r="F262" s="6"/>
      <c r="G262" s="6"/>
      <c r="H262" s="6"/>
      <c r="I262" s="7">
        <v>1</v>
      </c>
      <c r="J262" s="7"/>
      <c r="K262" s="6"/>
      <c r="L262" s="6"/>
      <c r="M262" s="7"/>
      <c r="N262" s="59">
        <f t="shared" si="9"/>
        <v>4</v>
      </c>
      <c r="O262" s="60"/>
      <c r="P262" s="48"/>
      <c r="Q262" s="90" t="s">
        <v>1781</v>
      </c>
      <c r="R262" s="102">
        <v>20000</v>
      </c>
      <c r="S262" s="92">
        <v>20800</v>
      </c>
      <c r="T262" s="92">
        <v>21600</v>
      </c>
      <c r="U262" s="93"/>
      <c r="V262" s="91"/>
      <c r="W262" s="101"/>
    </row>
    <row r="263" spans="1:25">
      <c r="A263" s="137" t="s">
        <v>259</v>
      </c>
      <c r="B263" s="56" t="str">
        <f>IFERROR(HYPERLINK(VLOOKUP(A263,ÜRÜNLER!A:C,3,FALSE),VLOOKUP(A263,ÜRÜNLER!A:B,2,FALSE)),"")</f>
        <v>iQ300 Eğimli Davlumbaz, 90cm, 629m3, Beyaz Cam</v>
      </c>
      <c r="C263" s="5">
        <v>19</v>
      </c>
      <c r="D263" s="5"/>
      <c r="E263" s="6"/>
      <c r="F263" s="6"/>
      <c r="G263" s="6"/>
      <c r="H263" s="6"/>
      <c r="I263" s="7">
        <v>1</v>
      </c>
      <c r="J263" s="7">
        <v>1</v>
      </c>
      <c r="K263" s="6">
        <v>1</v>
      </c>
      <c r="L263" s="6">
        <v>1</v>
      </c>
      <c r="M263" s="7"/>
      <c r="N263" s="59">
        <f t="shared" si="9"/>
        <v>23</v>
      </c>
      <c r="O263" s="60"/>
      <c r="P263" s="48"/>
      <c r="Q263" s="90" t="s">
        <v>1781</v>
      </c>
      <c r="R263" s="102">
        <v>20000</v>
      </c>
      <c r="S263" s="92">
        <v>20800</v>
      </c>
      <c r="T263" s="92">
        <v>21600</v>
      </c>
      <c r="U263" s="93"/>
      <c r="V263" s="91"/>
      <c r="W263" s="98">
        <v>250</v>
      </c>
    </row>
    <row r="264" spans="1:25">
      <c r="A264" s="149" t="s">
        <v>1407</v>
      </c>
      <c r="B264" s="56" t="str">
        <f>IFERROR(HYPERLINK(VLOOKUP(A264,ÜRÜNLER!A:C,3,FALSE),VLOOKUP(A264,ÜRÜNLER!A:B,2,FALSE)),"")</f>
        <v>iQ300 Eğimli Davlumbaz, 90cm, 629m3, Siyah Cam</v>
      </c>
      <c r="C264" s="5"/>
      <c r="D264" s="5"/>
      <c r="E264" s="6"/>
      <c r="F264" s="6"/>
      <c r="G264" s="6"/>
      <c r="H264" s="6"/>
      <c r="I264" s="7"/>
      <c r="J264" s="7"/>
      <c r="K264" s="6">
        <v>1</v>
      </c>
      <c r="L264" s="6"/>
      <c r="M264" s="7"/>
      <c r="N264" s="59">
        <f t="shared" si="9"/>
        <v>1</v>
      </c>
      <c r="O264" s="60"/>
      <c r="P264" s="48"/>
      <c r="Q264" s="90" t="s">
        <v>1781</v>
      </c>
      <c r="R264" s="102">
        <v>25000</v>
      </c>
      <c r="S264" s="92">
        <v>26000</v>
      </c>
      <c r="T264" s="92">
        <v>27000</v>
      </c>
      <c r="U264" s="93"/>
      <c r="V264" s="91"/>
      <c r="W264" s="94">
        <v>500</v>
      </c>
    </row>
    <row r="265" spans="1:25">
      <c r="A265" s="137" t="s">
        <v>260</v>
      </c>
      <c r="B265" s="56" t="str">
        <f>IFERROR(HYPERLINK(VLOOKUP(A265,ÜRÜNLER!A:C,3,FALSE),VLOOKUP(A265,ÜRÜNLER!A:B,2,FALSE)),"")</f>
        <v>iQ300 Düz Davlumbaz, 90cm, 468m3, Inox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4</v>
      </c>
      <c r="O265" s="60"/>
      <c r="P265" s="48"/>
      <c r="Q265" s="90" t="s">
        <v>1781</v>
      </c>
      <c r="R265" s="102">
        <v>39195.714086911241</v>
      </c>
      <c r="S265" s="92">
        <v>40763.542650387688</v>
      </c>
      <c r="T265" s="92">
        <v>42331.371213864142</v>
      </c>
      <c r="U265" s="93"/>
      <c r="V265" s="91"/>
      <c r="W265" s="101"/>
    </row>
    <row r="266" spans="1:25">
      <c r="A266" s="137" t="s">
        <v>261</v>
      </c>
      <c r="B266" s="56" t="str">
        <f>IFERROR(HYPERLINK(VLOOKUP(A266,ÜRÜNLER!A:C,3,FALSE),VLOOKUP(A266,ÜRÜNLER!A:B,2,FALSE)),"")</f>
        <v>iQ500 Düz Davlumbaz, 90cm, 394m3, Siyah Cam</v>
      </c>
      <c r="C266" s="5">
        <v>1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59">
        <f t="shared" si="9"/>
        <v>1</v>
      </c>
      <c r="O266" s="60"/>
      <c r="P266" s="48"/>
      <c r="Q266" s="90" t="s">
        <v>1781</v>
      </c>
      <c r="R266" s="102">
        <v>51000</v>
      </c>
      <c r="S266" s="92">
        <v>53040</v>
      </c>
      <c r="T266" s="92">
        <v>55080</v>
      </c>
      <c r="U266" s="93"/>
      <c r="V266" s="91"/>
      <c r="W266" s="98">
        <v>250</v>
      </c>
    </row>
    <row r="267" spans="1:25">
      <c r="A267" s="137" t="s">
        <v>263</v>
      </c>
      <c r="B267" s="56" t="str">
        <f>IFERROR(HYPERLINK(VLOOKUP(A267,ÜRÜNLER!A:C,3,FALSE),VLOOKUP(A267,ÜRÜNLER!A:B,2,FALSE)),"")</f>
        <v>iQ700 Düz Davlumbaz, 90cm, 394m3, Siyah Cam</v>
      </c>
      <c r="C267" s="5"/>
      <c r="D267" s="5"/>
      <c r="E267" s="6"/>
      <c r="F267" s="6"/>
      <c r="G267" s="6"/>
      <c r="H267" s="6"/>
      <c r="I267" s="7"/>
      <c r="J267" s="7">
        <v>1</v>
      </c>
      <c r="K267" s="6"/>
      <c r="L267" s="6"/>
      <c r="M267" s="7"/>
      <c r="N267" s="59">
        <f t="shared" si="9"/>
        <v>1</v>
      </c>
      <c r="O267" s="60"/>
      <c r="P267" s="48"/>
      <c r="Q267" s="90" t="s">
        <v>1781</v>
      </c>
      <c r="R267" s="102">
        <v>56000</v>
      </c>
      <c r="S267" s="92">
        <v>58240</v>
      </c>
      <c r="T267" s="92">
        <v>60480</v>
      </c>
      <c r="U267" s="93"/>
      <c r="V267" s="91"/>
      <c r="W267" s="94">
        <v>1000</v>
      </c>
    </row>
    <row r="268" spans="1:25">
      <c r="A268" s="150" t="s">
        <v>264</v>
      </c>
      <c r="B268" s="56" t="str">
        <f>IFERROR(HYPERLINK(VLOOKUP(A268,ÜRÜNLER!A:C,3,FALSE),VLOOKUP(A268,ÜRÜNLER!A:B,2,FALSE)),"")</f>
        <v>iQ500 Eğimli Davlumbaz, 90cm, 510m3, Beyaz Cam</v>
      </c>
      <c r="C268" s="5">
        <v>3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3</v>
      </c>
      <c r="O268" s="60"/>
      <c r="P268" s="132" t="s">
        <v>1837</v>
      </c>
      <c r="Q268" s="96">
        <v>33510.027253272019</v>
      </c>
      <c r="R268" s="102">
        <v>35185.528615935618</v>
      </c>
      <c r="S268" s="92">
        <v>36592.949760573043</v>
      </c>
      <c r="T268" s="92">
        <v>38000.370905210468</v>
      </c>
      <c r="V268" s="91"/>
      <c r="W268" s="101"/>
      <c r="Y268" s="115" t="s">
        <v>1838</v>
      </c>
    </row>
    <row r="269" spans="1:25">
      <c r="A269" s="143" t="s">
        <v>265</v>
      </c>
      <c r="B269" s="56" t="str">
        <f>IFERROR(HYPERLINK(VLOOKUP(A269,ÜRÜNLER!A:C,3,FALSE),VLOOKUP(A269,ÜRÜNLER!A:B,2,FALSE)),"")</f>
        <v>iQ500 Eğimli Davlumbaz, 90cm, 510m3, Siyah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0</v>
      </c>
      <c r="O269" s="60">
        <v>2</v>
      </c>
      <c r="P269" s="48"/>
      <c r="Q269" s="96">
        <v>33510.027253272019</v>
      </c>
      <c r="R269" s="102">
        <v>33510.027253272019</v>
      </c>
      <c r="S269" s="92">
        <v>34850.428343402898</v>
      </c>
      <c r="T269" s="92">
        <v>36190.829433533778</v>
      </c>
      <c r="V269" s="91"/>
      <c r="W269" s="101"/>
      <c r="Y269" s="93"/>
    </row>
    <row r="270" spans="1:25">
      <c r="A270" s="145" t="s">
        <v>266</v>
      </c>
      <c r="B270" s="56" t="str">
        <f>IFERROR(HYPERLINK(VLOOKUP(A270,ÜRÜNLER!A:C,3,FALSE),VLOOKUP(A270,ÜRÜNLER!A:B,2,FALSE)),"")</f>
        <v>iQ500 Eğimli Davlumbaz, 90cm, 510m3, Antrasit Gri Cam</v>
      </c>
      <c r="C270" s="5"/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0</v>
      </c>
      <c r="O270" s="60">
        <v>2</v>
      </c>
      <c r="P270" s="132" t="s">
        <v>1837</v>
      </c>
      <c r="Q270" s="96">
        <v>33510.027253272019</v>
      </c>
      <c r="R270" s="102">
        <v>35185.528615935618</v>
      </c>
      <c r="S270" s="92">
        <v>36592.949760573043</v>
      </c>
      <c r="T270" s="92">
        <v>38000.370905210468</v>
      </c>
      <c r="V270" s="91"/>
      <c r="W270" s="101"/>
      <c r="Y270" s="115" t="s">
        <v>1838</v>
      </c>
    </row>
    <row r="271" spans="1:25">
      <c r="A271" s="137" t="s">
        <v>267</v>
      </c>
      <c r="B271" s="56" t="str">
        <f>IFERROR(HYPERLINK(VLOOKUP(A271,ÜRÜNLER!A:C,3,FALSE),VLOOKUP(A271,ÜRÜNLER!A:B,2,FALSE)),"")</f>
        <v>iQ500 Düz Davlumbaz, 90cm, 430m3, Inox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2</v>
      </c>
      <c r="O271" s="60"/>
      <c r="P271" s="48"/>
      <c r="Q271" s="90" t="s">
        <v>1781</v>
      </c>
      <c r="R271" s="91">
        <v>26000</v>
      </c>
      <c r="S271" s="92">
        <v>27040</v>
      </c>
      <c r="T271" s="92">
        <v>28080</v>
      </c>
      <c r="U271" s="93"/>
      <c r="V271" s="91"/>
      <c r="W271" s="98">
        <v>250</v>
      </c>
    </row>
    <row r="272" spans="1:25">
      <c r="A272" s="137" t="s">
        <v>268</v>
      </c>
      <c r="B272" s="56" t="str">
        <f>IFERROR(HYPERLINK(VLOOKUP(A272,ÜRÜNLER!A:C,3,FALSE),VLOOKUP(A272,ÜRÜNLER!A:B,2,FALSE)),"")</f>
        <v>iQ500 Eğimli Davlumbaz, 90cm, 370m3, Cam Dekorlu Inox</v>
      </c>
      <c r="C272" s="5">
        <v>7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7</v>
      </c>
      <c r="O272" s="60"/>
      <c r="P272" s="48"/>
      <c r="Q272" s="90" t="s">
        <v>1781</v>
      </c>
      <c r="R272" s="91">
        <v>26000</v>
      </c>
      <c r="S272" s="92">
        <v>27040</v>
      </c>
      <c r="T272" s="92">
        <v>28080</v>
      </c>
      <c r="U272" s="93"/>
      <c r="V272" s="91"/>
      <c r="W272" s="98">
        <v>250</v>
      </c>
    </row>
    <row r="273" spans="1:23">
      <c r="A273" s="137" t="s">
        <v>269</v>
      </c>
      <c r="B273" s="56" t="str">
        <f>IFERROR(HYPERLINK(VLOOKUP(A273,ÜRÜNLER!A:C,3,FALSE),VLOOKUP(A273,ÜRÜNLER!A:B,2,FALSE)),"")</f>
        <v>iQ500 Eğimli Davlumbaz, 90cm, 468m3, Siyah Cam</v>
      </c>
      <c r="C273" s="5"/>
      <c r="D273" s="5"/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9">
        <f t="shared" si="9"/>
        <v>1</v>
      </c>
      <c r="O273" s="60"/>
      <c r="P273" s="48"/>
      <c r="Q273" s="90" t="s">
        <v>1781</v>
      </c>
      <c r="R273" s="108">
        <v>65000</v>
      </c>
      <c r="S273" s="92">
        <v>67600</v>
      </c>
      <c r="T273" s="92">
        <v>70200</v>
      </c>
      <c r="U273" s="93"/>
      <c r="V273" s="91"/>
      <c r="W273" s="94">
        <v>1000</v>
      </c>
    </row>
    <row r="274" spans="1:23">
      <c r="A274" s="182" t="s">
        <v>271</v>
      </c>
      <c r="B274" s="56" t="str">
        <f>IFERROR(HYPERLINK(VLOOKUP(A274,ÜRÜNLER!A:C,3,FALSE),VLOOKUP(A274,ÜRÜNLER!A:B,2,FALSE)),"")</f>
        <v>iQ700 studioLine Tezgaha Entegre Davlumbaz, 80cm, Siyah/Cam</v>
      </c>
      <c r="C274" s="5"/>
      <c r="D274" s="5">
        <v>2</v>
      </c>
      <c r="E274" s="6"/>
      <c r="F274" s="6"/>
      <c r="G274" s="6"/>
      <c r="H274" s="6">
        <v>1</v>
      </c>
      <c r="I274" s="7"/>
      <c r="J274" s="7"/>
      <c r="K274" s="6"/>
      <c r="L274" s="6"/>
      <c r="M274" s="7"/>
      <c r="N274" s="59">
        <f t="shared" si="9"/>
        <v>3</v>
      </c>
      <c r="O274" s="60">
        <v>2</v>
      </c>
      <c r="P274" s="48"/>
      <c r="Q274" s="108">
        <v>176757.24375217297</v>
      </c>
      <c r="R274" s="108">
        <v>159081.51937695569</v>
      </c>
      <c r="S274" s="92">
        <v>165444.78015203393</v>
      </c>
      <c r="T274" s="92">
        <v>171808.04092711216</v>
      </c>
      <c r="U274" s="93"/>
      <c r="V274" s="91"/>
      <c r="W274" s="98">
        <v>250</v>
      </c>
    </row>
    <row r="275" spans="1:23">
      <c r="A275" s="137" t="s">
        <v>272</v>
      </c>
      <c r="B275" s="56" t="str">
        <f>IFERROR(HYPERLINK(VLOOKUP(A275,ÜRÜNLER!A:C,3,FALSE),VLOOKUP(A275,ÜRÜNLER!A:B,2,FALSE)),"")</f>
        <v>iQ300 Ada Tipi Davlumbaz, 90cm, 438m3, Inox</v>
      </c>
      <c r="C275" s="5">
        <v>2</v>
      </c>
      <c r="D275" s="5"/>
      <c r="E275" s="6"/>
      <c r="F275" s="6"/>
      <c r="G275" s="6"/>
      <c r="H275" s="6"/>
      <c r="I275" s="7">
        <v>1</v>
      </c>
      <c r="J275" s="7"/>
      <c r="K275" s="6"/>
      <c r="L275" s="6">
        <v>2</v>
      </c>
      <c r="M275" s="7"/>
      <c r="N275" s="59">
        <f t="shared" si="9"/>
        <v>5</v>
      </c>
      <c r="O275" s="60"/>
      <c r="P275" s="48"/>
      <c r="Q275" s="96">
        <v>63515.397354714543</v>
      </c>
      <c r="R275" s="102">
        <v>63515.397354714543</v>
      </c>
      <c r="S275" s="92">
        <v>66056.013248903124</v>
      </c>
      <c r="T275" s="92">
        <v>68596.629143091704</v>
      </c>
      <c r="U275" s="93"/>
      <c r="V275" s="91"/>
      <c r="W275" s="101"/>
    </row>
    <row r="276" spans="1:23">
      <c r="A276" s="137" t="s">
        <v>273</v>
      </c>
      <c r="B276" s="56" t="str">
        <f>IFERROR(HYPERLINK(VLOOKUP(A276,ÜRÜNLER!A:C,3,FALSE),VLOOKUP(A276,ÜRÜNLER!A:B,2,FALSE)),"")</f>
        <v>iQ500 studioLine Ada Tipi Davlumbaz, 90cm, Inox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08">
        <v>106742.33838065849</v>
      </c>
      <c r="R276" s="108">
        <v>96068.104542592642</v>
      </c>
      <c r="S276" s="92">
        <v>99910.828724296342</v>
      </c>
      <c r="T276" s="92">
        <v>103753.55290600006</v>
      </c>
      <c r="U276" s="93"/>
      <c r="V276" s="91"/>
      <c r="W276" s="98">
        <v>250</v>
      </c>
    </row>
    <row r="277" spans="1:23">
      <c r="A277" s="137" t="s">
        <v>270</v>
      </c>
      <c r="B277" s="56" t="str">
        <f>IFERROR(HYPERLINK(VLOOKUP(A277,ÜRÜNLER!A:C,3,FALSE),VLOOKUP(A277,ÜRÜNLER!A:B,2,FALSE)),"")</f>
        <v>iQ700 studioLine Tavan Tipi Davlumbaz, 105cm, Siyah</v>
      </c>
      <c r="C277" s="5"/>
      <c r="D277" s="5">
        <v>6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7</v>
      </c>
      <c r="O277" s="60"/>
      <c r="P277" s="48"/>
      <c r="Q277" s="108">
        <v>312099.04977688513</v>
      </c>
      <c r="R277" s="129">
        <v>271526.17330589006</v>
      </c>
      <c r="S277" s="92">
        <v>282387.22023812565</v>
      </c>
      <c r="T277" s="92">
        <v>293248.26717036124</v>
      </c>
      <c r="U277" s="93"/>
      <c r="V277" s="91"/>
      <c r="W277" s="94">
        <v>1000</v>
      </c>
    </row>
    <row r="278" spans="1:23" ht="33.75" customHeight="1">
      <c r="A278" s="142" t="s">
        <v>1747</v>
      </c>
      <c r="B278" s="56" t="str">
        <f>IFERROR(HYPERLINK(VLOOKUP(A278,ÜRÜNLER!A:C,3,FALSE),VLOOKUP(A278,ÜRÜNLER!A:B,2,FALSE)),"")</f>
        <v/>
      </c>
      <c r="C278" s="5"/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59">
        <f>SUM(N228:N277)</f>
        <v>318</v>
      </c>
      <c r="O278" s="60"/>
      <c r="P278" s="6"/>
      <c r="Q278" s="90"/>
      <c r="R278" s="91"/>
      <c r="S278" s="92"/>
      <c r="T278" s="92"/>
      <c r="U278" s="93"/>
      <c r="V278" s="91"/>
      <c r="W278" s="101"/>
    </row>
    <row r="279" spans="1:23">
      <c r="A279" s="134" t="s">
        <v>277</v>
      </c>
      <c r="B279" s="56" t="str">
        <f>IFERROR(HYPERLINK(VLOOKUP(A279,ÜRÜNLER!A:C,3,FALSE),VLOOKUP(A279,ÜRÜNLER!A:B,2,FALSE)),"")</f>
        <v>iQ100 Gömme Aspiratör, 53cm, 302m3, Gri</v>
      </c>
      <c r="C279" s="5">
        <v>8</v>
      </c>
      <c r="D279" s="5"/>
      <c r="E279" s="6"/>
      <c r="F279" s="6">
        <v>2</v>
      </c>
      <c r="G279" s="6"/>
      <c r="H279" s="6"/>
      <c r="I279" s="7"/>
      <c r="J279" s="7"/>
      <c r="K279" s="6"/>
      <c r="L279" s="6"/>
      <c r="M279" s="7"/>
      <c r="N279" s="59">
        <f t="shared" ref="N279:N289" si="10">M279+K279+L279+J279+I279+H279+G279+F279+E279+D279+C279</f>
        <v>10</v>
      </c>
      <c r="O279" s="60"/>
      <c r="P279" s="48"/>
      <c r="Q279" s="96">
        <v>12283.294659637026</v>
      </c>
      <c r="R279" s="102">
        <v>12283.294659637026</v>
      </c>
      <c r="S279" s="92">
        <v>12774.626446022507</v>
      </c>
      <c r="T279" s="92">
        <v>13265.958232407987</v>
      </c>
      <c r="U279" s="93"/>
      <c r="V279" s="91"/>
      <c r="W279" s="101"/>
    </row>
    <row r="280" spans="1:23">
      <c r="A280" s="130" t="s">
        <v>276</v>
      </c>
      <c r="B280" s="56" t="str">
        <f>IFERROR(HYPERLINK(VLOOKUP(A280,ÜRÜNLER!A:C,3,FALSE),VLOOKUP(A280,ÜRÜNLER!A:B,2,FALSE)),"")</f>
        <v>iQ500 Gömme Aspiratör, 52cm, 570m3, Inox</v>
      </c>
      <c r="C280" s="5">
        <v>2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 t="shared" si="10"/>
        <v>2</v>
      </c>
      <c r="O280" s="60">
        <v>2</v>
      </c>
      <c r="P280" s="48"/>
      <c r="Q280" s="96">
        <v>30701.396746168586</v>
      </c>
      <c r="R280" s="102">
        <v>30701.396746168586</v>
      </c>
      <c r="S280" s="92">
        <v>31929.452616015329</v>
      </c>
      <c r="T280" s="92">
        <v>33157.508485862076</v>
      </c>
      <c r="U280" s="93"/>
      <c r="V280" s="91"/>
      <c r="W280" s="101"/>
    </row>
    <row r="281" spans="1:23">
      <c r="A281" s="134" t="s">
        <v>1635</v>
      </c>
      <c r="B281" s="56" t="str">
        <f>IFERROR(HYPERLINK(VLOOKUP(A281,ÜRÜNLER!A:C,3,FALSE),VLOOKUP(A281,ÜRÜNLER!A:B,2,FALSE)),"")</f>
        <v>iQ100 Gömme Aspiratör, 73cm, 302m3, Gri</v>
      </c>
      <c r="C281" s="5">
        <v>4</v>
      </c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 t="shared" si="10"/>
        <v>4</v>
      </c>
      <c r="O281" s="60"/>
      <c r="P281" s="48"/>
      <c r="Q281" s="96">
        <v>13394.970915059126</v>
      </c>
      <c r="R281" s="102">
        <v>13394.970915059126</v>
      </c>
      <c r="S281" s="92">
        <v>13930.769751661492</v>
      </c>
      <c r="T281" s="92">
        <v>14466.568588263857</v>
      </c>
      <c r="U281" s="93"/>
      <c r="V281" s="91"/>
      <c r="W281" s="101"/>
    </row>
    <row r="282" spans="1:23">
      <c r="A282" s="134" t="s">
        <v>1515</v>
      </c>
      <c r="B282" s="56" t="str">
        <f>IFERROR(HYPERLINK(VLOOKUP(A282,ÜRÜNLER!A:C,3,FALSE),VLOOKUP(A282,ÜRÜNLER!A:B,2,FALSE)),"")</f>
        <v>iQ300 Gömme Aspiratör, 75cm, 379m3, Metalik Gümüş</v>
      </c>
      <c r="C282" s="5"/>
      <c r="D282" s="5"/>
      <c r="E282" s="6"/>
      <c r="F282" s="6"/>
      <c r="G282" s="6"/>
      <c r="H282" s="6"/>
      <c r="I282" s="7">
        <v>1</v>
      </c>
      <c r="J282" s="7"/>
      <c r="K282" s="6"/>
      <c r="L282" s="6"/>
      <c r="M282" s="7"/>
      <c r="N282" s="59">
        <f t="shared" si="10"/>
        <v>1</v>
      </c>
      <c r="O282" s="60"/>
      <c r="P282" s="48"/>
      <c r="Q282" s="90" t="s">
        <v>1781</v>
      </c>
      <c r="R282" s="91">
        <v>35000</v>
      </c>
      <c r="S282" s="92">
        <v>36400</v>
      </c>
      <c r="T282" s="92">
        <v>37800</v>
      </c>
      <c r="U282" s="93"/>
      <c r="V282" s="91"/>
      <c r="W282" s="113">
        <v>1000</v>
      </c>
    </row>
    <row r="283" spans="1:23">
      <c r="A283" s="134" t="s">
        <v>279</v>
      </c>
      <c r="B283" s="56" t="str">
        <f>IFERROR(HYPERLINK(VLOOKUP(A283,ÜRÜNLER!A:C,3,FALSE),VLOOKUP(A283,ÜRÜNLER!A:B,2,FALSE)),"")</f>
        <v>iQ500 Gömme Aspiratör, 86cm, 600m3, Inox</v>
      </c>
      <c r="C283" s="5">
        <v>3</v>
      </c>
      <c r="D283" s="5"/>
      <c r="E283" s="6"/>
      <c r="F283" s="6">
        <v>1</v>
      </c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>
        <v>2</v>
      </c>
      <c r="P283" s="48"/>
      <c r="Q283" s="96">
        <v>41753.899574789284</v>
      </c>
      <c r="R283" s="102">
        <v>41753.899574789284</v>
      </c>
      <c r="S283" s="92">
        <v>43424.055557780855</v>
      </c>
      <c r="T283" s="92">
        <v>45094.211540772427</v>
      </c>
      <c r="U283" s="93"/>
      <c r="V283" s="91"/>
      <c r="W283" s="101"/>
    </row>
    <row r="284" spans="1:23">
      <c r="A284" s="135" t="s">
        <v>278</v>
      </c>
      <c r="B284" s="56" t="str">
        <f>IFERROR(HYPERLINK(VLOOKUP(A284,ÜRÜNLER!A:C,3,FALSE),VLOOKUP(A284,ÜRÜNLER!A:B,2,FALSE)),"")</f>
        <v>iQ700 Gömme Aspiratör, 86cm, 595m3, Siyah</v>
      </c>
      <c r="C284" s="5">
        <v>1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1</v>
      </c>
      <c r="O284" s="60">
        <v>6</v>
      </c>
      <c r="P284" s="48"/>
      <c r="Q284" s="96">
        <v>46760.809604888731</v>
      </c>
      <c r="R284" s="102">
        <v>46760.809604888731</v>
      </c>
      <c r="S284" s="92">
        <v>48631.241989084279</v>
      </c>
      <c r="T284" s="92">
        <v>50501.674373279828</v>
      </c>
      <c r="U284" s="93"/>
      <c r="V284" s="91"/>
      <c r="W284" s="101"/>
    </row>
    <row r="285" spans="1:23">
      <c r="A285" s="134" t="s">
        <v>274</v>
      </c>
      <c r="B285" s="56" t="str">
        <f>IFERROR(HYPERLINK(VLOOKUP(A285,ÜRÜNLER!A:C,3,FALSE),VLOOKUP(A285,ÜRÜNLER!A:B,2,FALSE)),"")</f>
        <v>iQ100 Teleskopik Aspiratör, 60cm, 310m3, Gümüş</v>
      </c>
      <c r="C285" s="5"/>
      <c r="D285" s="5"/>
      <c r="E285" s="6"/>
      <c r="F285" s="6">
        <v>1</v>
      </c>
      <c r="G285" s="6">
        <v>1</v>
      </c>
      <c r="H285" s="6"/>
      <c r="I285" s="7"/>
      <c r="J285" s="7"/>
      <c r="K285" s="6"/>
      <c r="L285" s="6"/>
      <c r="M285" s="7"/>
      <c r="N285" s="59">
        <f t="shared" si="10"/>
        <v>2</v>
      </c>
      <c r="O285" s="60"/>
      <c r="P285" s="48"/>
      <c r="Q285" s="96">
        <v>8173.6702310901737</v>
      </c>
      <c r="R285" s="102">
        <v>8173.6702310901737</v>
      </c>
      <c r="S285" s="92">
        <v>8500.6170403337801</v>
      </c>
      <c r="T285" s="92">
        <v>8827.5638495773874</v>
      </c>
      <c r="U285" s="93"/>
      <c r="V285" s="91"/>
      <c r="W285" s="101"/>
    </row>
    <row r="286" spans="1:23">
      <c r="A286" s="134" t="s">
        <v>275</v>
      </c>
      <c r="B286" s="56" t="str">
        <f>IFERROR(HYPERLINK(VLOOKUP(A286,ÜRÜNLER!A:C,3,FALSE),VLOOKUP(A286,ÜRÜNLER!A:B,2,FALSE)),"")</f>
        <v>iQ100 Teleskopik Aspiratör, 60cm, 310m3, Beyaz</v>
      </c>
      <c r="C286" s="5">
        <v>8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9</v>
      </c>
      <c r="O286" s="60"/>
      <c r="P286" s="48"/>
      <c r="Q286" s="96">
        <v>8175.9693838278199</v>
      </c>
      <c r="R286" s="102">
        <v>8175.9693838278199</v>
      </c>
      <c r="S286" s="92">
        <v>8503.0081591809321</v>
      </c>
      <c r="T286" s="92">
        <v>8830.0469345340462</v>
      </c>
      <c r="U286" s="93"/>
      <c r="V286" s="91"/>
      <c r="W286" s="101"/>
    </row>
    <row r="287" spans="1:23">
      <c r="A287" s="134" t="s">
        <v>1738</v>
      </c>
      <c r="B287" s="56" t="str">
        <f>IFERROR(HYPERLINK(VLOOKUP(A287,ÜRÜNLER!A:C,3,FALSE),VLOOKUP(A287,ÜRÜNLER!A:B,2,FALSE)),"")</f>
        <v>iQ300 Tam Entegre Davlumbaz, 60cm, 582m3, Cam Dekor, Mat Siyah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4</v>
      </c>
      <c r="O287" s="60"/>
      <c r="P287" s="48"/>
      <c r="Q287" s="96">
        <v>23392.692461206181</v>
      </c>
      <c r="R287" s="102">
        <v>23392.692461206181</v>
      </c>
      <c r="S287" s="92">
        <v>24328.400159654429</v>
      </c>
      <c r="T287" s="92">
        <v>25264.107858102674</v>
      </c>
      <c r="U287" s="93"/>
      <c r="V287" s="91"/>
      <c r="W287" s="101"/>
    </row>
    <row r="288" spans="1:23">
      <c r="A288" s="134" t="s">
        <v>1741</v>
      </c>
      <c r="B288" s="56" t="str">
        <f>IFERROR(HYPERLINK(VLOOKUP(A288,ÜRÜNLER!A:C,3,FALSE),VLOOKUP(A288,ÜRÜNLER!A:B,2,FALSE)),"")</f>
        <v>iQ500 Tam Entegre Davlumbaz, 60cm, 433m3,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0</v>
      </c>
      <c r="O288" s="60">
        <v>5</v>
      </c>
      <c r="P288" s="48"/>
      <c r="Q288" s="96">
        <v>34912.761062400008</v>
      </c>
      <c r="R288" s="102">
        <v>34912.761062400008</v>
      </c>
      <c r="S288" s="92">
        <v>36309.271504896009</v>
      </c>
      <c r="T288" s="92">
        <v>37705.78194739201</v>
      </c>
      <c r="U288" s="93"/>
      <c r="V288" s="91"/>
      <c r="W288" s="101"/>
    </row>
    <row r="289" spans="1:23">
      <c r="A289" s="134" t="s">
        <v>1744</v>
      </c>
      <c r="B289" s="56" t="str">
        <f>IFERROR(HYPERLINK(VLOOKUP(A289,ÜRÜNLER!A:C,3,FALSE),VLOOKUP(A289,ÜRÜNLER!A:B,2,FALSE)),"")</f>
        <v>iQ300 Tam Entegre Davlumbaz, 80cm, 582m3, Cam Dekor, Mat Siyah</v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0</v>
      </c>
      <c r="O289" s="60">
        <v>5</v>
      </c>
      <c r="P289" s="48"/>
      <c r="Q289" s="96">
        <v>31351.540128463344</v>
      </c>
      <c r="R289" s="102">
        <v>31351.540128463344</v>
      </c>
      <c r="S289" s="92">
        <v>32605.601733601878</v>
      </c>
      <c r="T289" s="92">
        <v>33859.663338740414</v>
      </c>
      <c r="U289" s="93"/>
      <c r="V289" s="91"/>
      <c r="W289" s="101"/>
    </row>
    <row r="290" spans="1:23" ht="39.75" customHeight="1">
      <c r="A290" s="142" t="s">
        <v>280</v>
      </c>
      <c r="B290" s="56" t="str">
        <f>IFERROR(HYPERLINK(VLOOKUP(A290,ÜRÜNLER!A:C,3,FALSE),VLOOKUP(A290,ÜRÜNLER!A:B,2,FALSE)),"")</f>
        <v/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>SUM(N279:N289)</f>
        <v>37</v>
      </c>
      <c r="O290" s="60"/>
      <c r="P290" s="6"/>
      <c r="Q290" s="90"/>
      <c r="R290" s="91"/>
      <c r="S290" s="92"/>
      <c r="T290" s="92"/>
      <c r="U290" s="93"/>
      <c r="V290" s="91"/>
      <c r="W290" s="101"/>
    </row>
    <row r="291" spans="1:23">
      <c r="A291" s="152" t="s">
        <v>1784</v>
      </c>
      <c r="B291" s="56" t="str">
        <f>IFERROR(HYPERLINK(VLOOKUP(A291,ÜRÜNLER!A:C,3,FALSE),VLOOKUP(A291,ÜRÜNLER!A:B,2,FALSE)),"")</f>
        <v>iQ700 Gazlı Ocak, 60cm, Sert Cam, Siyah, Döküm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ref="N291:N354" si="11">M291+K291+L291+J291+I291+H291+G291+F291+E291+D291+C291</f>
        <v>2</v>
      </c>
      <c r="O291" s="60"/>
      <c r="P291" s="6"/>
      <c r="Q291" s="96">
        <v>62410.717699532492</v>
      </c>
      <c r="R291" s="102">
        <v>62410.717699532492</v>
      </c>
      <c r="S291" s="92">
        <v>64907.146407513792</v>
      </c>
      <c r="T291" s="92">
        <v>67403.575115495085</v>
      </c>
      <c r="U291" s="93"/>
      <c r="V291" s="91"/>
      <c r="W291" s="101"/>
    </row>
    <row r="292" spans="1:23">
      <c r="A292" s="152" t="s">
        <v>1785</v>
      </c>
      <c r="B292" s="56" t="str">
        <f>IFERROR(HYPERLINK(VLOOKUP(A292,ÜRÜNLER!A:C,3,FALSE),VLOOKUP(A292,ÜRÜNLER!A:B,2,FALSE)),"")</f>
        <v>iQ700 Gazlı Domino Ocak, 30cm, Tek Gözlü, Seramik, Siyah, Wok</v>
      </c>
      <c r="C292" s="5">
        <v>2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2</v>
      </c>
      <c r="O292" s="60"/>
      <c r="P292" s="6"/>
      <c r="Q292" s="96">
        <v>43810.407637860662</v>
      </c>
      <c r="R292" s="102">
        <v>43810.407637860662</v>
      </c>
      <c r="S292" s="92">
        <v>45562.823943375086</v>
      </c>
      <c r="T292" s="92">
        <v>47315.240248889517</v>
      </c>
      <c r="U292" s="93"/>
      <c r="V292" s="91"/>
      <c r="W292" s="101"/>
    </row>
    <row r="293" spans="1:23">
      <c r="A293" s="152" t="s">
        <v>1786</v>
      </c>
      <c r="B293" s="56" t="str">
        <f>IFERROR(HYPERLINK(VLOOKUP(A293,ÜRÜNLER!A:C,3,FALSE),VLOOKUP(A293,ÜRÜNLER!A:B,2,FALSE)),"")</f>
        <v>iQ700 Gazlı Domino Ocak, 30cm, 2 Gözlü, Seramik,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1"/>
        <v>0</v>
      </c>
      <c r="O293" s="60">
        <v>2</v>
      </c>
      <c r="P293" s="6"/>
      <c r="Q293" s="96">
        <v>42292.842639628252</v>
      </c>
      <c r="R293" s="102">
        <v>42292.842639628252</v>
      </c>
      <c r="S293" s="92">
        <v>43984.556345213379</v>
      </c>
      <c r="T293" s="92">
        <v>45676.270050798514</v>
      </c>
      <c r="U293" s="93"/>
      <c r="V293" s="91"/>
      <c r="W293" s="101"/>
    </row>
    <row r="294" spans="1:23">
      <c r="A294" s="152" t="s">
        <v>1787</v>
      </c>
      <c r="B294" s="56" t="str">
        <f>IFERROR(HYPERLINK(VLOOKUP(A294,ÜRÜNLER!A:C,3,FALSE),VLOOKUP(A294,ÜRÜNLER!A:B,2,FALSE)),"")</f>
        <v>iQ500 Gazlı Ocak, 90cm, 5 Gözlü, Inox, Döküm,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6">
        <v>59636.536430670632</v>
      </c>
      <c r="R294" s="102">
        <v>59636.536430670632</v>
      </c>
      <c r="S294" s="92">
        <v>62021.997887897458</v>
      </c>
      <c r="T294" s="92">
        <v>64407.459345124284</v>
      </c>
      <c r="U294" s="93"/>
      <c r="V294" s="91"/>
      <c r="W294" s="101"/>
    </row>
    <row r="295" spans="1:23">
      <c r="A295" s="152" t="s">
        <v>1788</v>
      </c>
      <c r="B295" s="56" t="str">
        <f>IFERROR(HYPERLINK(VLOOKUP(A295,ÜRÜNLER!A:C,3,FALSE),VLOOKUP(A295,ÜRÜNLER!A:B,2,FALSE)),"")</f>
        <v>iQ500 Gazlı Ocak, 60cm, Sert Cam, Beyaz,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/>
      <c r="P295" s="6"/>
      <c r="Q295" s="96">
        <v>40480.642086453685</v>
      </c>
      <c r="R295" s="102">
        <v>40480.642086453685</v>
      </c>
      <c r="S295" s="92">
        <v>42099.867769911834</v>
      </c>
      <c r="T295" s="92">
        <v>43719.093453369976</v>
      </c>
      <c r="U295" s="93"/>
      <c r="V295" s="91"/>
      <c r="W295" s="101"/>
    </row>
    <row r="296" spans="1:23">
      <c r="A296" s="152" t="s">
        <v>1488</v>
      </c>
      <c r="B296" s="56" t="str">
        <f>IFERROR(HYPERLINK(VLOOKUP(A296,ÜRÜNLER!A:C,3,FALSE),VLOOKUP(A296,ÜRÜNLER!A:B,2,FALSE)),"")</f>
        <v>iQ300 Gazlı Ocak, 67cm, Sert Cam, Beyaz</v>
      </c>
      <c r="C296" s="5">
        <v>5</v>
      </c>
      <c r="D296" s="5"/>
      <c r="E296" s="6"/>
      <c r="F296" s="6">
        <v>1</v>
      </c>
      <c r="G296" s="6"/>
      <c r="H296" s="6"/>
      <c r="I296" s="7"/>
      <c r="J296" s="7"/>
      <c r="K296" s="6"/>
      <c r="L296" s="6"/>
      <c r="M296" s="7"/>
      <c r="N296" s="59">
        <f t="shared" si="11"/>
        <v>6</v>
      </c>
      <c r="O296" s="60"/>
      <c r="P296" s="6"/>
      <c r="Q296" s="96">
        <v>16643.846961626783</v>
      </c>
      <c r="R296" s="102">
        <v>16643.846961626783</v>
      </c>
      <c r="S296" s="92">
        <v>17309.600840091854</v>
      </c>
      <c r="T296" s="92">
        <v>17975.354718556926</v>
      </c>
      <c r="U296" s="93"/>
      <c r="V296" s="91"/>
      <c r="W296" s="101"/>
    </row>
    <row r="297" spans="1:23">
      <c r="A297" s="153" t="s">
        <v>1636</v>
      </c>
      <c r="B297" s="56" t="str">
        <f>IFERROR(HYPERLINK(VLOOKUP(A297,ÜRÜNLER!A:C,3,FALSE),VLOOKUP(A297,ÜRÜNLER!A:B,2,FALSE)),"")</f>
        <v>iQ100 Ankastre Gazlı Ocak, 60cm, Emaye, Beyaz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9">
        <f t="shared" si="11"/>
        <v>1</v>
      </c>
      <c r="O297" s="60"/>
      <c r="P297" s="48"/>
      <c r="Q297" s="90" t="s">
        <v>1781</v>
      </c>
      <c r="R297" s="91">
        <v>7500</v>
      </c>
      <c r="S297" s="92">
        <v>7800</v>
      </c>
      <c r="T297" s="92">
        <v>8100</v>
      </c>
      <c r="U297" s="93"/>
      <c r="V297" s="91"/>
      <c r="W297" s="113">
        <v>500</v>
      </c>
    </row>
    <row r="298" spans="1:23">
      <c r="A298" s="153" t="s">
        <v>1505</v>
      </c>
      <c r="B298" s="56" t="str">
        <f>IFERROR(HYPERLINK(VLOOKUP(A298,ÜRÜNLER!A:C,3,FALSE),VLOOKUP(A298,ÜRÜNLER!A:B,2,FALSE)),"")</f>
        <v>iQ300 Gazlı Ocak, 60cm, Sert Cam, Siyah</v>
      </c>
      <c r="C298" s="5"/>
      <c r="D298" s="5"/>
      <c r="E298" s="6"/>
      <c r="F298" s="6"/>
      <c r="G298" s="6"/>
      <c r="H298" s="6"/>
      <c r="I298" s="7"/>
      <c r="J298" s="7"/>
      <c r="K298" s="6">
        <v>1</v>
      </c>
      <c r="L298" s="6"/>
      <c r="M298" s="7"/>
      <c r="N298" s="59">
        <f t="shared" si="11"/>
        <v>1</v>
      </c>
      <c r="O298" s="60"/>
      <c r="P298" s="48"/>
      <c r="Q298" s="90" t="s">
        <v>1781</v>
      </c>
      <c r="R298" s="91">
        <v>16000</v>
      </c>
      <c r="S298" s="92">
        <v>16640</v>
      </c>
      <c r="T298" s="92">
        <v>17280</v>
      </c>
      <c r="U298" s="93"/>
      <c r="V298" s="91"/>
      <c r="W298" s="113">
        <v>500</v>
      </c>
    </row>
    <row r="299" spans="1:23">
      <c r="A299" s="153" t="s">
        <v>1364</v>
      </c>
      <c r="B299" s="56" t="str">
        <f>IFERROR(HYPERLINK(VLOOKUP(A299,ÜRÜNLER!A:C,3,FALSE),VLOOKUP(A299,ÜRÜNLER!A:B,2,FALSE)),"")</f>
        <v>iQ100 Gazlı Ocak, 60cm, Sert Cam, Beyaz, Döküm</v>
      </c>
      <c r="C299" s="5">
        <v>5</v>
      </c>
      <c r="D299" s="5"/>
      <c r="E299" s="6"/>
      <c r="F299" s="6"/>
      <c r="G299" s="6"/>
      <c r="H299" s="6"/>
      <c r="I299" s="7">
        <v>1</v>
      </c>
      <c r="J299" s="7"/>
      <c r="K299" s="6"/>
      <c r="L299" s="6"/>
      <c r="M299" s="7"/>
      <c r="N299" s="59">
        <f t="shared" si="11"/>
        <v>6</v>
      </c>
      <c r="O299" s="60"/>
      <c r="P299" s="48"/>
      <c r="Q299" s="90" t="s">
        <v>1781</v>
      </c>
      <c r="R299" s="91">
        <v>13000</v>
      </c>
      <c r="S299" s="92">
        <v>13520</v>
      </c>
      <c r="T299" s="92">
        <v>14040</v>
      </c>
      <c r="U299" s="93"/>
      <c r="V299" s="91"/>
      <c r="W299" s="101"/>
    </row>
    <row r="300" spans="1:23">
      <c r="A300" s="153" t="s">
        <v>1638</v>
      </c>
      <c r="B300" s="56" t="str">
        <f>IFERROR(HYPERLINK(VLOOKUP(A300,ÜRÜNLER!A:C,3,FALSE),VLOOKUP(A300,ÜRÜNLER!A:B,2,FALSE)),"")</f>
        <v>iQ100 Gazlı Ocak, 60cm, Sert Cam, Siyah, Wok</v>
      </c>
      <c r="C300" s="5">
        <v>1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2</v>
      </c>
      <c r="O300" s="60"/>
      <c r="P300" s="48"/>
      <c r="Q300" s="90" t="s">
        <v>1781</v>
      </c>
      <c r="R300" s="91">
        <v>12500</v>
      </c>
      <c r="S300" s="92">
        <v>13000</v>
      </c>
      <c r="T300" s="92">
        <v>13500</v>
      </c>
      <c r="U300" s="93"/>
      <c r="V300" s="91"/>
      <c r="W300" s="101"/>
    </row>
    <row r="301" spans="1:23">
      <c r="A301" s="154" t="s">
        <v>283</v>
      </c>
      <c r="B301" s="56" t="str">
        <f>IFERROR(HYPERLINK(VLOOKUP(A301,ÜRÜNLER!A:C,3,FALSE),VLOOKUP(A301,ÜRÜNLER!A:B,2,FALSE)),"")</f>
        <v>iQ100 Gazlı Ocak, 60cm, Emaye, Beyaz</v>
      </c>
      <c r="C301" s="5"/>
      <c r="D301" s="5"/>
      <c r="E301" s="6"/>
      <c r="F301" s="6">
        <v>1</v>
      </c>
      <c r="G301" s="6"/>
      <c r="H301" s="6"/>
      <c r="I301" s="7">
        <v>1</v>
      </c>
      <c r="J301" s="7"/>
      <c r="K301" s="6"/>
      <c r="L301" s="6">
        <v>1</v>
      </c>
      <c r="M301" s="7"/>
      <c r="N301" s="59">
        <f t="shared" si="11"/>
        <v>3</v>
      </c>
      <c r="O301" s="60"/>
      <c r="P301" s="48"/>
      <c r="Q301" s="90" t="s">
        <v>1781</v>
      </c>
      <c r="R301" s="91">
        <v>7500</v>
      </c>
      <c r="S301" s="92">
        <v>7800</v>
      </c>
      <c r="T301" s="92">
        <v>8100</v>
      </c>
      <c r="U301" s="93"/>
      <c r="V301" s="91"/>
      <c r="W301" s="98">
        <v>250</v>
      </c>
    </row>
    <row r="302" spans="1:23">
      <c r="A302" s="154" t="s">
        <v>284</v>
      </c>
      <c r="B302" s="56" t="str">
        <f>IFERROR(HYPERLINK(VLOOKUP(A302,ÜRÜNLER!A:C,3,FALSE),VLOOKUP(A302,ÜRÜNLER!A:B,2,FALSE)),"")</f>
        <v>iQ100 Gazlı/Elektrikli Ocak, 60cm, Inox</v>
      </c>
      <c r="C302" s="5">
        <v>3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90" t="s">
        <v>1781</v>
      </c>
      <c r="R302" s="91">
        <v>9000</v>
      </c>
      <c r="S302" s="92">
        <v>9360</v>
      </c>
      <c r="T302" s="92">
        <v>9720</v>
      </c>
      <c r="U302" s="93"/>
      <c r="V302" s="91"/>
      <c r="W302" s="98">
        <v>250</v>
      </c>
    </row>
    <row r="303" spans="1:23">
      <c r="A303" s="154" t="s">
        <v>285</v>
      </c>
      <c r="B303" s="56" t="str">
        <f>IFERROR(HYPERLINK(VLOOKUP(A303,ÜRÜNLER!A:C,3,FALSE),VLOOKUP(A303,ÜRÜNLER!A:B,2,FALSE)),"")</f>
        <v>iQ100 Gazlı Ocak, 60cm, Emaye, Siyah</v>
      </c>
      <c r="C303" s="5">
        <v>2</v>
      </c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9">
        <f t="shared" si="11"/>
        <v>3</v>
      </c>
      <c r="O303" s="60"/>
      <c r="P303" s="48"/>
      <c r="Q303" s="90" t="s">
        <v>1781</v>
      </c>
      <c r="R303" s="91">
        <v>7500</v>
      </c>
      <c r="S303" s="92">
        <v>7800</v>
      </c>
      <c r="T303" s="92">
        <v>8100</v>
      </c>
      <c r="U303" s="93"/>
      <c r="V303" s="91"/>
      <c r="W303" s="98">
        <v>250</v>
      </c>
    </row>
    <row r="304" spans="1:23">
      <c r="A304" s="155" t="s">
        <v>286</v>
      </c>
      <c r="B304" s="56" t="str">
        <f>IFERROR(HYPERLINK(VLOOKUP(A304,ÜRÜNLER!A:C,3,FALSE),VLOOKUP(A304,ÜRÜNLER!A:B,2,FALSE)),"")</f>
        <v>iQ500 Gazlı Ocak, 60cm, Inox, Döküm</v>
      </c>
      <c r="C304" s="5"/>
      <c r="D304" s="5"/>
      <c r="E304" s="6"/>
      <c r="F304" s="6"/>
      <c r="G304" s="6"/>
      <c r="H304" s="6"/>
      <c r="I304" s="7"/>
      <c r="J304" s="7"/>
      <c r="K304" s="6"/>
      <c r="L304" s="6">
        <v>1</v>
      </c>
      <c r="M304" s="7"/>
      <c r="N304" s="59">
        <f t="shared" si="11"/>
        <v>1</v>
      </c>
      <c r="O304" s="60"/>
      <c r="P304" s="48"/>
      <c r="Q304" s="90" t="s">
        <v>1781</v>
      </c>
      <c r="R304" s="91">
        <v>30000</v>
      </c>
      <c r="S304" s="92">
        <v>31200</v>
      </c>
      <c r="T304" s="92">
        <v>32400</v>
      </c>
      <c r="U304" s="93"/>
      <c r="V304" s="91"/>
      <c r="W304" s="94">
        <v>1000</v>
      </c>
    </row>
    <row r="305" spans="1:23">
      <c r="A305" s="137" t="s">
        <v>288</v>
      </c>
      <c r="B305" s="56" t="str">
        <f>IFERROR(HYPERLINK(VLOOKUP(A305,ÜRÜNLER!A:C,3,FALSE),VLOOKUP(A305,ÜRÜNLER!A:B,2,FALSE)),"")</f>
        <v>iQ300 Gazlı Ocak, 60cm, Inox, Döküm</v>
      </c>
      <c r="C305" s="5"/>
      <c r="D305" s="5"/>
      <c r="E305" s="6"/>
      <c r="F305" s="6"/>
      <c r="G305" s="6"/>
      <c r="H305" s="6"/>
      <c r="I305" s="7">
        <v>1</v>
      </c>
      <c r="J305" s="7"/>
      <c r="K305" s="6"/>
      <c r="L305" s="6"/>
      <c r="M305" s="7"/>
      <c r="N305" s="59">
        <f t="shared" si="11"/>
        <v>1</v>
      </c>
      <c r="O305" s="60"/>
      <c r="P305" s="48"/>
      <c r="Q305" s="90" t="s">
        <v>1781</v>
      </c>
      <c r="R305" s="91">
        <v>20000</v>
      </c>
      <c r="S305" s="92">
        <v>20800</v>
      </c>
      <c r="T305" s="92">
        <v>21600</v>
      </c>
      <c r="U305" s="93"/>
      <c r="V305" s="91"/>
      <c r="W305" s="94">
        <v>1000</v>
      </c>
    </row>
    <row r="306" spans="1:23">
      <c r="A306" s="137" t="s">
        <v>289</v>
      </c>
      <c r="B306" s="56" t="str">
        <f>IFERROR(HYPERLINK(VLOOKUP(A306,ÜRÜNLER!A:C,3,FALSE),VLOOKUP(A306,ÜRÜNLER!A:B,2,FALSE)),"")</f>
        <v>iQ300 Gazlı Ocak, 60cm, Sert Cam, Beyaz, Döküm</v>
      </c>
      <c r="C306" s="5">
        <v>2</v>
      </c>
      <c r="D306" s="5"/>
      <c r="E306" s="6"/>
      <c r="F306" s="6">
        <v>1</v>
      </c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96">
        <v>22680.244991927226</v>
      </c>
      <c r="R306" s="102">
        <v>22680.244991927226</v>
      </c>
      <c r="S306" s="92">
        <v>23587.454791604316</v>
      </c>
      <c r="T306" s="92">
        <v>24494.664591281406</v>
      </c>
      <c r="U306" s="93"/>
      <c r="V306" s="91"/>
      <c r="W306" s="91"/>
    </row>
    <row r="307" spans="1:23">
      <c r="A307" s="143" t="s">
        <v>291</v>
      </c>
      <c r="B307" s="56" t="str">
        <f>IFERROR(HYPERLINK(VLOOKUP(A307,ÜRÜNLER!A:C,3,FALSE),VLOOKUP(A307,ÜRÜNLER!A:B,2,FALSE)),"")</f>
        <v>iQ100 Gazlı Ocak, 60cm, Sert Cam, Siyah, Wok</v>
      </c>
      <c r="C307" s="5"/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9">
        <f t="shared" si="11"/>
        <v>1</v>
      </c>
      <c r="O307" s="60"/>
      <c r="P307" s="48"/>
      <c r="Q307" s="90" t="s">
        <v>1781</v>
      </c>
      <c r="R307" s="91">
        <v>20000</v>
      </c>
      <c r="S307" s="92">
        <v>20800</v>
      </c>
      <c r="T307" s="92">
        <v>21600</v>
      </c>
      <c r="U307" s="93"/>
      <c r="V307" s="91"/>
      <c r="W307" s="94">
        <v>500</v>
      </c>
    </row>
    <row r="308" spans="1:23">
      <c r="A308" s="145" t="s">
        <v>292</v>
      </c>
      <c r="B308" s="56" t="str">
        <f>IFERROR(HYPERLINK(VLOOKUP(A308,ÜRÜNLER!A:C,3,FALSE),VLOOKUP(A308,ÜRÜNLER!A:B,2,FALSE)),"")</f>
        <v>iQ100 Gazlı Ocak, 60cm, Sert Cam, Titanyum Gri</v>
      </c>
      <c r="C308" s="5">
        <v>2</v>
      </c>
      <c r="D308" s="5"/>
      <c r="E308" s="6"/>
      <c r="F308" s="6"/>
      <c r="G308" s="6"/>
      <c r="H308" s="6"/>
      <c r="I308" s="7"/>
      <c r="J308" s="7">
        <v>1</v>
      </c>
      <c r="K308" s="6"/>
      <c r="L308" s="6"/>
      <c r="M308" s="7"/>
      <c r="N308" s="59">
        <f t="shared" si="11"/>
        <v>3</v>
      </c>
      <c r="O308" s="60"/>
      <c r="P308" s="48"/>
      <c r="Q308" s="90" t="s">
        <v>1781</v>
      </c>
      <c r="R308" s="91">
        <v>17000</v>
      </c>
      <c r="S308" s="92">
        <v>17680</v>
      </c>
      <c r="T308" s="92">
        <v>18360</v>
      </c>
      <c r="U308" s="93"/>
      <c r="V308" s="91"/>
      <c r="W308" s="94">
        <v>500</v>
      </c>
    </row>
    <row r="309" spans="1:23">
      <c r="A309" s="145" t="s">
        <v>293</v>
      </c>
      <c r="B309" s="56" t="str">
        <f>IFERROR(HYPERLINK(VLOOKUP(A309,ÜRÜNLER!A:C,3,FALSE),VLOOKUP(A309,ÜRÜNLER!A:B,2,FALSE)),"")</f>
        <v>iQ100 Gazlı Ocak, 60cm, Sert Cam, Antrasit Gri</v>
      </c>
      <c r="C309" s="5">
        <v>19</v>
      </c>
      <c r="D309" s="5"/>
      <c r="E309" s="6"/>
      <c r="F309" s="6"/>
      <c r="G309" s="6"/>
      <c r="H309" s="6"/>
      <c r="I309" s="7">
        <v>1</v>
      </c>
      <c r="J309" s="7">
        <v>1</v>
      </c>
      <c r="K309" s="6">
        <v>1</v>
      </c>
      <c r="L309" s="6">
        <v>1</v>
      </c>
      <c r="M309" s="7"/>
      <c r="N309" s="59">
        <f t="shared" si="11"/>
        <v>23</v>
      </c>
      <c r="O309" s="60"/>
      <c r="P309" s="48"/>
      <c r="Q309" s="90" t="s">
        <v>1781</v>
      </c>
      <c r="R309" s="91">
        <v>15633.936</v>
      </c>
      <c r="S309" s="92">
        <v>16259.293439999999</v>
      </c>
      <c r="T309" s="92">
        <v>16884.650880000001</v>
      </c>
      <c r="U309" s="93"/>
      <c r="V309" s="91"/>
      <c r="W309" s="94">
        <v>500</v>
      </c>
    </row>
    <row r="310" spans="1:23">
      <c r="A310" s="156" t="s">
        <v>294</v>
      </c>
      <c r="B310" s="56" t="str">
        <f>IFERROR(HYPERLINK(VLOOKUP(A310,ÜRÜNLER!A:C,3,FALSE),VLOOKUP(A310,ÜRÜNLER!A:B,2,FALSE)),"")</f>
        <v>iQ300 Gazlı Ocak, 60cm, Sert Cam, Beyaz</v>
      </c>
      <c r="C310" s="5">
        <v>3</v>
      </c>
      <c r="D310" s="5"/>
      <c r="E310" s="6"/>
      <c r="F310" s="6"/>
      <c r="G310" s="6"/>
      <c r="H310" s="6"/>
      <c r="I310" s="7"/>
      <c r="J310" s="7"/>
      <c r="K310" s="6"/>
      <c r="L310" s="6"/>
      <c r="M310" s="7">
        <v>1</v>
      </c>
      <c r="N310" s="59">
        <f t="shared" si="11"/>
        <v>4</v>
      </c>
      <c r="O310" s="60"/>
      <c r="P310" s="48"/>
      <c r="Q310" s="90" t="s">
        <v>1781</v>
      </c>
      <c r="R310" s="91">
        <v>14000</v>
      </c>
      <c r="S310" s="92">
        <v>14560</v>
      </c>
      <c r="T310" s="92">
        <v>15120</v>
      </c>
      <c r="U310" s="93"/>
      <c r="V310" s="91"/>
      <c r="W310" s="94">
        <v>500</v>
      </c>
    </row>
    <row r="311" spans="1:23">
      <c r="A311" s="137" t="s">
        <v>295</v>
      </c>
      <c r="B311" s="56" t="str">
        <f>IFERROR(HYPERLINK(VLOOKUP(A311,ÜRÜNLER!A:C,3,FALSE),VLOOKUP(A311,ÜRÜNLER!A:B,2,FALSE)),"")</f>
        <v>iQ300 Gazlı Ocak, 60cm, Sert Cam, Beyaz</v>
      </c>
      <c r="C311" s="5">
        <v>7</v>
      </c>
      <c r="D311" s="5"/>
      <c r="E311" s="6"/>
      <c r="F311" s="6"/>
      <c r="G311" s="6"/>
      <c r="H311" s="6"/>
      <c r="I311" s="7"/>
      <c r="J311" s="7"/>
      <c r="K311" s="6"/>
      <c r="L311" s="6"/>
      <c r="M311" s="7"/>
      <c r="N311" s="59">
        <f t="shared" si="11"/>
        <v>7</v>
      </c>
      <c r="O311" s="60">
        <v>5</v>
      </c>
      <c r="P311" s="48"/>
      <c r="Q311" s="96">
        <v>14043.161202229287</v>
      </c>
      <c r="R311" s="102">
        <v>14043.161202229287</v>
      </c>
      <c r="S311" s="92">
        <v>14604.887650318458</v>
      </c>
      <c r="T311" s="92">
        <v>15166.61409840763</v>
      </c>
      <c r="U311" s="93"/>
      <c r="V311" s="91"/>
      <c r="W311" s="101"/>
    </row>
    <row r="312" spans="1:23">
      <c r="A312" s="143" t="s">
        <v>299</v>
      </c>
      <c r="B312" s="56" t="str">
        <f>IFERROR(HYPERLINK(VLOOKUP(A312,ÜRÜNLER!A:C,3,FALSE),VLOOKUP(A312,ÜRÜNLER!A:B,2,FALSE)),"")</f>
        <v>iQ300 Gazlı Ocak, 60cm, Sert Cam, Siyah</v>
      </c>
      <c r="C312" s="5">
        <v>12</v>
      </c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>
        <v>1</v>
      </c>
      <c r="N312" s="59">
        <f t="shared" si="11"/>
        <v>14</v>
      </c>
      <c r="O312" s="60">
        <v>5</v>
      </c>
      <c r="P312" s="48"/>
      <c r="Q312" s="96">
        <v>14043.161202229287</v>
      </c>
      <c r="R312" s="102">
        <v>14043.161202229287</v>
      </c>
      <c r="S312" s="92">
        <v>14604.887650318458</v>
      </c>
      <c r="T312" s="92">
        <v>15166.61409840763</v>
      </c>
      <c r="U312" s="93"/>
      <c r="V312" s="91"/>
      <c r="W312" s="101"/>
    </row>
    <row r="313" spans="1:23">
      <c r="A313" s="145" t="s">
        <v>300</v>
      </c>
      <c r="B313" s="56" t="str">
        <f>IFERROR(HYPERLINK(VLOOKUP(A313,ÜRÜNLER!A:C,3,FALSE),VLOOKUP(A313,ÜRÜNLER!A:B,2,FALSE)),"")</f>
        <v>iQ100 Gazlı Ocak, 60cm, Sert Cam, Titanyum Gri</v>
      </c>
      <c r="C313" s="5"/>
      <c r="D313" s="5"/>
      <c r="E313" s="6"/>
      <c r="F313" s="6"/>
      <c r="G313" s="6"/>
      <c r="H313" s="6"/>
      <c r="I313" s="7"/>
      <c r="J313" s="7"/>
      <c r="K313" s="6"/>
      <c r="L313" s="6">
        <v>1</v>
      </c>
      <c r="M313" s="7"/>
      <c r="N313" s="59">
        <f t="shared" si="11"/>
        <v>1</v>
      </c>
      <c r="O313" s="60"/>
      <c r="P313" s="48"/>
      <c r="Q313" s="90" t="s">
        <v>1781</v>
      </c>
      <c r="R313" s="91">
        <v>13000</v>
      </c>
      <c r="S313" s="92">
        <v>13520</v>
      </c>
      <c r="T313" s="92">
        <v>14040</v>
      </c>
      <c r="U313" s="93"/>
      <c r="V313" s="91"/>
      <c r="W313" s="113">
        <v>500</v>
      </c>
    </row>
    <row r="314" spans="1:23">
      <c r="A314" s="145" t="s">
        <v>301</v>
      </c>
      <c r="B314" s="56" t="str">
        <f>IFERROR(HYPERLINK(VLOOKUP(A314,ÜRÜNLER!A:C,3,FALSE),VLOOKUP(A314,ÜRÜNLER!A:B,2,FALSE)),"")</f>
        <v>iQ100 Gazlı Ocak, 60cm, Sert Cam, Titanyum Gri, Döküm</v>
      </c>
      <c r="C314" s="5">
        <v>4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4</v>
      </c>
      <c r="O314" s="60"/>
      <c r="P314" s="48"/>
      <c r="Q314" s="90" t="s">
        <v>1781</v>
      </c>
      <c r="R314" s="91">
        <v>17000</v>
      </c>
      <c r="S314" s="92">
        <v>17680</v>
      </c>
      <c r="T314" s="92">
        <v>18360</v>
      </c>
      <c r="U314" s="93"/>
      <c r="V314" s="91"/>
      <c r="W314" s="101">
        <v>250</v>
      </c>
    </row>
    <row r="315" spans="1:23">
      <c r="A315" s="145" t="s">
        <v>302</v>
      </c>
      <c r="B315" s="56" t="str">
        <f>IFERROR(HYPERLINK(VLOOKUP(A315,ÜRÜNLER!A:C,3,FALSE),VLOOKUP(A315,ÜRÜNLER!A:B,2,FALSE)),"")</f>
        <v>iQ300 Gazlı Ocak, 60cm, Sert Cam, Antrasit</v>
      </c>
      <c r="C315" s="5">
        <v>14</v>
      </c>
      <c r="D315" s="5"/>
      <c r="E315" s="6"/>
      <c r="F315" s="6"/>
      <c r="G315" s="6"/>
      <c r="H315" s="6"/>
      <c r="I315" s="7">
        <v>1</v>
      </c>
      <c r="J315" s="7">
        <v>1</v>
      </c>
      <c r="K315" s="6">
        <v>1</v>
      </c>
      <c r="L315" s="6"/>
      <c r="M315" s="7"/>
      <c r="N315" s="59">
        <f t="shared" si="11"/>
        <v>17</v>
      </c>
      <c r="O315" s="60"/>
      <c r="P315" s="48"/>
      <c r="Q315" s="96">
        <v>14043.161202229287</v>
      </c>
      <c r="R315" s="102">
        <v>14043.161202229287</v>
      </c>
      <c r="S315" s="92">
        <v>14604.887650318458</v>
      </c>
      <c r="T315" s="92">
        <v>15166.61409840763</v>
      </c>
      <c r="U315" s="93"/>
      <c r="V315" s="91"/>
      <c r="W315" s="101"/>
    </row>
    <row r="316" spans="1:23">
      <c r="A316" s="145" t="s">
        <v>303</v>
      </c>
      <c r="B316" s="56" t="str">
        <f>IFERROR(HYPERLINK(VLOOKUP(A316,ÜRÜNLER!A:C,3,FALSE),VLOOKUP(A316,ÜRÜNLER!A:B,2,FALSE)),"")</f>
        <v>iQ300 Gazlı Ocak, 60cm, Sert Cam, Antrasit Gri</v>
      </c>
      <c r="C316" s="5">
        <v>7</v>
      </c>
      <c r="D316" s="5"/>
      <c r="E316" s="6"/>
      <c r="F316" s="6">
        <v>1</v>
      </c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10</v>
      </c>
      <c r="O316" s="60"/>
      <c r="P316" s="48"/>
      <c r="Q316" s="90" t="s">
        <v>1781</v>
      </c>
      <c r="R316" s="91">
        <v>10000</v>
      </c>
      <c r="S316" s="92">
        <v>10400</v>
      </c>
      <c r="T316" s="92">
        <v>10800</v>
      </c>
      <c r="U316" s="93"/>
      <c r="V316" s="91"/>
      <c r="W316" s="98">
        <v>250</v>
      </c>
    </row>
    <row r="317" spans="1:23">
      <c r="A317" s="134" t="s">
        <v>304</v>
      </c>
      <c r="B317" s="56" t="str">
        <f>IFERROR(HYPERLINK(VLOOKUP(A317,ÜRÜNLER!A:C,3,FALSE),VLOOKUP(A317,ÜRÜNLER!A:B,2,FALSE)),"")</f>
        <v>iQ300 Gazlı Ocak, 67cm, Sert Cam, Beyaz, Wok</v>
      </c>
      <c r="C317" s="5">
        <v>10</v>
      </c>
      <c r="D317" s="5"/>
      <c r="E317" s="6"/>
      <c r="F317" s="6"/>
      <c r="G317" s="6"/>
      <c r="H317" s="6"/>
      <c r="I317" s="7">
        <v>1</v>
      </c>
      <c r="J317" s="7">
        <v>1</v>
      </c>
      <c r="K317" s="6"/>
      <c r="L317" s="6"/>
      <c r="M317" s="7"/>
      <c r="N317" s="59">
        <f t="shared" si="11"/>
        <v>12</v>
      </c>
      <c r="O317" s="60"/>
      <c r="P317" s="48"/>
      <c r="Q317" s="96">
        <v>20815.94583760824</v>
      </c>
      <c r="R317" s="102">
        <v>20815.94583760824</v>
      </c>
      <c r="S317" s="92">
        <v>21648.58367111257</v>
      </c>
      <c r="T317" s="92">
        <v>22481.2215046169</v>
      </c>
      <c r="U317" s="93"/>
      <c r="V317" s="91"/>
      <c r="W317" s="101"/>
    </row>
    <row r="318" spans="1:23">
      <c r="A318" s="134" t="s">
        <v>305</v>
      </c>
      <c r="B318" s="56" t="str">
        <f>IFERROR(HYPERLINK(VLOOKUP(A318,ÜRÜNLER!A:C,3,FALSE),VLOOKUP(A318,ÜRÜNLER!A:B,2,FALSE)),"")</f>
        <v>iQ300 Gazlı Ocak, 67cm, Sert Cam, Beyaz</v>
      </c>
      <c r="C318" s="5">
        <v>26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26</v>
      </c>
      <c r="O318" s="60"/>
      <c r="P318" s="48"/>
      <c r="Q318" s="96">
        <v>16643.846961626783</v>
      </c>
      <c r="R318" s="102">
        <v>16643.846961626783</v>
      </c>
      <c r="S318" s="92">
        <v>17309.600840091854</v>
      </c>
      <c r="T318" s="92">
        <v>17975.354718556926</v>
      </c>
      <c r="U318" s="93"/>
      <c r="V318" s="91"/>
      <c r="W318" s="101"/>
    </row>
    <row r="319" spans="1:23">
      <c r="A319" s="134" t="s">
        <v>306</v>
      </c>
      <c r="B319" s="56" t="str">
        <f>IFERROR(HYPERLINK(VLOOKUP(A319,ÜRÜNLER!A:C,3,FALSE),VLOOKUP(A319,ÜRÜNLER!A:B,2,FALSE)),"")</f>
        <v>iQ100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/>
      <c r="L319" s="6">
        <v>1</v>
      </c>
      <c r="M319" s="7"/>
      <c r="N319" s="59">
        <f t="shared" si="11"/>
        <v>1</v>
      </c>
      <c r="O319" s="60"/>
      <c r="P319" s="48"/>
      <c r="Q319" s="90" t="s">
        <v>1781</v>
      </c>
      <c r="R319" s="91">
        <v>12000</v>
      </c>
      <c r="S319" s="92">
        <v>12480</v>
      </c>
      <c r="T319" s="92">
        <v>12960</v>
      </c>
      <c r="U319" s="93"/>
      <c r="V319" s="91"/>
      <c r="W319" s="113">
        <v>500</v>
      </c>
    </row>
    <row r="320" spans="1:23">
      <c r="A320" s="157" t="s">
        <v>307</v>
      </c>
      <c r="B320" s="56" t="str">
        <f>IFERROR(HYPERLINK(VLOOKUP(A320,ÜRÜNLER!A:C,3,FALSE),VLOOKUP(A320,ÜRÜNLER!A:B,2,FALSE)),"")</f>
        <v>iQ300 Gazlı Ocak, 67cm, Sert Cam, Beyaz</v>
      </c>
      <c r="C320" s="5"/>
      <c r="D320" s="5"/>
      <c r="E320" s="6"/>
      <c r="F320" s="6"/>
      <c r="G320" s="6"/>
      <c r="H320" s="6"/>
      <c r="I320" s="7"/>
      <c r="J320" s="7"/>
      <c r="K320" s="6">
        <v>1</v>
      </c>
      <c r="L320" s="6">
        <v>4</v>
      </c>
      <c r="M320" s="7"/>
      <c r="N320" s="59">
        <f t="shared" si="11"/>
        <v>5</v>
      </c>
      <c r="O320" s="60"/>
      <c r="P320" s="48"/>
      <c r="Q320" s="90" t="s">
        <v>1781</v>
      </c>
      <c r="R320" s="91">
        <v>12000</v>
      </c>
      <c r="S320" s="92">
        <v>12480</v>
      </c>
      <c r="T320" s="92">
        <v>12960</v>
      </c>
      <c r="U320" s="93"/>
      <c r="V320" s="91"/>
      <c r="W320" s="113">
        <v>500</v>
      </c>
    </row>
    <row r="321" spans="1:23">
      <c r="A321" s="134" t="s">
        <v>308</v>
      </c>
      <c r="B321" s="56" t="str">
        <f>IFERROR(HYPERLINK(VLOOKUP(A321,ÜRÜNLER!A:C,3,FALSE),VLOOKUP(A321,ÜRÜNLER!A:B,2,FALSE)),"")</f>
        <v>iQ300 Gazlı Ocak, 67cm, Sert Cam, Siyah, Wok</v>
      </c>
      <c r="C321" s="5"/>
      <c r="D321" s="5"/>
      <c r="E321" s="6"/>
      <c r="F321" s="6"/>
      <c r="G321" s="6"/>
      <c r="H321" s="6"/>
      <c r="I321" s="7"/>
      <c r="J321" s="7"/>
      <c r="K321" s="6">
        <v>1</v>
      </c>
      <c r="L321" s="6"/>
      <c r="M321" s="7"/>
      <c r="N321" s="59">
        <f t="shared" si="11"/>
        <v>1</v>
      </c>
      <c r="O321" s="60"/>
      <c r="P321" s="48"/>
      <c r="Q321" s="90" t="s">
        <v>1781</v>
      </c>
      <c r="R321" s="91">
        <v>15000</v>
      </c>
      <c r="S321" s="92">
        <v>15600</v>
      </c>
      <c r="T321" s="92">
        <v>16200</v>
      </c>
      <c r="U321" s="93"/>
      <c r="V321" s="91"/>
      <c r="W321" s="113">
        <v>500</v>
      </c>
    </row>
    <row r="322" spans="1:23">
      <c r="A322" s="134" t="s">
        <v>309</v>
      </c>
      <c r="B322" s="56" t="str">
        <f>IFERROR(HYPERLINK(VLOOKUP(A322,ÜRÜNLER!A:C,3,FALSE),VLOOKUP(A322,ÜRÜNLER!A:B,2,FALSE)),"")</f>
        <v>iQ300 Gazlı Ocak, 67cm, Sert Cam, Siyah, Wok</v>
      </c>
      <c r="C322" s="5">
        <v>10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10</v>
      </c>
      <c r="O322" s="60"/>
      <c r="P322" s="48"/>
      <c r="Q322" s="96">
        <v>20815.94583760824</v>
      </c>
      <c r="R322" s="117">
        <v>19358.829628975662</v>
      </c>
      <c r="S322" s="92">
        <v>20133.182814134689</v>
      </c>
      <c r="T322" s="92">
        <v>20907.535999293716</v>
      </c>
      <c r="U322" s="93"/>
      <c r="V322" s="91"/>
      <c r="W322" s="101"/>
    </row>
    <row r="323" spans="1:23">
      <c r="A323" s="134" t="s">
        <v>310</v>
      </c>
      <c r="B323" s="56" t="str">
        <f>IFERROR(HYPERLINK(VLOOKUP(A323,ÜRÜNLER!A:C,3,FALSE),VLOOKUP(A323,ÜRÜNLER!A:B,2,FALSE)),"")</f>
        <v>iQ300 Gazlı Ocak, 67cm, Sert Cam, Siyah</v>
      </c>
      <c r="C323" s="5"/>
      <c r="D323" s="5"/>
      <c r="E323" s="6"/>
      <c r="F323" s="6"/>
      <c r="G323" s="6"/>
      <c r="H323" s="6"/>
      <c r="I323" s="7"/>
      <c r="J323" s="7">
        <v>2</v>
      </c>
      <c r="K323" s="6"/>
      <c r="L323" s="6">
        <v>3</v>
      </c>
      <c r="M323" s="7"/>
      <c r="N323" s="59">
        <f t="shared" si="11"/>
        <v>5</v>
      </c>
      <c r="O323" s="60"/>
      <c r="P323" s="48"/>
      <c r="Q323" s="90" t="s">
        <v>1781</v>
      </c>
      <c r="R323" s="91">
        <v>13000</v>
      </c>
      <c r="S323" s="92">
        <v>13520</v>
      </c>
      <c r="T323" s="92">
        <v>14040</v>
      </c>
      <c r="U323" s="93"/>
      <c r="V323" s="91"/>
      <c r="W323" s="113">
        <v>500</v>
      </c>
    </row>
    <row r="324" spans="1:23">
      <c r="A324" s="134" t="s">
        <v>311</v>
      </c>
      <c r="B324" s="56" t="str">
        <f>IFERROR(HYPERLINK(VLOOKUP(A324,ÜRÜNLER!A:C,3,FALSE),VLOOKUP(A324,ÜRÜNLER!A:B,2,FALSE)),"")</f>
        <v>iQ300 Gazlı Ocak, 67cm, Sert Cam, Siyah</v>
      </c>
      <c r="C324" s="5">
        <v>14</v>
      </c>
      <c r="D324" s="5"/>
      <c r="E324" s="6"/>
      <c r="F324" s="6"/>
      <c r="G324" s="6"/>
      <c r="H324" s="6"/>
      <c r="I324" s="7">
        <v>1</v>
      </c>
      <c r="J324" s="7"/>
      <c r="K324" s="6"/>
      <c r="L324" s="6">
        <v>1</v>
      </c>
      <c r="M324" s="7">
        <v>1</v>
      </c>
      <c r="N324" s="59">
        <f t="shared" si="11"/>
        <v>17</v>
      </c>
      <c r="O324" s="60"/>
      <c r="P324" s="48"/>
      <c r="Q324" s="96">
        <v>16643.846961626783</v>
      </c>
      <c r="R324" s="102">
        <v>16643.846961626783</v>
      </c>
      <c r="S324" s="92">
        <v>17309.600840091854</v>
      </c>
      <c r="T324" s="92">
        <v>17975.354718556926</v>
      </c>
      <c r="U324" s="93"/>
      <c r="V324" s="91"/>
      <c r="W324" s="101"/>
    </row>
    <row r="325" spans="1:23">
      <c r="A325" s="145" t="s">
        <v>312</v>
      </c>
      <c r="B325" s="56" t="str">
        <f>IFERROR(HYPERLINK(VLOOKUP(A325,ÜRÜNLER!A:C,3,FALSE),VLOOKUP(A325,ÜRÜNLER!A:B,2,FALSE)),"")</f>
        <v>iQ300 Gazlı Ocak, 67cm, Sert Cam, Antrasit Gri, Wok</v>
      </c>
      <c r="C325" s="5">
        <v>17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17</v>
      </c>
      <c r="O325" s="60"/>
      <c r="P325" s="48"/>
      <c r="Q325" s="96">
        <v>20815.94583760824</v>
      </c>
      <c r="R325" s="102">
        <v>20815.94583760824</v>
      </c>
      <c r="S325" s="92">
        <v>21648.58367111257</v>
      </c>
      <c r="T325" s="92">
        <v>22481.2215046169</v>
      </c>
      <c r="U325" s="93"/>
      <c r="V325" s="91"/>
      <c r="W325" s="101"/>
    </row>
    <row r="326" spans="1:23">
      <c r="A326" s="145" t="s">
        <v>313</v>
      </c>
      <c r="B326" s="56" t="str">
        <f>IFERROR(HYPERLINK(VLOOKUP(A326,ÜRÜNLER!A:C,3,FALSE),VLOOKUP(A326,ÜRÜNLER!A:B,2,FALSE)),"")</f>
        <v>iQ100 Gazlı Ocak, 67cm, Sert Cam, Titanyum Gri</v>
      </c>
      <c r="C326" s="5">
        <v>3</v>
      </c>
      <c r="D326" s="5"/>
      <c r="E326" s="6"/>
      <c r="F326" s="6"/>
      <c r="G326" s="6"/>
      <c r="H326" s="6"/>
      <c r="I326" s="7"/>
      <c r="J326" s="7"/>
      <c r="K326" s="6"/>
      <c r="L326" s="6">
        <v>2</v>
      </c>
      <c r="M326" s="7">
        <v>1</v>
      </c>
      <c r="N326" s="59">
        <f t="shared" si="11"/>
        <v>6</v>
      </c>
      <c r="O326" s="60"/>
      <c r="P326" s="48"/>
      <c r="Q326" s="90" t="s">
        <v>1781</v>
      </c>
      <c r="R326" s="91">
        <v>14000</v>
      </c>
      <c r="S326" s="92">
        <v>14560</v>
      </c>
      <c r="T326" s="92">
        <v>15120</v>
      </c>
      <c r="U326" s="93"/>
      <c r="V326" s="91"/>
      <c r="W326" s="98"/>
    </row>
    <row r="327" spans="1:23">
      <c r="A327" s="145" t="s">
        <v>314</v>
      </c>
      <c r="B327" s="56" t="str">
        <f>IFERROR(HYPERLINK(VLOOKUP(A327,ÜRÜNLER!A:C,3,FALSE),VLOOKUP(A327,ÜRÜNLER!A:B,2,FALSE)),"")</f>
        <v>iQ300 Gazlı Ocak, 67cm, Sert Cam, Antrasit Gri</v>
      </c>
      <c r="C327" s="5">
        <v>10</v>
      </c>
      <c r="D327" s="5"/>
      <c r="E327" s="6"/>
      <c r="F327" s="6">
        <v>1</v>
      </c>
      <c r="G327" s="6"/>
      <c r="H327" s="6"/>
      <c r="I327" s="7">
        <v>1</v>
      </c>
      <c r="J327" s="7"/>
      <c r="K327" s="6"/>
      <c r="L327" s="6"/>
      <c r="M327" s="7"/>
      <c r="N327" s="59">
        <f t="shared" si="11"/>
        <v>12</v>
      </c>
      <c r="O327" s="60">
        <v>10</v>
      </c>
      <c r="P327" s="48"/>
      <c r="Q327" s="96">
        <v>16643.846961626783</v>
      </c>
      <c r="R327" s="102">
        <v>16643.846961626783</v>
      </c>
      <c r="S327" s="92">
        <v>17309.600840091854</v>
      </c>
      <c r="T327" s="92">
        <v>17975.354718556926</v>
      </c>
      <c r="U327" s="93"/>
      <c r="V327" s="91"/>
      <c r="W327" s="101"/>
    </row>
    <row r="328" spans="1:23">
      <c r="A328" s="145" t="s">
        <v>315</v>
      </c>
      <c r="B328" s="56" t="str">
        <f>IFERROR(HYPERLINK(VLOOKUP(A328,ÜRÜNLER!A:C,3,FALSE),VLOOKUP(A328,ÜRÜNLER!A:B,2,FALSE)),"")</f>
        <v>iQ300 Gazlı Ocak, 67cm, Sert Cam, Dark Silver</v>
      </c>
      <c r="C328" s="5"/>
      <c r="D328" s="5"/>
      <c r="E328" s="6"/>
      <c r="F328" s="6"/>
      <c r="G328" s="6"/>
      <c r="H328" s="6"/>
      <c r="I328" s="7"/>
      <c r="J328" s="7"/>
      <c r="K328" s="6"/>
      <c r="L328" s="6">
        <v>1</v>
      </c>
      <c r="M328" s="7"/>
      <c r="N328" s="59">
        <f t="shared" si="11"/>
        <v>1</v>
      </c>
      <c r="O328" s="60"/>
      <c r="P328" s="48"/>
      <c r="Q328" s="90" t="s">
        <v>1781</v>
      </c>
      <c r="R328" s="91">
        <v>15000</v>
      </c>
      <c r="S328" s="92">
        <v>15600</v>
      </c>
      <c r="T328" s="92">
        <v>16200</v>
      </c>
      <c r="U328" s="93"/>
      <c r="V328" s="91"/>
      <c r="W328" s="101"/>
    </row>
    <row r="329" spans="1:23">
      <c r="A329" s="135" t="s">
        <v>316</v>
      </c>
      <c r="B329" s="56" t="str">
        <f>IFERROR(HYPERLINK(VLOOKUP(A329,ÜRÜNLER!A:C,3,FALSE),VLOOKUP(A329,ÜRÜNLER!A:B,2,FALSE)),"")</f>
        <v>iQ500 Gazlı Ocak, 60cm, Sert Cam, Siyah, Döküm, Wok</v>
      </c>
      <c r="C329" s="5">
        <v>3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3</v>
      </c>
      <c r="O329" s="60"/>
      <c r="P329" s="48"/>
      <c r="Q329" s="96">
        <v>42415.288622950866</v>
      </c>
      <c r="R329" s="102">
        <v>42415.288622950866</v>
      </c>
      <c r="S329" s="92">
        <v>44111.900167868902</v>
      </c>
      <c r="T329" s="92">
        <v>45808.511712786938</v>
      </c>
      <c r="U329" s="93"/>
      <c r="V329" s="91"/>
      <c r="W329" s="101"/>
    </row>
    <row r="330" spans="1:23">
      <c r="A330" s="135" t="s">
        <v>317</v>
      </c>
      <c r="B330" s="56" t="str">
        <f>IFERROR(HYPERLINK(VLOOKUP(A330,ÜRÜNLER!A:C,3,FALSE),VLOOKUP(A330,ÜRÜNLER!A:B,2,FALSE)),"")</f>
        <v>iQ500 Gazlı Ocak, 60cm, Sert Cam, Siyah, Döküm</v>
      </c>
      <c r="C330" s="5">
        <v>3</v>
      </c>
      <c r="D330" s="5"/>
      <c r="E330" s="6"/>
      <c r="F330" s="6"/>
      <c r="G330" s="6"/>
      <c r="H330" s="6"/>
      <c r="I330" s="7">
        <v>1</v>
      </c>
      <c r="J330" s="7"/>
      <c r="K330" s="6"/>
      <c r="L330" s="6"/>
      <c r="M330" s="7">
        <v>1</v>
      </c>
      <c r="N330" s="59">
        <f t="shared" si="11"/>
        <v>5</v>
      </c>
      <c r="O330" s="60"/>
      <c r="P330" s="48"/>
      <c r="Q330" s="96">
        <v>40480.642086453685</v>
      </c>
      <c r="R330" s="102">
        <v>40480.642086453685</v>
      </c>
      <c r="S330" s="92">
        <v>42099.867769911834</v>
      </c>
      <c r="T330" s="92">
        <v>43719.093453369976</v>
      </c>
      <c r="U330" s="93"/>
      <c r="V330" s="91"/>
      <c r="W330" s="101"/>
    </row>
    <row r="331" spans="1:23">
      <c r="A331" s="137" t="s">
        <v>318</v>
      </c>
      <c r="B331" s="56" t="str">
        <f>IFERROR(HYPERLINK(VLOOKUP(A331,ÜRÜNLER!A:C,3,FALSE),VLOOKUP(A331,ÜRÜNLER!A:B,2,FALSE)),"")</f>
        <v>iQ500 Gazlı Ocak, 60cm, Sert Cam, Beyaz, Döküm</v>
      </c>
      <c r="C331" s="5">
        <v>2</v>
      </c>
      <c r="D331" s="5"/>
      <c r="E331" s="6"/>
      <c r="F331" s="6"/>
      <c r="G331" s="6"/>
      <c r="H331" s="6"/>
      <c r="I331" s="7"/>
      <c r="J331" s="7">
        <v>1</v>
      </c>
      <c r="K331" s="6">
        <v>1</v>
      </c>
      <c r="L331" s="6">
        <v>2</v>
      </c>
      <c r="M331" s="7"/>
      <c r="N331" s="59">
        <f t="shared" si="11"/>
        <v>6</v>
      </c>
      <c r="O331" s="60"/>
      <c r="P331" s="48"/>
      <c r="Q331" s="90" t="s">
        <v>1781</v>
      </c>
      <c r="R331" s="91">
        <v>26000</v>
      </c>
      <c r="S331" s="92">
        <v>27040</v>
      </c>
      <c r="T331" s="92">
        <v>28080</v>
      </c>
      <c r="U331" s="93"/>
      <c r="V331" s="91"/>
      <c r="W331" s="98">
        <v>250</v>
      </c>
    </row>
    <row r="332" spans="1:23">
      <c r="A332" s="137" t="s">
        <v>319</v>
      </c>
      <c r="B332" s="56" t="str">
        <f>IFERROR(HYPERLINK(VLOOKUP(A332,ÜRÜNLER!A:C,3,FALSE),VLOOKUP(A332,ÜRÜNLER!A:B,2,FALSE)),"")</f>
        <v>iQ500 Gazlı Ocak, 60cm, Sert Cam, Siyah, Döküm, Wok</v>
      </c>
      <c r="C332" s="5"/>
      <c r="D332" s="5"/>
      <c r="E332" s="6"/>
      <c r="F332" s="6">
        <v>2</v>
      </c>
      <c r="G332" s="6"/>
      <c r="H332" s="6"/>
      <c r="I332" s="7"/>
      <c r="J332" s="7"/>
      <c r="K332" s="6"/>
      <c r="L332" s="6">
        <v>2</v>
      </c>
      <c r="M332" s="7"/>
      <c r="N332" s="59">
        <f t="shared" si="11"/>
        <v>4</v>
      </c>
      <c r="O332" s="60"/>
      <c r="P332" s="48"/>
      <c r="Q332" s="90" t="s">
        <v>1781</v>
      </c>
      <c r="R332" s="91">
        <v>26000</v>
      </c>
      <c r="S332" s="92">
        <v>27040</v>
      </c>
      <c r="T332" s="92">
        <v>28080</v>
      </c>
      <c r="U332" s="93"/>
      <c r="V332" s="91"/>
      <c r="W332" s="94">
        <v>1000</v>
      </c>
    </row>
    <row r="333" spans="1:23">
      <c r="A333" s="137" t="s">
        <v>320</v>
      </c>
      <c r="B333" s="56" t="str">
        <f>IFERROR(HYPERLINK(VLOOKUP(A333,ÜRÜNLER!A:C,3,FALSE),VLOOKUP(A333,ÜRÜNLER!A:B,2,FALSE)),"")</f>
        <v>iQ500 Gazlı Ocak, 60cm, Sert Cam, Siyah, Döküm</v>
      </c>
      <c r="C333" s="5">
        <v>1</v>
      </c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59">
        <f t="shared" si="11"/>
        <v>2</v>
      </c>
      <c r="O333" s="60"/>
      <c r="P333" s="48"/>
      <c r="Q333" s="90" t="s">
        <v>1781</v>
      </c>
      <c r="R333" s="91">
        <v>26000</v>
      </c>
      <c r="S333" s="92">
        <v>27040</v>
      </c>
      <c r="T333" s="92">
        <v>28080</v>
      </c>
      <c r="U333" s="93"/>
      <c r="V333" s="91"/>
      <c r="W333" s="98">
        <v>250</v>
      </c>
    </row>
    <row r="334" spans="1:23">
      <c r="A334" s="145" t="s">
        <v>322</v>
      </c>
      <c r="B334" s="56" t="str">
        <f>IFERROR(HYPERLINK(VLOOKUP(A334,ÜRÜNLER!A:C,3,FALSE),VLOOKUP(A334,ÜRÜNLER!A:B,2,FALSE)),"")</f>
        <v>iQ500 Gazlı Ocak, 60cm, Sert Cam, Titanyum Gri, Döküm, Wok</v>
      </c>
      <c r="C334" s="5"/>
      <c r="D334" s="5"/>
      <c r="E334" s="6"/>
      <c r="F334" s="6"/>
      <c r="G334" s="6"/>
      <c r="H334" s="6"/>
      <c r="I334" s="7">
        <v>1</v>
      </c>
      <c r="J334" s="7"/>
      <c r="K334" s="6"/>
      <c r="L334" s="6">
        <v>1</v>
      </c>
      <c r="M334" s="7"/>
      <c r="N334" s="59">
        <f t="shared" si="11"/>
        <v>2</v>
      </c>
      <c r="O334" s="60"/>
      <c r="P334" s="48"/>
      <c r="Q334" s="90" t="s">
        <v>1781</v>
      </c>
      <c r="R334" s="91">
        <v>28000</v>
      </c>
      <c r="S334" s="92">
        <v>29120</v>
      </c>
      <c r="T334" s="92">
        <v>30240</v>
      </c>
      <c r="U334" s="93"/>
      <c r="V334" s="91"/>
      <c r="W334" s="94">
        <v>1000</v>
      </c>
    </row>
    <row r="335" spans="1:23">
      <c r="A335" s="137" t="s">
        <v>323</v>
      </c>
      <c r="B335" s="56" t="str">
        <f>IFERROR(HYPERLINK(VLOOKUP(A335,ÜRÜNLER!A:C,3,FALSE),VLOOKUP(A335,ÜRÜNLER!A:B,2,FALSE)),"")</f>
        <v>iQ300 Gazlı Ocak, 60cm, Sert Cam, Siyah, Döküm</v>
      </c>
      <c r="C335" s="5">
        <v>4</v>
      </c>
      <c r="D335" s="5"/>
      <c r="E335" s="6"/>
      <c r="F335" s="6"/>
      <c r="G335" s="6"/>
      <c r="H335" s="6"/>
      <c r="I335" s="7"/>
      <c r="J335" s="7"/>
      <c r="K335" s="6"/>
      <c r="L335" s="6"/>
      <c r="M335" s="7"/>
      <c r="N335" s="59">
        <f t="shared" si="11"/>
        <v>4</v>
      </c>
      <c r="O335" s="60"/>
      <c r="P335" s="48"/>
      <c r="Q335" s="96">
        <v>22680.244991927226</v>
      </c>
      <c r="R335" s="102">
        <v>22680.244991927226</v>
      </c>
      <c r="S335" s="92">
        <v>23587.454791604316</v>
      </c>
      <c r="T335" s="92">
        <v>24494.664591281406</v>
      </c>
      <c r="U335" s="93"/>
      <c r="V335" s="91"/>
      <c r="W335" s="101"/>
    </row>
    <row r="336" spans="1:23">
      <c r="A336" s="137" t="s">
        <v>324</v>
      </c>
      <c r="B336" s="56" t="str">
        <f>IFERROR(HYPERLINK(VLOOKUP(A336,ÜRÜNLER!A:C,3,FALSE),VLOOKUP(A336,ÜRÜNLER!A:B,2,FALSE)),"")</f>
        <v>iQ300 Gazlı Ocak, 75cm, 4 Gözlü, Sert Cam, Beyaz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/>
      <c r="M336" s="7"/>
      <c r="N336" s="59">
        <f t="shared" si="11"/>
        <v>1</v>
      </c>
      <c r="O336" s="60"/>
      <c r="P336" s="48"/>
      <c r="Q336" s="90" t="s">
        <v>1781</v>
      </c>
      <c r="R336" s="91">
        <v>15000</v>
      </c>
      <c r="S336" s="92">
        <v>15600</v>
      </c>
      <c r="T336" s="92">
        <v>16200</v>
      </c>
      <c r="U336" s="93"/>
      <c r="V336" s="91"/>
      <c r="W336" s="113">
        <v>500</v>
      </c>
    </row>
    <row r="337" spans="1:23">
      <c r="A337" s="137" t="s">
        <v>325</v>
      </c>
      <c r="B337" s="56" t="str">
        <f>IFERROR(HYPERLINK(VLOOKUP(A337,ÜRÜNLER!A:C,3,FALSE),VLOOKUP(A337,ÜRÜNLER!A:B,2,FALSE)),"")</f>
        <v>iQ300 Gazlı Ocak, 75cm, 5 Gözlü, Sert Cam, Beyaz, Wok</v>
      </c>
      <c r="C337" s="5"/>
      <c r="D337" s="5"/>
      <c r="E337" s="6"/>
      <c r="F337" s="6"/>
      <c r="G337" s="6"/>
      <c r="H337" s="6"/>
      <c r="I337" s="7"/>
      <c r="J337" s="7">
        <v>1</v>
      </c>
      <c r="K337" s="6"/>
      <c r="L337" s="6"/>
      <c r="M337" s="7"/>
      <c r="N337" s="59">
        <f t="shared" si="11"/>
        <v>1</v>
      </c>
      <c r="O337" s="60"/>
      <c r="P337" s="48"/>
      <c r="Q337" s="90" t="s">
        <v>1781</v>
      </c>
      <c r="R337" s="91">
        <v>25000</v>
      </c>
      <c r="S337" s="92">
        <v>26000</v>
      </c>
      <c r="T337" s="92">
        <v>27000</v>
      </c>
      <c r="U337" s="93"/>
      <c r="V337" s="91"/>
      <c r="W337" s="113">
        <v>500</v>
      </c>
    </row>
    <row r="338" spans="1:23">
      <c r="A338" s="134" t="s">
        <v>326</v>
      </c>
      <c r="B338" s="56" t="str">
        <f>IFERROR(HYPERLINK(VLOOKUP(A338,ÜRÜNLER!A:C,3,FALSE),VLOOKUP(A338,ÜRÜNLER!A:B,2,FALSE)),"")</f>
        <v>iQ300 Gazlı Ocak, 75cm, 5 Gözlü, Sert Cam, Beyaz, Wok</v>
      </c>
      <c r="C338" s="5">
        <v>8</v>
      </c>
      <c r="D338" s="5"/>
      <c r="E338" s="6"/>
      <c r="F338" s="6"/>
      <c r="G338" s="6"/>
      <c r="H338" s="6"/>
      <c r="I338" s="7"/>
      <c r="J338" s="7"/>
      <c r="K338" s="6">
        <v>1</v>
      </c>
      <c r="L338" s="6"/>
      <c r="M338" s="7">
        <v>1</v>
      </c>
      <c r="N338" s="59">
        <f t="shared" si="11"/>
        <v>10</v>
      </c>
      <c r="O338" s="60"/>
      <c r="P338" s="48"/>
      <c r="Q338" s="96">
        <v>27642.867686790607</v>
      </c>
      <c r="R338" s="102">
        <v>27642.867686790607</v>
      </c>
      <c r="S338" s="92">
        <v>28748.58239426223</v>
      </c>
      <c r="T338" s="92">
        <v>29854.297101733857</v>
      </c>
      <c r="U338" s="93"/>
      <c r="V338" s="91"/>
      <c r="W338" s="101"/>
    </row>
    <row r="339" spans="1:23">
      <c r="A339" s="137" t="s">
        <v>327</v>
      </c>
      <c r="B339" s="56" t="str">
        <f>IFERROR(HYPERLINK(VLOOKUP(A339,ÜRÜNLER!A:C,3,FALSE),VLOOKUP(A339,ÜRÜNLER!A:B,2,FALSE)),"")</f>
        <v>iQ300 Gazlı Ocak, 75cm, 5 Gözlü, Sert Cam, Siyah, Wok</v>
      </c>
      <c r="C339" s="5"/>
      <c r="D339" s="5"/>
      <c r="E339" s="6"/>
      <c r="F339" s="6"/>
      <c r="G339" s="6"/>
      <c r="H339" s="6"/>
      <c r="I339" s="7"/>
      <c r="J339" s="7"/>
      <c r="K339" s="6"/>
      <c r="L339" s="6">
        <v>1</v>
      </c>
      <c r="M339" s="7"/>
      <c r="N339" s="59">
        <f t="shared" si="11"/>
        <v>1</v>
      </c>
      <c r="O339" s="60"/>
      <c r="P339" s="48"/>
      <c r="Q339" s="90" t="s">
        <v>1781</v>
      </c>
      <c r="R339" s="91">
        <v>25000</v>
      </c>
      <c r="S339" s="92">
        <v>26000</v>
      </c>
      <c r="T339" s="92">
        <v>27000</v>
      </c>
      <c r="U339" s="93"/>
      <c r="V339" s="91"/>
      <c r="W339" s="113">
        <v>500</v>
      </c>
    </row>
    <row r="340" spans="1:23">
      <c r="A340" s="135" t="s">
        <v>328</v>
      </c>
      <c r="B340" s="56" t="str">
        <f>IFERROR(HYPERLINK(VLOOKUP(A340,ÜRÜNLER!A:C,3,FALSE),VLOOKUP(A340,ÜRÜNLER!A:B,2,FALSE)),"")</f>
        <v>iQ300 Gazlı Ocak, 75cm, 5 Gözlü, Sert Cam, Siyah, Wok</v>
      </c>
      <c r="C340" s="5">
        <v>7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59">
        <f t="shared" si="11"/>
        <v>7</v>
      </c>
      <c r="O340" s="60"/>
      <c r="P340" s="48"/>
      <c r="Q340" s="96">
        <v>27642.867686790607</v>
      </c>
      <c r="R340" s="102">
        <v>27642.867686790607</v>
      </c>
      <c r="S340" s="92">
        <v>28748.58239426223</v>
      </c>
      <c r="T340" s="92">
        <v>29854.297101733857</v>
      </c>
      <c r="U340" s="93"/>
      <c r="V340" s="91"/>
      <c r="W340" s="101"/>
    </row>
    <row r="341" spans="1:23">
      <c r="A341" s="145" t="s">
        <v>329</v>
      </c>
      <c r="B341" s="56" t="str">
        <f>IFERROR(HYPERLINK(VLOOKUP(A341,ÜRÜNLER!A:C,3,FALSE),VLOOKUP(A341,ÜRÜNLER!A:B,2,FALSE)),"")</f>
        <v>iQ300 Gazlı Ocak, 75cm, 5 Gözlü, Sert Cam, Titanyum Gri, Wok</v>
      </c>
      <c r="C341" s="5">
        <v>1</v>
      </c>
      <c r="D341" s="5"/>
      <c r="E341" s="6"/>
      <c r="F341" s="6">
        <v>1</v>
      </c>
      <c r="G341" s="6"/>
      <c r="H341" s="6"/>
      <c r="I341" s="7">
        <v>2</v>
      </c>
      <c r="J341" s="7"/>
      <c r="K341" s="6"/>
      <c r="L341" s="6">
        <v>1</v>
      </c>
      <c r="M341" s="7"/>
      <c r="N341" s="59">
        <f t="shared" si="11"/>
        <v>5</v>
      </c>
      <c r="O341" s="60"/>
      <c r="P341" s="48"/>
      <c r="Q341" s="90" t="s">
        <v>1781</v>
      </c>
      <c r="R341" s="91">
        <v>20000</v>
      </c>
      <c r="S341" s="92">
        <v>20800</v>
      </c>
      <c r="T341" s="92">
        <v>21600</v>
      </c>
      <c r="U341" s="93"/>
      <c r="V341" s="91"/>
      <c r="W341" s="98">
        <v>250</v>
      </c>
    </row>
    <row r="342" spans="1:23">
      <c r="A342" s="145" t="s">
        <v>465</v>
      </c>
      <c r="B342" s="56" t="str">
        <f>IFERROR(HYPERLINK(VLOOKUP(A342,ÜRÜNLER!A:C,3,FALSE),VLOOKUP(A342,ÜRÜNLER!A:B,2,FALSE)),"")</f>
        <v>iQ300 Gazlı Ocak, 75cm, Sert Cam, Antrasit, Wok</v>
      </c>
      <c r="C342" s="5">
        <v>4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4</v>
      </c>
      <c r="O342" s="60"/>
      <c r="P342" s="48"/>
      <c r="Q342" s="96">
        <v>27642.867686790607</v>
      </c>
      <c r="R342" s="102">
        <v>27642.867686790607</v>
      </c>
      <c r="S342" s="92">
        <v>28748.58239426223</v>
      </c>
      <c r="T342" s="92">
        <v>29854.297101733857</v>
      </c>
      <c r="U342" s="93"/>
      <c r="V342" s="91"/>
      <c r="W342" s="101"/>
    </row>
    <row r="343" spans="1:23">
      <c r="A343" s="137" t="s">
        <v>1323</v>
      </c>
      <c r="B343" s="56" t="str">
        <f>IFERROR(HYPERLINK(VLOOKUP(A343,ÜRÜNLER!A:C,3,FALSE),VLOOKUP(A343,ÜRÜNLER!A:B,2,FALSE)),"")</f>
        <v>iQ500 Gazlı Ocak, 75cm, 5 Gözlü, Sert Cam, Beyaz,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96">
        <v>54623.153160214708</v>
      </c>
      <c r="R343" s="105">
        <v>51891.995502203972</v>
      </c>
      <c r="S343" s="92">
        <v>53967.675322292132</v>
      </c>
      <c r="T343" s="92">
        <v>56043.355142380293</v>
      </c>
      <c r="U343" s="93"/>
      <c r="V343" s="91"/>
      <c r="W343" s="98">
        <v>250</v>
      </c>
    </row>
    <row r="344" spans="1:23">
      <c r="A344" s="137" t="s">
        <v>330</v>
      </c>
      <c r="B344" s="56" t="str">
        <f>IFERROR(HYPERLINK(VLOOKUP(A344,ÜRÜNLER!A:C,3,FALSE),VLOOKUP(A344,ÜRÜNLER!A:B,2,FALSE)),"")</f>
        <v>iQ500 Gazlı Ocak, 75cm, 5 Gözlü, Sert Cam, Beyaz, Döküm, Wok</v>
      </c>
      <c r="C344" s="5"/>
      <c r="D344" s="5"/>
      <c r="E344" s="6"/>
      <c r="F344" s="6">
        <v>1</v>
      </c>
      <c r="G344" s="6"/>
      <c r="H344" s="6"/>
      <c r="I344" s="7">
        <v>2</v>
      </c>
      <c r="J344" s="7">
        <v>1</v>
      </c>
      <c r="K344" s="6"/>
      <c r="L344" s="6">
        <v>2</v>
      </c>
      <c r="M344" s="7">
        <v>1</v>
      </c>
      <c r="N344" s="59">
        <f t="shared" si="11"/>
        <v>7</v>
      </c>
      <c r="O344" s="60"/>
      <c r="P344" s="48"/>
      <c r="Q344" s="90" t="s">
        <v>1781</v>
      </c>
      <c r="R344" s="91">
        <v>42000</v>
      </c>
      <c r="S344" s="92">
        <v>43680</v>
      </c>
      <c r="T344" s="92">
        <v>45360</v>
      </c>
      <c r="U344" s="93"/>
      <c r="V344" s="91"/>
      <c r="W344" s="94">
        <v>1000</v>
      </c>
    </row>
    <row r="345" spans="1:23">
      <c r="A345" s="137" t="s">
        <v>331</v>
      </c>
      <c r="B345" s="56" t="str">
        <f>IFERROR(HYPERLINK(VLOOKUP(A345,ÜRÜNLER!A:C,3,FALSE),VLOOKUP(A345,ÜRÜNLER!A:B,2,FALSE)),"")</f>
        <v>iQ500 Gazlı Ocak, 75cm, 5 Gözlü, Sert Cam, Siyah, Wok</v>
      </c>
      <c r="C345" s="5"/>
      <c r="D345" s="5"/>
      <c r="E345" s="6"/>
      <c r="F345" s="6"/>
      <c r="G345" s="6"/>
      <c r="H345" s="6"/>
      <c r="I345" s="7">
        <v>1</v>
      </c>
      <c r="J345" s="7">
        <v>1</v>
      </c>
      <c r="K345" s="6"/>
      <c r="L345" s="6">
        <v>2</v>
      </c>
      <c r="M345" s="7"/>
      <c r="N345" s="59">
        <f t="shared" si="11"/>
        <v>4</v>
      </c>
      <c r="O345" s="60"/>
      <c r="P345" s="48"/>
      <c r="Q345" s="90" t="s">
        <v>1781</v>
      </c>
      <c r="R345" s="91">
        <v>42000</v>
      </c>
      <c r="S345" s="92">
        <v>43680</v>
      </c>
      <c r="T345" s="92">
        <v>45360</v>
      </c>
      <c r="U345" s="93"/>
      <c r="V345" s="91"/>
      <c r="W345" s="94">
        <v>1000</v>
      </c>
    </row>
    <row r="346" spans="1:23">
      <c r="A346" s="134" t="s">
        <v>332</v>
      </c>
      <c r="B346" s="56" t="str">
        <f>IFERROR(HYPERLINK(VLOOKUP(A346,ÜRÜNLER!A:C,3,FALSE),VLOOKUP(A346,ÜRÜNLER!A:B,2,FALSE)),"")</f>
        <v>iQ500 Gazlı Ocak, 75cm, 5 Gözlü, Sert Cam, Siyah, Döküm, Wok</v>
      </c>
      <c r="C346" s="5"/>
      <c r="D346" s="5"/>
      <c r="E346" s="6"/>
      <c r="F346" s="6"/>
      <c r="G346" s="6"/>
      <c r="H346" s="6"/>
      <c r="I346" s="7">
        <v>1</v>
      </c>
      <c r="J346" s="7"/>
      <c r="K346" s="6"/>
      <c r="L346" s="6"/>
      <c r="M346" s="7"/>
      <c r="N346" s="59">
        <f t="shared" si="11"/>
        <v>1</v>
      </c>
      <c r="O346" s="60"/>
      <c r="P346" s="48"/>
      <c r="Q346" s="90" t="s">
        <v>1781</v>
      </c>
      <c r="R346" s="91">
        <v>42000</v>
      </c>
      <c r="S346" s="92">
        <v>43680</v>
      </c>
      <c r="T346" s="92">
        <v>45360</v>
      </c>
      <c r="U346" s="93"/>
      <c r="V346" s="91"/>
      <c r="W346" s="94">
        <v>1000</v>
      </c>
    </row>
    <row r="347" spans="1:23">
      <c r="A347" s="134" t="s">
        <v>333</v>
      </c>
      <c r="B347" s="56" t="str">
        <f>IFERROR(HYPERLINK(VLOOKUP(A347,ÜRÜNLER!A:C,3,FALSE),VLOOKUP(A347,ÜRÜNLER!A:B,2,FALSE)),"")</f>
        <v>iQ500 Gazlı Ocak, 75cm, 5 Gözlü, Inox, Döküm, Wok</v>
      </c>
      <c r="C347" s="5">
        <v>1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1</v>
      </c>
      <c r="O347" s="60"/>
      <c r="P347" s="48"/>
      <c r="Q347" s="96">
        <v>49651.962852539102</v>
      </c>
      <c r="R347" s="102">
        <v>49651.962852539102</v>
      </c>
      <c r="S347" s="92">
        <v>51638.041366640668</v>
      </c>
      <c r="T347" s="92">
        <v>53624.119880742233</v>
      </c>
      <c r="U347" s="93"/>
      <c r="V347" s="91"/>
      <c r="W347" s="101"/>
    </row>
    <row r="348" spans="1:23">
      <c r="A348" s="137" t="s">
        <v>334</v>
      </c>
      <c r="B348" s="56" t="str">
        <f>IFERROR(HYPERLINK(VLOOKUP(A348,ÜRÜNLER!A:C,3,FALSE),VLOOKUP(A348,ÜRÜNLER!A:B,2,FALSE)),"")</f>
        <v>iQ500 Gazlı Ocak, 75cm, 5 Gözlü, Inox,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90" t="s">
        <v>1781</v>
      </c>
      <c r="R348" s="91">
        <v>40000</v>
      </c>
      <c r="S348" s="92">
        <v>41600</v>
      </c>
      <c r="T348" s="92">
        <v>43200</v>
      </c>
      <c r="U348" s="93"/>
      <c r="V348" s="91"/>
      <c r="W348" s="94">
        <v>1000</v>
      </c>
    </row>
    <row r="349" spans="1:23">
      <c r="A349" s="158" t="s">
        <v>335</v>
      </c>
      <c r="B349" s="56" t="str">
        <f>IFERROR(HYPERLINK(VLOOKUP(A349,ÜRÜNLER!A:C,3,FALSE),VLOOKUP(A349,ÜRÜNLER!A:B,2,FALSE)),"")</f>
        <v>iQ500 Gazlı Ocak, 90cm, 5 Gözlü, Sert Cam, Siyah, Döküm, Wok</v>
      </c>
      <c r="C349" s="5"/>
      <c r="D349" s="5"/>
      <c r="E349" s="6"/>
      <c r="F349" s="6"/>
      <c r="G349" s="6"/>
      <c r="H349" s="6"/>
      <c r="I349" s="7"/>
      <c r="J349" s="7"/>
      <c r="K349" s="6"/>
      <c r="L349" s="6">
        <v>1</v>
      </c>
      <c r="M349" s="7"/>
      <c r="N349" s="59">
        <f t="shared" si="11"/>
        <v>1</v>
      </c>
      <c r="O349" s="60"/>
      <c r="P349" s="48"/>
      <c r="Q349" s="90" t="s">
        <v>1781</v>
      </c>
      <c r="R349" s="91">
        <v>45000</v>
      </c>
      <c r="S349" s="92">
        <v>46800</v>
      </c>
      <c r="T349" s="92">
        <v>48600</v>
      </c>
      <c r="U349" s="93"/>
      <c r="V349" s="91"/>
      <c r="W349" s="94">
        <v>1000</v>
      </c>
    </row>
    <row r="350" spans="1:23">
      <c r="A350" s="159" t="s">
        <v>336</v>
      </c>
      <c r="B350" s="56" t="str">
        <f>IFERROR(HYPERLINK(VLOOKUP(A350,ÜRÜNLER!A:C,3,FALSE),VLOOKUP(A350,ÜRÜNLER!A:B,2,FALSE)),"")</f>
        <v>iQ500 Gazlı Ocak, 90cm, 5 Gözlü, Sert Cam, Siyah, Döküm, Wok</v>
      </c>
      <c r="C350" s="5">
        <v>1</v>
      </c>
      <c r="D350" s="5"/>
      <c r="E350" s="6"/>
      <c r="F350" s="6">
        <v>2</v>
      </c>
      <c r="G350" s="6"/>
      <c r="H350" s="6"/>
      <c r="I350" s="7"/>
      <c r="J350" s="7">
        <v>1</v>
      </c>
      <c r="K350" s="6"/>
      <c r="L350" s="6"/>
      <c r="M350" s="7"/>
      <c r="N350" s="59">
        <f t="shared" si="11"/>
        <v>4</v>
      </c>
      <c r="O350" s="60"/>
      <c r="P350" s="48"/>
      <c r="Q350" s="96">
        <v>68141.189719030473</v>
      </c>
      <c r="R350" s="102">
        <v>68141.189719030473</v>
      </c>
      <c r="S350" s="92">
        <v>70866.837307791691</v>
      </c>
      <c r="T350" s="92">
        <v>73592.484896552909</v>
      </c>
      <c r="U350" s="93"/>
      <c r="V350" s="91"/>
      <c r="W350" s="98">
        <v>250</v>
      </c>
    </row>
    <row r="351" spans="1:23">
      <c r="A351" s="134" t="s">
        <v>338</v>
      </c>
      <c r="B351" s="56" t="str">
        <f>IFERROR(HYPERLINK(VLOOKUP(A351,ÜRÜNLER!A:C,3,FALSE),VLOOKUP(A351,ÜRÜNLER!A:B,2,FALSE)),"")</f>
        <v>iQ500 Gazlı Ocak, 67cm, Sert Cam, Siyah, Wok, Döküm</v>
      </c>
      <c r="C351" s="5"/>
      <c r="D351" s="5"/>
      <c r="E351" s="6"/>
      <c r="F351" s="6"/>
      <c r="G351" s="6"/>
      <c r="H351" s="6"/>
      <c r="I351" s="7"/>
      <c r="J351" s="7"/>
      <c r="K351" s="6">
        <v>1</v>
      </c>
      <c r="L351" s="6"/>
      <c r="M351" s="7"/>
      <c r="N351" s="59">
        <f t="shared" si="11"/>
        <v>1</v>
      </c>
      <c r="O351" s="60"/>
      <c r="P351" s="48"/>
      <c r="Q351" s="96">
        <v>54623.153160214708</v>
      </c>
      <c r="R351" s="102">
        <v>54623.153160214708</v>
      </c>
      <c r="S351" s="92">
        <v>56808.079286623295</v>
      </c>
      <c r="T351" s="92">
        <v>58993.005413031882</v>
      </c>
      <c r="U351" s="93"/>
      <c r="V351" s="91"/>
      <c r="W351" s="101"/>
    </row>
    <row r="352" spans="1:23">
      <c r="A352" s="158" t="s">
        <v>1319</v>
      </c>
      <c r="B352" s="56" t="str">
        <f>IFERROR(HYPERLINK(VLOOKUP(A352,ÜRÜNLER!A:C,3,FALSE),VLOOKUP(A352,ÜRÜNLER!A:B,2,FALSE)),"")</f>
        <v>iQ700 studioLine Gazlı Ocak, 90cm, 5 Gözlü, Sert Cam, Siyah,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59">
        <f t="shared" si="11"/>
        <v>1</v>
      </c>
      <c r="O352" s="60"/>
      <c r="P352" s="48"/>
      <c r="Q352" s="96">
        <v>96577.07986836003</v>
      </c>
      <c r="R352" s="105">
        <v>91748.225874942029</v>
      </c>
      <c r="S352" s="92">
        <v>95418.154909939709</v>
      </c>
      <c r="T352" s="92">
        <v>99088.083944937389</v>
      </c>
      <c r="U352" s="93"/>
      <c r="V352" s="91"/>
      <c r="W352" s="101"/>
    </row>
    <row r="353" spans="1:23">
      <c r="A353" s="158" t="s">
        <v>340</v>
      </c>
      <c r="B353" s="56" t="str">
        <f>IFERROR(HYPERLINK(VLOOKUP(A353,ÜRÜNLER!A:C,3,FALSE),VLOOKUP(A353,ÜRÜNLER!A:B,2,FALSE)),"")</f>
        <v>iQ700 Gazlı Ocak, 60cm, Seramik, Siyah, Döküm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>
        <v>3</v>
      </c>
      <c r="M353" s="7"/>
      <c r="N353" s="59">
        <f t="shared" si="11"/>
        <v>4</v>
      </c>
      <c r="O353" s="60"/>
      <c r="P353" s="48"/>
      <c r="Q353" s="90" t="s">
        <v>1781</v>
      </c>
      <c r="R353" s="91">
        <v>40000</v>
      </c>
      <c r="S353" s="92">
        <v>41600</v>
      </c>
      <c r="T353" s="92">
        <v>43200</v>
      </c>
      <c r="U353" s="93"/>
      <c r="V353" s="91"/>
      <c r="W353" s="94">
        <v>1000</v>
      </c>
    </row>
    <row r="354" spans="1:23">
      <c r="A354" s="134" t="s">
        <v>341</v>
      </c>
      <c r="B354" s="56" t="str">
        <f>IFERROR(HYPERLINK(VLOOKUP(A354,ÜRÜNLER!A:C,3,FALSE),VLOOKUP(A354,ÜRÜNLER!A:B,2,FALSE)),"")</f>
        <v>iQ500 Moduler Teppanyaki, 40cm, Inox</v>
      </c>
      <c r="C354" s="5">
        <v>2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2</v>
      </c>
      <c r="O354" s="60"/>
      <c r="P354" s="48"/>
      <c r="Q354" s="90" t="s">
        <v>1781</v>
      </c>
      <c r="R354" s="91">
        <v>100000</v>
      </c>
      <c r="S354" s="92">
        <v>104000</v>
      </c>
      <c r="T354" s="92">
        <v>108000</v>
      </c>
      <c r="U354" s="93"/>
      <c r="V354" s="91"/>
      <c r="W354" s="98">
        <v>250</v>
      </c>
    </row>
    <row r="355" spans="1:23">
      <c r="A355" s="134" t="s">
        <v>339</v>
      </c>
      <c r="B355" s="56" t="str">
        <f>IFERROR(HYPERLINK(VLOOKUP(A355,ÜRÜNLER!A:C,3,FALSE),VLOOKUP(A355,ÜRÜNLER!A:B,2,FALSE)),"")</f>
        <v>iQ700 Gazlı Domino Ocak, 30cm, 2 Gözlü, Seramik, Siyah</v>
      </c>
      <c r="C355" s="5"/>
      <c r="D355" s="5"/>
      <c r="E355" s="6"/>
      <c r="F355" s="6">
        <v>1</v>
      </c>
      <c r="G355" s="6"/>
      <c r="H355" s="6"/>
      <c r="I355" s="7"/>
      <c r="J355" s="7"/>
      <c r="K355" s="6"/>
      <c r="L355" s="6"/>
      <c r="M355" s="7"/>
      <c r="N355" s="59">
        <f t="shared" ref="N355:N356" si="12">M355+K355+L355+J355+I355+H355+G355+F355+E355+D355+C355</f>
        <v>1</v>
      </c>
      <c r="O355" s="60"/>
      <c r="P355" s="48"/>
      <c r="Q355" s="90" t="s">
        <v>1781</v>
      </c>
      <c r="R355" s="91">
        <v>35000</v>
      </c>
      <c r="S355" s="92">
        <v>36400</v>
      </c>
      <c r="T355" s="92">
        <v>37800</v>
      </c>
      <c r="U355" s="93"/>
      <c r="V355" s="91"/>
      <c r="W355" s="94">
        <v>1000</v>
      </c>
    </row>
    <row r="356" spans="1:23">
      <c r="A356" s="134" t="s">
        <v>337</v>
      </c>
      <c r="B356" s="56" t="str">
        <f>IFERROR(HYPERLINK(VLOOKUP(A356,ÜRÜNLER!A:C,3,FALSE),VLOOKUP(A356,ÜRÜNLER!A:B,2,FALSE)),"")</f>
        <v>iQ700 Gazlı Domino Ocak, 30cm, Tek Gözlü, Seramik, Siyah, Wok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2"/>
        <v>2</v>
      </c>
      <c r="O356" s="60"/>
      <c r="P356" s="48"/>
      <c r="Q356" s="90" t="s">
        <v>1781</v>
      </c>
      <c r="R356" s="91">
        <v>30000</v>
      </c>
      <c r="S356" s="92">
        <v>31200</v>
      </c>
      <c r="T356" s="92">
        <v>32400</v>
      </c>
      <c r="U356" s="93"/>
      <c r="V356" s="91"/>
      <c r="W356" s="98">
        <v>250</v>
      </c>
    </row>
    <row r="357" spans="1:23" ht="34.5" customHeight="1">
      <c r="A357" s="180" t="s">
        <v>342</v>
      </c>
      <c r="B357" s="56" t="str">
        <f>IFERROR(HYPERLINK(VLOOKUP(A357,ÜRÜNLER!A:C,3,FALSE),VLOOKUP(A357,ÜRÜNLER!A:B,2,FALSE)),"")</f>
        <v/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>SUM(N291:N356)</f>
        <v>325</v>
      </c>
      <c r="O357" s="60"/>
      <c r="P357" s="6"/>
      <c r="Q357" s="90"/>
      <c r="R357" s="91"/>
      <c r="S357" s="92"/>
      <c r="T357" s="92"/>
      <c r="U357" s="93"/>
      <c r="V357" s="91"/>
      <c r="W357" s="101"/>
    </row>
    <row r="358" spans="1:23">
      <c r="A358" s="137" t="s">
        <v>343</v>
      </c>
      <c r="B358" s="56" t="str">
        <f>IFERROR(HYPERLINK(VLOOKUP(A358,ÜRÜNLER!A:C,3,FALSE),VLOOKUP(A358,ÜRÜNLER!A:B,2,FALSE)),"")</f>
        <v>iQ100 Elektrikli Ocak, 60cm, Çerçevesiz, Siyah</v>
      </c>
      <c r="C358" s="5">
        <v>9</v>
      </c>
      <c r="D358" s="5"/>
      <c r="E358" s="6"/>
      <c r="F358" s="6"/>
      <c r="G358" s="6"/>
      <c r="H358" s="6"/>
      <c r="I358" s="7">
        <v>1</v>
      </c>
      <c r="J358" s="7">
        <v>1</v>
      </c>
      <c r="K358" s="6">
        <v>1</v>
      </c>
      <c r="L358" s="6">
        <v>1</v>
      </c>
      <c r="M358" s="7">
        <v>1</v>
      </c>
      <c r="N358" s="59">
        <f t="shared" ref="N358:N363" si="13">M358+K358+L358+J358+I358+H358+G358+F358+E358+D358+C358</f>
        <v>14</v>
      </c>
      <c r="O358" s="60">
        <v>10</v>
      </c>
      <c r="P358" s="48"/>
      <c r="Q358" s="96">
        <v>26926.899614470331</v>
      </c>
      <c r="R358" s="105">
        <v>25580.554633746815</v>
      </c>
      <c r="S358" s="92">
        <v>26603.776819096689</v>
      </c>
      <c r="T358" s="92">
        <v>27626.999004446559</v>
      </c>
      <c r="U358" s="93"/>
      <c r="V358" s="91"/>
      <c r="W358" s="101"/>
    </row>
    <row r="359" spans="1:23">
      <c r="A359" s="137" t="s">
        <v>344</v>
      </c>
      <c r="B359" s="56" t="str">
        <f>IFERROR(HYPERLINK(VLOOKUP(A359,ÜRÜNLER!A:C,3,FALSE),VLOOKUP(A359,ÜRÜNLER!A:B,2,FALSE)),"")</f>
        <v>iQ100 Elektrikli Ocak, 60cm, Çerçevesiz, Beyaz</v>
      </c>
      <c r="C359" s="5">
        <v>10</v>
      </c>
      <c r="D359" s="5"/>
      <c r="E359" s="6"/>
      <c r="F359" s="6">
        <v>2</v>
      </c>
      <c r="G359" s="6"/>
      <c r="H359" s="6"/>
      <c r="I359" s="7">
        <v>2</v>
      </c>
      <c r="J359" s="7"/>
      <c r="K359" s="6"/>
      <c r="L359" s="6"/>
      <c r="M359" s="7"/>
      <c r="N359" s="59">
        <f t="shared" si="13"/>
        <v>14</v>
      </c>
      <c r="O359" s="60">
        <v>5</v>
      </c>
      <c r="P359" s="48"/>
      <c r="Q359" s="96">
        <v>33549.396465393293</v>
      </c>
      <c r="R359" s="105">
        <v>31871.926642123628</v>
      </c>
      <c r="S359" s="92">
        <v>33146.803707808576</v>
      </c>
      <c r="T359" s="92">
        <v>34421.680773493521</v>
      </c>
      <c r="U359" s="93"/>
      <c r="V359" s="91"/>
      <c r="W359" s="101"/>
    </row>
    <row r="360" spans="1:23">
      <c r="A360" s="137" t="s">
        <v>345</v>
      </c>
      <c r="B360" s="56" t="str">
        <f>IFERROR(HYPERLINK(VLOOKUP(A360,ÜRÜNLER!A:C,3,FALSE),VLOOKUP(A360,ÜRÜNLER!A:B,2,FALSE)),"")</f>
        <v>iQ300 Elektrikli Ocak, 60cm, Çerçevesiz, Siyah</v>
      </c>
      <c r="C360" s="5">
        <v>3</v>
      </c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59">
        <f t="shared" si="13"/>
        <v>4</v>
      </c>
      <c r="O360" s="60">
        <v>5</v>
      </c>
      <c r="P360" s="48"/>
      <c r="Q360" s="96">
        <v>33595.221318182215</v>
      </c>
      <c r="R360" s="105">
        <v>31915.460252273104</v>
      </c>
      <c r="S360" s="92">
        <v>33192.078662364031</v>
      </c>
      <c r="T360" s="92">
        <v>34468.697072454954</v>
      </c>
      <c r="U360" s="93"/>
      <c r="V360" s="91"/>
      <c r="W360" s="101"/>
    </row>
    <row r="361" spans="1:23">
      <c r="A361" s="137" t="s">
        <v>346</v>
      </c>
      <c r="B361" s="56" t="str">
        <f>IFERROR(HYPERLINK(VLOOKUP(A361,ÜRÜNLER!A:C,3,FALSE),VLOOKUP(A361,ÜRÜNLER!A:B,2,FALSE)),"")</f>
        <v>iQ300 Elektrikli Ocak, 70cm, Çerçeveli, Siyah</v>
      </c>
      <c r="C361" s="5"/>
      <c r="D361" s="5"/>
      <c r="E361" s="6"/>
      <c r="F361" s="6">
        <v>2</v>
      </c>
      <c r="G361" s="6"/>
      <c r="H361" s="6"/>
      <c r="I361" s="7">
        <v>1</v>
      </c>
      <c r="J361" s="7"/>
      <c r="K361" s="6"/>
      <c r="L361" s="6"/>
      <c r="M361" s="7"/>
      <c r="N361" s="59">
        <f t="shared" si="13"/>
        <v>3</v>
      </c>
      <c r="O361" s="60"/>
      <c r="P361" s="48"/>
      <c r="Q361" s="90" t="s">
        <v>1781</v>
      </c>
      <c r="R361" s="102">
        <v>50000</v>
      </c>
      <c r="S361" s="92">
        <v>52000</v>
      </c>
      <c r="T361" s="92">
        <v>54000</v>
      </c>
      <c r="U361" s="93"/>
      <c r="V361" s="91"/>
      <c r="W361" s="94">
        <v>1000</v>
      </c>
    </row>
    <row r="362" spans="1:23">
      <c r="A362" s="137" t="s">
        <v>347</v>
      </c>
      <c r="B362" s="56" t="str">
        <f>IFERROR(HYPERLINK(VLOOKUP(A362,ÜRÜNLER!A:C,3,FALSE),VLOOKUP(A362,ÜRÜNLER!A:B,2,FALSE)),"")</f>
        <v>iQ500 Elektrikli Ocak, 80cm, Çerçeveli, Siyah</v>
      </c>
      <c r="C362" s="5">
        <v>2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3</v>
      </c>
      <c r="O362" s="60">
        <v>2</v>
      </c>
      <c r="P362" s="48"/>
      <c r="Q362" s="96">
        <v>64596.554616845155</v>
      </c>
      <c r="R362" s="102">
        <v>64596.554616845155</v>
      </c>
      <c r="S362" s="92">
        <v>67180.416801518964</v>
      </c>
      <c r="T362" s="92">
        <v>69764.278986192774</v>
      </c>
      <c r="U362" s="93"/>
      <c r="V362" s="91"/>
      <c r="W362" s="101"/>
    </row>
    <row r="363" spans="1:23">
      <c r="A363" s="137" t="s">
        <v>1688</v>
      </c>
      <c r="B363" s="56" t="str">
        <f>IFERROR(HYPERLINK(VLOOKUP(A363,ÜRÜNLER!A:C,3,FALSE),VLOOKUP(A363,ÜRÜNLER!A:B,2,FALSE)),"")</f>
        <v>iQ300 Elektrikli Domino Ocak, 30cm, 2 Gözlü, Siyah</v>
      </c>
      <c r="C363" s="5">
        <v>1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9">
        <f t="shared" si="13"/>
        <v>1</v>
      </c>
      <c r="O363" s="60"/>
      <c r="P363" s="48"/>
      <c r="Q363" s="96">
        <v>34759.589937808785</v>
      </c>
      <c r="R363" s="102">
        <v>34759.589937808785</v>
      </c>
      <c r="S363" s="92">
        <v>36149.973535321136</v>
      </c>
      <c r="T363" s="92">
        <v>37540.357132833487</v>
      </c>
      <c r="U363" s="93"/>
      <c r="V363" s="91"/>
      <c r="W363" s="101"/>
    </row>
    <row r="364" spans="1:23" ht="30">
      <c r="A364" s="180" t="s">
        <v>348</v>
      </c>
      <c r="B364" s="56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59">
        <f>SUM(N358:N363)</f>
        <v>39</v>
      </c>
      <c r="O364" s="60"/>
      <c r="P364" s="6"/>
      <c r="Q364" s="90"/>
      <c r="R364" s="91"/>
      <c r="S364" s="92"/>
      <c r="T364" s="92"/>
      <c r="U364" s="93"/>
      <c r="V364" s="91"/>
      <c r="W364" s="101"/>
    </row>
    <row r="365" spans="1:23">
      <c r="A365" s="137" t="s">
        <v>349</v>
      </c>
      <c r="B365" s="56" t="str">
        <f>IFERROR(HYPERLINK(VLOOKUP(A365,ÜRÜNLER!A:C,3,FALSE),VLOOKUP(A365,ÜRÜNLER!A:B,2,FALSE)),"")</f>
        <v>iQ100 İndüksiyonlu Ocak, 60cm, Çerçevesiz, Siyah</v>
      </c>
      <c r="C365" s="5">
        <v>6</v>
      </c>
      <c r="D365" s="5"/>
      <c r="E365" s="6">
        <v>1</v>
      </c>
      <c r="F365" s="6"/>
      <c r="G365" s="6"/>
      <c r="H365" s="6"/>
      <c r="I365" s="7">
        <v>1</v>
      </c>
      <c r="J365" s="7">
        <v>1</v>
      </c>
      <c r="K365" s="6"/>
      <c r="L365" s="6"/>
      <c r="M365" s="7">
        <v>1</v>
      </c>
      <c r="N365" s="59">
        <f t="shared" ref="N365:N374" si="14">M365+K365+L365+J365+I365+H365+G365+F365+E365+D365+C365</f>
        <v>10</v>
      </c>
      <c r="O365" s="60">
        <v>1</v>
      </c>
      <c r="P365" s="48"/>
      <c r="Q365" s="96">
        <v>26949.038630997122</v>
      </c>
      <c r="R365" s="102">
        <v>26949.038630997122</v>
      </c>
      <c r="S365" s="92">
        <v>28027.000176237008</v>
      </c>
      <c r="T365" s="92">
        <v>29104.961721476891</v>
      </c>
      <c r="U365" s="93"/>
      <c r="V365" s="91"/>
      <c r="W365" s="101"/>
    </row>
    <row r="366" spans="1:23">
      <c r="A366" s="130" t="s">
        <v>350</v>
      </c>
      <c r="B366" s="56" t="str">
        <f>IFERROR(HYPERLINK(VLOOKUP(A366,ÜRÜNLER!A:C,3,FALSE),VLOOKUP(A366,ÜRÜNLER!A:B,2,FALSE)),"")</f>
        <v>iQ700 İndüksiyonlu Ocak, 60cm, Çerçeveli, Siyah</v>
      </c>
      <c r="C366" s="5"/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0</v>
      </c>
      <c r="O366" s="60">
        <v>1</v>
      </c>
      <c r="P366" s="48"/>
      <c r="Q366" s="96">
        <v>86372.610344239802</v>
      </c>
      <c r="R366" s="102">
        <v>86372.610344239802</v>
      </c>
      <c r="S366" s="92">
        <v>89827.514758009391</v>
      </c>
      <c r="T366" s="92">
        <v>93282.41917177898</v>
      </c>
      <c r="U366" s="93"/>
      <c r="V366" s="91"/>
      <c r="W366" s="94">
        <v>500</v>
      </c>
    </row>
    <row r="367" spans="1:23">
      <c r="A367" s="130" t="s">
        <v>351</v>
      </c>
      <c r="B367" s="56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4"/>
        <v>1</v>
      </c>
      <c r="O367" s="60"/>
      <c r="P367" s="48"/>
      <c r="Q367" s="108">
        <v>98810.13083642222</v>
      </c>
      <c r="R367" s="108">
        <v>88929.117752780003</v>
      </c>
      <c r="S367" s="92">
        <v>92486.282462891206</v>
      </c>
      <c r="T367" s="92">
        <v>96043.447173002409</v>
      </c>
      <c r="U367" s="93"/>
      <c r="V367" s="91"/>
      <c r="W367" s="94">
        <v>500</v>
      </c>
    </row>
    <row r="368" spans="1:23">
      <c r="A368" s="130" t="s">
        <v>352</v>
      </c>
      <c r="B368" s="56" t="str">
        <f>IFERROR(HYPERLINK(VLOOKUP(A368,ÜRÜNLER!A:C,3,FALSE),VLOOKUP(A368,ÜRÜNLER!A:B,2,FALSE)),"")</f>
        <v>iQ700 studioLine İndüksiyonlu Ocak, 80cm, FlushMount, Siyah</v>
      </c>
      <c r="C368" s="5"/>
      <c r="D368" s="5">
        <v>1</v>
      </c>
      <c r="E368" s="6"/>
      <c r="F368" s="6"/>
      <c r="G368" s="6"/>
      <c r="H368" s="6">
        <v>1</v>
      </c>
      <c r="I368" s="7"/>
      <c r="J368" s="7"/>
      <c r="K368" s="6"/>
      <c r="L368" s="6"/>
      <c r="M368" s="7"/>
      <c r="N368" s="59">
        <f t="shared" si="14"/>
        <v>2</v>
      </c>
      <c r="O368" s="60"/>
      <c r="P368" s="48"/>
      <c r="Q368" s="90" t="s">
        <v>1781</v>
      </c>
      <c r="R368" s="106">
        <v>105000</v>
      </c>
      <c r="S368" s="92">
        <v>109200</v>
      </c>
      <c r="T368" s="92">
        <v>113400</v>
      </c>
      <c r="U368" s="93"/>
      <c r="V368" s="91"/>
      <c r="W368" s="94">
        <v>500</v>
      </c>
    </row>
    <row r="369" spans="1:24">
      <c r="A369" s="130" t="s">
        <v>1789</v>
      </c>
      <c r="B369" s="56" t="str">
        <f>IFERROR(HYPERLINK(VLOOKUP(A369,ÜRÜNLER!A:C,3,FALSE),VLOOKUP(A369,ÜRÜNLER!A:B,2,FALSE)),"")</f>
        <v>iQ700 Davlumbaz Entegreli İndüksiyonlu Ocak, 80cm, Çerçeveli, Siyah</v>
      </c>
      <c r="C369" s="5">
        <v>1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96">
        <v>109323.72862805334</v>
      </c>
      <c r="R369" s="102">
        <v>109323.72862805334</v>
      </c>
      <c r="S369" s="92">
        <v>113696.67777317548</v>
      </c>
      <c r="T369" s="92">
        <v>118069.62691829761</v>
      </c>
      <c r="U369" s="93"/>
      <c r="V369" s="91"/>
      <c r="W369" s="98"/>
    </row>
    <row r="370" spans="1:24">
      <c r="A370" s="130" t="s">
        <v>1749</v>
      </c>
      <c r="B370" s="56" t="str">
        <f>IFERROR(HYPERLINK(VLOOKUP(A370,ÜRÜNLER!A:C,3,FALSE),VLOOKUP(A370,ÜRÜNLER!A:B,2,FALSE)),"")</f>
        <v>iQ700 studioLine Davlumbaz Entegreli İndüksiyonlu Ocak, 80cm, Çerçeveli, Siyah</v>
      </c>
      <c r="C370" s="5"/>
      <c r="D370" s="5">
        <v>12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12</v>
      </c>
      <c r="O370" s="60"/>
      <c r="P370" s="48"/>
      <c r="Q370" s="108">
        <v>87960.712736329777</v>
      </c>
      <c r="R370" s="129">
        <v>76525.820080606907</v>
      </c>
      <c r="S370" s="92">
        <v>79586.85288383119</v>
      </c>
      <c r="T370" s="92">
        <v>82647.885687055459</v>
      </c>
      <c r="U370" s="93"/>
      <c r="V370" s="91"/>
      <c r="W370" s="98"/>
    </row>
    <row r="371" spans="1:24">
      <c r="A371" s="137" t="s">
        <v>356</v>
      </c>
      <c r="B371" s="56" t="str">
        <f>IFERROR(HYPERLINK(VLOOKUP(A371,ÜRÜNLER!A:C,3,FALSE),VLOOKUP(A371,ÜRÜNLER!A:B,2,FALSE)),"")</f>
        <v>iQ300 İndüksiyonlu Ocak, 90cm, Çerçeveli, Siyah</v>
      </c>
      <c r="C371" s="5"/>
      <c r="D371" s="5"/>
      <c r="E371" s="6"/>
      <c r="F371" s="6">
        <v>1</v>
      </c>
      <c r="G371" s="6"/>
      <c r="H371" s="6"/>
      <c r="I371" s="7"/>
      <c r="J371" s="7">
        <v>1</v>
      </c>
      <c r="K371" s="6"/>
      <c r="L371" s="6">
        <v>1</v>
      </c>
      <c r="M371" s="7"/>
      <c r="N371" s="59">
        <f t="shared" si="14"/>
        <v>3</v>
      </c>
      <c r="O371" s="60">
        <v>1</v>
      </c>
      <c r="P371" s="48"/>
      <c r="Q371" s="96">
        <v>114748.16313013737</v>
      </c>
      <c r="R371" s="97">
        <v>103273.34681712363</v>
      </c>
      <c r="S371" s="92">
        <v>107404.28068980857</v>
      </c>
      <c r="T371" s="92">
        <v>111535.21456249352</v>
      </c>
      <c r="U371" s="93"/>
      <c r="V371" s="91"/>
      <c r="W371" s="94">
        <v>500</v>
      </c>
    </row>
    <row r="372" spans="1:24">
      <c r="A372" s="137" t="s">
        <v>1503</v>
      </c>
      <c r="B372" s="56" t="str">
        <f>IFERROR(HYPERLINK(VLOOKUP(A372,ÜRÜNLER!A:C,3,FALSE),VLOOKUP(A372,ÜRÜNLER!A:B,2,FALSE)),"")</f>
        <v>iQ700 studioLine İndüksiyonlu Ocak, 90cm, FlushMount, Siyah</v>
      </c>
      <c r="C372" s="5"/>
      <c r="D372" s="5">
        <v>3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3</v>
      </c>
      <c r="O372" s="60"/>
      <c r="P372" s="48"/>
      <c r="Q372" s="108">
        <v>146639.19559058829</v>
      </c>
      <c r="R372" s="108">
        <v>131975.27603152947</v>
      </c>
      <c r="S372" s="92">
        <v>137254.28707279064</v>
      </c>
      <c r="T372" s="92">
        <v>142533.29811405184</v>
      </c>
      <c r="U372" s="93"/>
      <c r="V372" s="91"/>
      <c r="W372" s="94">
        <v>500</v>
      </c>
    </row>
    <row r="373" spans="1:24">
      <c r="A373" s="130" t="s">
        <v>357</v>
      </c>
      <c r="B373" s="56" t="str">
        <f>IFERROR(HYPERLINK(VLOOKUP(A373,ÜRÜNLER!A:C,3,FALSE),VLOOKUP(A373,ÜRÜNLER!A:B,2,FALSE)),"")</f>
        <v>iQ700 İndüksiyonlu Ocak, 90cm,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96">
        <v>123158.86741556809</v>
      </c>
      <c r="R373" s="102">
        <v>123158.86741556809</v>
      </c>
      <c r="S373" s="92">
        <v>128085.22211219082</v>
      </c>
      <c r="T373" s="92">
        <v>133011.57680881355</v>
      </c>
      <c r="U373" s="93"/>
      <c r="V373" s="91"/>
      <c r="W373" s="94">
        <v>500</v>
      </c>
    </row>
    <row r="374" spans="1:24">
      <c r="A374" s="137" t="s">
        <v>1552</v>
      </c>
      <c r="B374" s="56" t="str">
        <f>IFERROR(HYPERLINK(VLOOKUP(A374,ÜRÜNLER!A:C,3,FALSE),VLOOKUP(A374,ÜRÜNLER!A:B,2,FALSE)),"")</f>
        <v>iQ500 İndüksiyonlu Ocak, 60cm, Çerçevesiz, Siyah</v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0</v>
      </c>
      <c r="O374" s="60">
        <v>2</v>
      </c>
      <c r="P374" s="48"/>
      <c r="Q374" s="96">
        <v>63473.534289984025</v>
      </c>
      <c r="R374" s="102">
        <v>63473.534289984025</v>
      </c>
      <c r="S374" s="92">
        <v>66012.47566158339</v>
      </c>
      <c r="T374" s="92">
        <v>68551.417033182748</v>
      </c>
      <c r="U374" s="93"/>
      <c r="V374" s="91"/>
      <c r="W374" s="101"/>
    </row>
    <row r="375" spans="1:24" ht="36">
      <c r="A375" s="160" t="s">
        <v>471</v>
      </c>
      <c r="B375" s="56" t="str">
        <f>IFERROR(HYPERLINK(VLOOKUP(A375,ÜRÜNLER!A:C,3,FALSE),VLOOKUP(A375,ÜRÜNLER!A:B,2,FALSE)),"")</f>
        <v/>
      </c>
      <c r="C375" s="5"/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>SUM(N365:N374)</f>
        <v>34</v>
      </c>
      <c r="O375" s="60"/>
      <c r="P375" s="6"/>
      <c r="Q375" s="90"/>
      <c r="R375" s="91"/>
      <c r="S375" s="92"/>
      <c r="T375" s="92"/>
      <c r="U375" s="93"/>
      <c r="V375" s="91"/>
      <c r="W375" s="101"/>
    </row>
    <row r="376" spans="1:24">
      <c r="A376" s="137" t="s">
        <v>463</v>
      </c>
      <c r="B376" s="56" t="str">
        <f>IFERROR(HYPERLINK(VLOOKUP(A376,ÜRÜNLER!A:C,3,FALSE),VLOOKUP(A376,ÜRÜNLER!A:B,2,FALSE)),"")</f>
        <v>iQ300 Davlumbaz Entegreli İndüksiyonlu Ocak, 80cm,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>M376+K376+L376+J376+I376+H376+G376+F376+E376+D376+C376</f>
        <v>1</v>
      </c>
      <c r="O376" s="60"/>
      <c r="P376" s="48"/>
      <c r="Q376" s="96">
        <v>98476.826388502217</v>
      </c>
      <c r="R376" s="102">
        <v>98476.826388502217</v>
      </c>
      <c r="S376" s="92">
        <v>102415.89944404231</v>
      </c>
      <c r="T376" s="92">
        <v>106354.97249958239</v>
      </c>
      <c r="U376" s="93"/>
      <c r="V376" s="91"/>
      <c r="W376" s="98">
        <v>250</v>
      </c>
    </row>
    <row r="377" spans="1:24">
      <c r="A377" s="137" t="s">
        <v>355</v>
      </c>
      <c r="B377" s="56" t="str">
        <f>IFERROR(HYPERLINK(VLOOKUP(A377,ÜRÜNLER!A:C,3,FALSE),VLOOKUP(A377,ÜRÜNLER!A:B,2,FALSE)),"")</f>
        <v>iQ300 Davlumbaz Entegreli İndüksiyonlu Ocak, 80cm, Çerçevesiz, Siyah</v>
      </c>
      <c r="C377" s="5"/>
      <c r="D377" s="5"/>
      <c r="E377" s="6"/>
      <c r="F377" s="6"/>
      <c r="G377" s="6">
        <v>1</v>
      </c>
      <c r="H377" s="6"/>
      <c r="I377" s="7"/>
      <c r="J377" s="7"/>
      <c r="K377" s="6"/>
      <c r="L377" s="6"/>
      <c r="M377" s="7"/>
      <c r="N377" s="59">
        <f>M377+K377+L377+J377+I377+H377+G377+F377+E377+D377+C377</f>
        <v>1</v>
      </c>
      <c r="O377" s="60"/>
      <c r="P377" s="48"/>
      <c r="Q377" s="90" t="s">
        <v>1781</v>
      </c>
      <c r="R377" s="91">
        <v>80000</v>
      </c>
      <c r="S377" s="92">
        <v>83200</v>
      </c>
      <c r="T377" s="92">
        <v>86400</v>
      </c>
      <c r="U377" s="93"/>
      <c r="V377" s="91"/>
      <c r="W377" s="94">
        <v>1000</v>
      </c>
    </row>
    <row r="378" spans="1:24">
      <c r="A378" s="137" t="s">
        <v>462</v>
      </c>
      <c r="B378" s="56" t="str">
        <f>IFERROR(HYPERLINK(VLOOKUP(A378,ÜRÜNLER!A:C,3,FALSE),VLOOKUP(A378,ÜRÜNLER!A:B,2,FALSE)),"")</f>
        <v>iQ700 Davlumbaz Entegreli İndüksiyonlu Ocak, 80cm, Çerçeveli, Siyah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0</v>
      </c>
      <c r="O378" s="60">
        <v>2</v>
      </c>
      <c r="P378" s="48"/>
      <c r="Q378" s="96">
        <v>118828.46204442343</v>
      </c>
      <c r="R378" s="102">
        <v>118828.46204442343</v>
      </c>
      <c r="S378" s="92">
        <v>123581.60052620037</v>
      </c>
      <c r="T378" s="92">
        <v>128334.7390079773</v>
      </c>
      <c r="U378" s="93"/>
      <c r="V378" s="91"/>
      <c r="W378" s="98">
        <v>250</v>
      </c>
    </row>
    <row r="379" spans="1:24">
      <c r="A379" s="137" t="s">
        <v>354</v>
      </c>
      <c r="B379" s="56" t="str">
        <f>IFERROR(HYPERLINK(VLOOKUP(A379,ÜRÜNLER!A:C,3,FALSE),VLOOKUP(A379,ÜRÜNLER!A:B,2,FALSE)),"")</f>
        <v>iQ700 studioLine Davlumbaz Entegreli İndüksiyonlu Ocak, 80cm, Çerçeveli, Siyah</v>
      </c>
      <c r="C379" s="5"/>
      <c r="D379" s="5">
        <v>3</v>
      </c>
      <c r="E379" s="6"/>
      <c r="F379" s="6"/>
      <c r="G379" s="6"/>
      <c r="H379" s="6">
        <v>1</v>
      </c>
      <c r="I379" s="7"/>
      <c r="J379" s="7"/>
      <c r="K379" s="6"/>
      <c r="L379" s="6"/>
      <c r="M379" s="7"/>
      <c r="N379" s="59">
        <f>M379+K379+L379+J379+I379+H379+G379+F379+E379+D379+C379</f>
        <v>4</v>
      </c>
      <c r="O379" s="60">
        <v>1</v>
      </c>
      <c r="P379" s="48"/>
      <c r="Q379" s="108">
        <v>151194.10707865038</v>
      </c>
      <c r="R379" s="108">
        <v>136074.69637078536</v>
      </c>
      <c r="S379" s="92">
        <v>141517.68422561677</v>
      </c>
      <c r="T379" s="92">
        <v>146960.67208044819</v>
      </c>
      <c r="U379" s="93"/>
      <c r="V379" s="91"/>
      <c r="W379" s="98">
        <v>500</v>
      </c>
    </row>
    <row r="380" spans="1:24" s="12" customFormat="1" ht="31.5">
      <c r="A380" s="147" t="s">
        <v>358</v>
      </c>
      <c r="B380" s="56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SUM(N376:N379)</f>
        <v>6</v>
      </c>
      <c r="O380" s="60"/>
      <c r="P380" s="6"/>
      <c r="Q380" s="90"/>
      <c r="R380" s="91"/>
      <c r="S380" s="92"/>
      <c r="T380" s="92"/>
      <c r="U380" s="119"/>
      <c r="V380" s="117"/>
      <c r="W380" s="101"/>
      <c r="X380" s="95"/>
    </row>
    <row r="381" spans="1:24">
      <c r="A381" s="161" t="s">
        <v>1841</v>
      </c>
      <c r="B381" s="56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 t="shared" ref="N381:N415" si="15">M381+K381+L381+J381+I381+H381+G381+F381+E381+D381+C381</f>
        <v>0</v>
      </c>
      <c r="O381" s="60">
        <v>5</v>
      </c>
      <c r="P381" s="132" t="s">
        <v>1845</v>
      </c>
      <c r="Q381" s="96">
        <v>29423</v>
      </c>
      <c r="R381" s="91">
        <v>29423</v>
      </c>
      <c r="S381" s="92">
        <v>30599.919999999998</v>
      </c>
      <c r="T381" s="92">
        <v>31776.84</v>
      </c>
      <c r="U381" s="93"/>
      <c r="V381" s="91"/>
      <c r="W381" s="94"/>
    </row>
    <row r="382" spans="1:24">
      <c r="A382" s="161" t="s">
        <v>1842</v>
      </c>
      <c r="B382" s="56" t="str">
        <f>IFERROR(HYPERLINK(VLOOKUP(A382,ÜRÜNLER!A:C,3,FALSE),VLOOKUP(A382,ÜRÜNLER!A:B,2,FALSE)),"")</f>
        <v>EQ500 iAroma Tam Otomatik Kahve Makinesi, Piano Black</v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 t="shared" si="15"/>
        <v>0</v>
      </c>
      <c r="O382" s="60">
        <v>5</v>
      </c>
      <c r="P382" s="132" t="s">
        <v>1845</v>
      </c>
      <c r="Q382" s="96">
        <v>31810</v>
      </c>
      <c r="R382" s="91">
        <v>31810</v>
      </c>
      <c r="S382" s="92">
        <v>33082.400000000001</v>
      </c>
      <c r="T382" s="92">
        <v>34354.800000000003</v>
      </c>
      <c r="U382" s="93"/>
      <c r="V382" s="91"/>
      <c r="W382" s="94"/>
    </row>
    <row r="383" spans="1:24">
      <c r="A383" s="130" t="s">
        <v>359</v>
      </c>
      <c r="B383" s="56" t="str">
        <f>IFERROR(HYPERLINK(VLOOKUP(A383,ÜRÜNLER!A:C,3,FALSE),VLOOKUP(A383,ÜRÜNLER!A:B,2,FALSE)),"")</f>
        <v>iQ700 Ankastre Tam Otomatik Kahve Makinesi, Siyah/Inox</v>
      </c>
      <c r="C383" s="5"/>
      <c r="D383" s="5"/>
      <c r="E383" s="6"/>
      <c r="F383" s="6"/>
      <c r="G383" s="6"/>
      <c r="H383" s="6"/>
      <c r="I383" s="7"/>
      <c r="J383" s="7"/>
      <c r="K383" s="6"/>
      <c r="L383" s="6">
        <v>1</v>
      </c>
      <c r="M383" s="7"/>
      <c r="N383" s="59">
        <f t="shared" si="15"/>
        <v>1</v>
      </c>
      <c r="O383" s="60"/>
      <c r="P383" s="48"/>
      <c r="Q383" s="90" t="s">
        <v>1781</v>
      </c>
      <c r="R383" s="91">
        <v>120000</v>
      </c>
      <c r="S383" s="92">
        <v>124800</v>
      </c>
      <c r="T383" s="92">
        <v>129600</v>
      </c>
      <c r="U383" s="93"/>
      <c r="V383" s="91"/>
      <c r="W383" s="94">
        <v>1000</v>
      </c>
    </row>
    <row r="384" spans="1:24">
      <c r="A384" s="130" t="s">
        <v>360</v>
      </c>
      <c r="B384" s="56" t="str">
        <f>IFERROR(HYPERLINK(VLOOKUP(A384,ÜRÜNLER!A:C,3,FALSE),VLOOKUP(A384,ÜRÜNLER!A:B,2,FALSE)),"")</f>
        <v>iQ700 Ankastre Tam Otomatik Kahve Makinesi, Siyah</v>
      </c>
      <c r="C384" s="5"/>
      <c r="D384" s="5"/>
      <c r="E384" s="6"/>
      <c r="F384" s="6">
        <v>1</v>
      </c>
      <c r="G384" s="6"/>
      <c r="H384" s="6"/>
      <c r="I384" s="7"/>
      <c r="J384" s="7"/>
      <c r="K384" s="6"/>
      <c r="L384" s="6"/>
      <c r="M384" s="7"/>
      <c r="N384" s="59">
        <f t="shared" si="15"/>
        <v>1</v>
      </c>
      <c r="O384" s="60"/>
      <c r="P384" s="48"/>
      <c r="Q384" s="96">
        <v>165596.65974594664</v>
      </c>
      <c r="R384" s="102">
        <v>165596.65974594664</v>
      </c>
      <c r="S384" s="92">
        <v>172220.52613578452</v>
      </c>
      <c r="T384" s="92">
        <v>178844.39252562239</v>
      </c>
      <c r="U384" s="93"/>
      <c r="V384" s="91"/>
      <c r="W384" s="94">
        <v>1000</v>
      </c>
    </row>
    <row r="385" spans="1:25">
      <c r="A385" s="130" t="s">
        <v>361</v>
      </c>
      <c r="B385" s="56" t="str">
        <f>IFERROR(HYPERLINK(VLOOKUP(A385,ÜRÜNLER!A:C,3,FALSE),VLOOKUP(A385,ÜRÜNLER!A:B,2,FALSE)),"")</f>
        <v>iQ700 studioLine Ankastre Tam Otomatik Kahve Makinesi, Siyah</v>
      </c>
      <c r="C385" s="5"/>
      <c r="D385" s="5">
        <v>5</v>
      </c>
      <c r="E385" s="6"/>
      <c r="F385" s="6"/>
      <c r="G385" s="6"/>
      <c r="H385" s="6">
        <v>1</v>
      </c>
      <c r="I385" s="7"/>
      <c r="J385" s="7"/>
      <c r="K385" s="6"/>
      <c r="L385" s="6"/>
      <c r="M385" s="7"/>
      <c r="N385" s="59">
        <f t="shared" si="15"/>
        <v>6</v>
      </c>
      <c r="O385" s="60"/>
      <c r="P385" s="48"/>
      <c r="Q385" s="108">
        <v>186210.56655393163</v>
      </c>
      <c r="R385" s="108">
        <v>167589.50989853847</v>
      </c>
      <c r="S385" s="92">
        <v>174293.09029448</v>
      </c>
      <c r="T385" s="92">
        <v>180996.67069042154</v>
      </c>
      <c r="U385" s="93"/>
      <c r="V385" s="91"/>
      <c r="W385" s="98">
        <v>500</v>
      </c>
    </row>
    <row r="386" spans="1:25">
      <c r="A386" s="134" t="s">
        <v>362</v>
      </c>
      <c r="B386" s="56" t="str">
        <f>IFERROR(HYPERLINK(VLOOKUP(A386,ÜRÜNLER!A:C,3,FALSE),VLOOKUP(A386,ÜRÜNLER!A:B,2,FALSE)),"")</f>
        <v>EQ6 plus s100 Tam Otomatik Kahve Makinesi, Metalik Elmas Titanyum</v>
      </c>
      <c r="C386" s="5"/>
      <c r="D386" s="5"/>
      <c r="E386" s="6"/>
      <c r="F386" s="6"/>
      <c r="G386" s="6"/>
      <c r="H386" s="6"/>
      <c r="I386" s="7">
        <v>5</v>
      </c>
      <c r="J386" s="7">
        <v>2</v>
      </c>
      <c r="K386" s="6"/>
      <c r="L386" s="6">
        <v>2</v>
      </c>
      <c r="M386" s="7">
        <v>1</v>
      </c>
      <c r="N386" s="59">
        <f t="shared" si="15"/>
        <v>10</v>
      </c>
      <c r="O386" s="60">
        <v>1</v>
      </c>
      <c r="P386" s="48"/>
      <c r="Q386" s="96">
        <v>30821</v>
      </c>
      <c r="R386" s="102">
        <v>30821</v>
      </c>
      <c r="S386" s="92">
        <v>32053.84</v>
      </c>
      <c r="T386" s="92">
        <v>33286.68</v>
      </c>
      <c r="U386" s="93">
        <v>6746.38</v>
      </c>
      <c r="W386" s="98">
        <v>500</v>
      </c>
      <c r="X386" s="117">
        <v>29990</v>
      </c>
      <c r="Y386" s="61" t="s">
        <v>1847</v>
      </c>
    </row>
    <row r="387" spans="1:25">
      <c r="A387" s="134" t="s">
        <v>363</v>
      </c>
      <c r="B387" s="56" t="str">
        <f>IFERROR(HYPERLINK(VLOOKUP(A387,ÜRÜNLER!A:C,3,FALSE),VLOOKUP(A387,ÜRÜNLER!A:B,2,FALSE)),"")</f>
        <v>EQ6 plus s100 Tam Otomatik Kahve Makinesi, Metalik Safir Siyahı</v>
      </c>
      <c r="C387" s="5"/>
      <c r="D387" s="5"/>
      <c r="E387" s="6"/>
      <c r="F387" s="6"/>
      <c r="G387" s="6"/>
      <c r="H387" s="6"/>
      <c r="I387" s="7"/>
      <c r="J387" s="7"/>
      <c r="K387" s="6">
        <v>1</v>
      </c>
      <c r="L387" s="6"/>
      <c r="M387" s="7"/>
      <c r="N387" s="59">
        <f t="shared" si="15"/>
        <v>1</v>
      </c>
      <c r="O387" s="60"/>
      <c r="P387" s="48"/>
      <c r="Q387" s="90" t="s">
        <v>1781</v>
      </c>
      <c r="R387" s="91">
        <v>40000</v>
      </c>
      <c r="S387" s="92">
        <v>41600</v>
      </c>
      <c r="T387" s="92">
        <v>43200</v>
      </c>
      <c r="U387" s="93"/>
      <c r="W387" s="98">
        <v>500</v>
      </c>
      <c r="X387" s="91"/>
    </row>
    <row r="388" spans="1:25">
      <c r="A388" s="134" t="s">
        <v>364</v>
      </c>
      <c r="B388" s="56" t="str">
        <f>IFERROR(HYPERLINK(VLOOKUP(A388,ÜRÜNLER!A:C,3,FALSE),VLOOKUP(A388,ÜRÜNLER!A:B,2,FALSE)),"")</f>
        <v>EQ6 plus s300 Tam Otomatik Kahve Makinesi, Gümüş</v>
      </c>
      <c r="C388" s="5"/>
      <c r="D388" s="5"/>
      <c r="E388" s="6"/>
      <c r="F388" s="6">
        <v>1</v>
      </c>
      <c r="G388" s="6"/>
      <c r="H388" s="6"/>
      <c r="I388" s="7"/>
      <c r="J388" s="7">
        <v>1</v>
      </c>
      <c r="K388" s="6"/>
      <c r="L388" s="6"/>
      <c r="M388" s="7">
        <v>1</v>
      </c>
      <c r="N388" s="59">
        <f t="shared" si="15"/>
        <v>3</v>
      </c>
      <c r="O388" s="60"/>
      <c r="P388" s="48"/>
      <c r="Q388" s="90" t="s">
        <v>1781</v>
      </c>
      <c r="R388" s="91">
        <v>40000</v>
      </c>
      <c r="S388" s="92">
        <v>41600</v>
      </c>
      <c r="T388" s="92">
        <v>43200</v>
      </c>
      <c r="U388" s="93"/>
      <c r="W388" s="98">
        <v>500</v>
      </c>
      <c r="X388" s="91"/>
    </row>
    <row r="389" spans="1:25">
      <c r="A389" s="134" t="s">
        <v>365</v>
      </c>
      <c r="B389" s="56" t="str">
        <f>IFERROR(HYPERLINK(VLOOKUP(A389,ÜRÜNLER!A:C,3,FALSE),VLOOKUP(A389,ÜRÜNLER!A:B,2,FALSE)),"")</f>
        <v>EQ6 plus s500 Tam Otomatik Kahve Makinesi, Sabah Sisi Grisi</v>
      </c>
      <c r="C389" s="5">
        <v>51</v>
      </c>
      <c r="D389" s="5"/>
      <c r="E389" s="6"/>
      <c r="F389" s="6">
        <v>8</v>
      </c>
      <c r="G389" s="6"/>
      <c r="H389" s="6"/>
      <c r="I389" s="7">
        <v>5</v>
      </c>
      <c r="J389" s="7"/>
      <c r="K389" s="6"/>
      <c r="L389" s="6">
        <v>2</v>
      </c>
      <c r="M389" s="7">
        <v>2</v>
      </c>
      <c r="N389" s="59">
        <f t="shared" si="15"/>
        <v>68</v>
      </c>
      <c r="O389" s="60">
        <v>1</v>
      </c>
      <c r="P389" s="48"/>
      <c r="Q389" s="96">
        <v>46150.533752817057</v>
      </c>
      <c r="R389" s="102">
        <v>46150.533752817057</v>
      </c>
      <c r="S389" s="92">
        <v>47996.555102929742</v>
      </c>
      <c r="T389" s="92">
        <v>49842.57645304242</v>
      </c>
      <c r="U389" s="93">
        <v>8429.2000000000007</v>
      </c>
      <c r="W389" s="98">
        <v>500</v>
      </c>
      <c r="X389" s="117">
        <v>46990</v>
      </c>
      <c r="Y389" s="61" t="s">
        <v>1847</v>
      </c>
    </row>
    <row r="390" spans="1:25">
      <c r="A390" s="134" t="s">
        <v>366</v>
      </c>
      <c r="B390" s="56" t="str">
        <f>IFERROR(HYPERLINK(VLOOKUP(A390,ÜRÜNLER!A:C,3,FALSE),VLOOKUP(A390,ÜRÜNLER!A:B,2,FALSE)),"")</f>
        <v>EQ6 plus s700 Tam Otomatik Kahve Makinesi, DarkInox/Siyah</v>
      </c>
      <c r="C390" s="5">
        <v>31</v>
      </c>
      <c r="D390" s="5"/>
      <c r="E390" s="6"/>
      <c r="F390" s="6">
        <v>27</v>
      </c>
      <c r="G390" s="6"/>
      <c r="H390" s="6"/>
      <c r="I390" s="7"/>
      <c r="J390" s="7">
        <v>1</v>
      </c>
      <c r="K390" s="6">
        <v>1</v>
      </c>
      <c r="L390" s="6">
        <v>1</v>
      </c>
      <c r="M390" s="7">
        <v>3</v>
      </c>
      <c r="N390" s="59">
        <f t="shared" si="15"/>
        <v>64</v>
      </c>
      <c r="O390" s="60"/>
      <c r="P390" s="48"/>
      <c r="Q390" s="96">
        <v>49964.129333174926</v>
      </c>
      <c r="R390" s="102">
        <v>49964.129333174926</v>
      </c>
      <c r="S390" s="92">
        <v>51962.694506501924</v>
      </c>
      <c r="T390" s="92">
        <v>53961.259679828916</v>
      </c>
      <c r="U390" s="93">
        <v>9834.5400000000009</v>
      </c>
      <c r="W390" s="98">
        <v>500</v>
      </c>
      <c r="X390" s="117">
        <v>49990</v>
      </c>
      <c r="Y390" s="61" t="s">
        <v>1847</v>
      </c>
    </row>
    <row r="391" spans="1:25">
      <c r="A391" s="137" t="s">
        <v>367</v>
      </c>
      <c r="B391" s="56" t="str">
        <f>IFERROR(HYPERLINK(VLOOKUP(A391,ÜRÜNLER!A:C,3,FALSE),VLOOKUP(A391,ÜRÜNLER!A:B,2,FALSE)),"")</f>
        <v>EQ300 Tam Otomatik Kahve Makinesi, Siyah</v>
      </c>
      <c r="C391" s="5"/>
      <c r="D391" s="5"/>
      <c r="E391" s="6"/>
      <c r="F391" s="6"/>
      <c r="G391" s="6"/>
      <c r="H391" s="6"/>
      <c r="I391" s="7">
        <v>1</v>
      </c>
      <c r="J391" s="7"/>
      <c r="K391" s="6"/>
      <c r="L391" s="6">
        <v>2</v>
      </c>
      <c r="M391" s="7"/>
      <c r="N391" s="59">
        <f t="shared" si="15"/>
        <v>3</v>
      </c>
      <c r="O391" s="60"/>
      <c r="P391" s="48"/>
      <c r="Q391" s="90" t="s">
        <v>1781</v>
      </c>
      <c r="R391" s="91">
        <v>40000</v>
      </c>
      <c r="S391" s="92">
        <v>41600</v>
      </c>
      <c r="T391" s="92">
        <v>43200</v>
      </c>
      <c r="U391" s="93"/>
      <c r="W391" s="98">
        <v>500</v>
      </c>
      <c r="X391" s="91"/>
    </row>
    <row r="392" spans="1:25">
      <c r="A392" s="137" t="s">
        <v>368</v>
      </c>
      <c r="B392" s="56" t="str">
        <f>IFERROR(HYPERLINK(VLOOKUP(A392,ÜRÜNLER!A:C,3,FALSE),VLOOKUP(A392,ÜRÜNLER!A:B,2,FALSE)),"")</f>
        <v>EQ300 Tam Otomatik Kahve Makinesi, Şampanya/Siyah</v>
      </c>
      <c r="C392" s="5"/>
      <c r="D392" s="5"/>
      <c r="E392" s="6"/>
      <c r="F392" s="6"/>
      <c r="G392" s="6"/>
      <c r="H392" s="6"/>
      <c r="I392" s="7"/>
      <c r="J392" s="7">
        <v>1</v>
      </c>
      <c r="K392" s="6"/>
      <c r="L392" s="6">
        <v>2</v>
      </c>
      <c r="M392" s="7">
        <v>1</v>
      </c>
      <c r="N392" s="59">
        <f t="shared" si="15"/>
        <v>4</v>
      </c>
      <c r="O392" s="60"/>
      <c r="P392" s="48"/>
      <c r="Q392" s="90" t="s">
        <v>1781</v>
      </c>
      <c r="R392" s="91">
        <v>40000</v>
      </c>
      <c r="S392" s="92">
        <v>41600</v>
      </c>
      <c r="T392" s="92">
        <v>43200</v>
      </c>
      <c r="U392" s="93"/>
      <c r="W392" s="101">
        <v>500</v>
      </c>
      <c r="X392" s="91"/>
    </row>
    <row r="393" spans="1:25">
      <c r="A393" s="137" t="s">
        <v>369</v>
      </c>
      <c r="B393" s="56" t="str">
        <f>IFERROR(HYPERLINK(VLOOKUP(A393,ÜRÜNLER!A:C,3,FALSE),VLOOKUP(A393,ÜRÜNLER!A:B,2,FALSE)),"")</f>
        <v>EQ9 s300 Tam Otomatik Kahve Makinesi, Siyah</v>
      </c>
      <c r="C393" s="5"/>
      <c r="D393" s="5"/>
      <c r="E393" s="6"/>
      <c r="F393" s="6">
        <v>7</v>
      </c>
      <c r="G393" s="6"/>
      <c r="H393" s="6"/>
      <c r="I393" s="7">
        <v>1</v>
      </c>
      <c r="J393" s="7"/>
      <c r="K393" s="6"/>
      <c r="L393" s="6">
        <v>5</v>
      </c>
      <c r="M393" s="7">
        <v>1</v>
      </c>
      <c r="N393" s="59">
        <f t="shared" si="15"/>
        <v>14</v>
      </c>
      <c r="O393" s="60"/>
      <c r="P393" s="48"/>
      <c r="Q393" s="90" t="s">
        <v>1781</v>
      </c>
      <c r="R393" s="91">
        <v>65000</v>
      </c>
      <c r="S393" s="92">
        <v>67600</v>
      </c>
      <c r="T393" s="92">
        <v>70200</v>
      </c>
      <c r="U393" s="93"/>
      <c r="W393" s="101">
        <v>500</v>
      </c>
      <c r="X393" s="91"/>
    </row>
    <row r="394" spans="1:25">
      <c r="A394" s="137" t="s">
        <v>370</v>
      </c>
      <c r="B394" s="56" t="str">
        <f>IFERROR(HYPERLINK(VLOOKUP(A394,ÜRÜNLER!A:C,3,FALSE),VLOOKUP(A394,ÜRÜNLER!A:B,2,FALSE)),"")</f>
        <v>EQ9 plus connect s500 Tam Otomatik Kahve Makinesi, Siyah</v>
      </c>
      <c r="C394" s="5"/>
      <c r="D394" s="5"/>
      <c r="E394" s="6"/>
      <c r="F394" s="6">
        <v>2</v>
      </c>
      <c r="G394" s="6"/>
      <c r="H394" s="6"/>
      <c r="I394" s="7">
        <v>1</v>
      </c>
      <c r="J394" s="7">
        <v>1</v>
      </c>
      <c r="K394" s="6"/>
      <c r="L394" s="6">
        <v>2</v>
      </c>
      <c r="M394" s="7">
        <v>1</v>
      </c>
      <c r="N394" s="59">
        <f t="shared" si="15"/>
        <v>7</v>
      </c>
      <c r="O394" s="60"/>
      <c r="P394" s="48"/>
      <c r="Q394" s="90" t="s">
        <v>1781</v>
      </c>
      <c r="R394" s="91">
        <v>65000</v>
      </c>
      <c r="S394" s="92">
        <v>67600</v>
      </c>
      <c r="T394" s="92">
        <v>70200</v>
      </c>
      <c r="U394" s="93"/>
      <c r="W394" s="101">
        <v>500</v>
      </c>
      <c r="X394" s="91"/>
    </row>
    <row r="395" spans="1:25">
      <c r="A395" s="161" t="s">
        <v>371</v>
      </c>
      <c r="B395" s="56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2</v>
      </c>
      <c r="G395" s="6"/>
      <c r="H395" s="6"/>
      <c r="I395" s="7">
        <v>2</v>
      </c>
      <c r="J395" s="7">
        <v>1</v>
      </c>
      <c r="K395" s="6"/>
      <c r="L395" s="6">
        <v>1</v>
      </c>
      <c r="M395" s="7"/>
      <c r="N395" s="59">
        <f t="shared" si="15"/>
        <v>6</v>
      </c>
      <c r="O395" s="60"/>
      <c r="P395" s="48"/>
      <c r="Q395" s="90" t="s">
        <v>1781</v>
      </c>
      <c r="R395" s="118">
        <v>25000</v>
      </c>
      <c r="S395" s="92">
        <v>26000</v>
      </c>
      <c r="T395" s="92">
        <v>27000</v>
      </c>
      <c r="U395" s="93"/>
      <c r="W395" s="101">
        <v>500</v>
      </c>
      <c r="X395" s="91"/>
    </row>
    <row r="396" spans="1:25">
      <c r="A396" s="161" t="s">
        <v>372</v>
      </c>
      <c r="B396" s="56" t="str">
        <f>IFERROR(HYPERLINK(VLOOKUP(A396,ÜRÜNLER!A:C,3,FALSE),VLOOKUP(A396,ÜRÜNLER!A:B,2,FALSE)),"")</f>
        <v>EQ500 classic Tam Otomatik Kahve Makinesi, Piyano Siyahı</v>
      </c>
      <c r="C396" s="5"/>
      <c r="D396" s="5"/>
      <c r="E396" s="6"/>
      <c r="F396" s="6">
        <v>4</v>
      </c>
      <c r="G396" s="6"/>
      <c r="H396" s="6"/>
      <c r="I396" s="7"/>
      <c r="J396" s="7">
        <v>1</v>
      </c>
      <c r="K396" s="6"/>
      <c r="L396" s="6"/>
      <c r="M396" s="7">
        <v>1</v>
      </c>
      <c r="N396" s="59">
        <f t="shared" si="15"/>
        <v>6</v>
      </c>
      <c r="O396" s="60"/>
      <c r="P396" s="48"/>
      <c r="Q396" s="90" t="s">
        <v>1781</v>
      </c>
      <c r="R396" s="91">
        <v>28000</v>
      </c>
      <c r="S396" s="92">
        <v>29120</v>
      </c>
      <c r="T396" s="92">
        <v>30240</v>
      </c>
      <c r="U396" s="93"/>
      <c r="W396" s="101">
        <v>500</v>
      </c>
      <c r="X396" s="91"/>
    </row>
    <row r="397" spans="1:25">
      <c r="A397" s="162" t="s">
        <v>373</v>
      </c>
      <c r="B397" s="56" t="str">
        <f>IFERROR(HYPERLINK(VLOOKUP(A397,ÜRÜNLER!A:C,3,FALSE),VLOOKUP(A397,ÜRÜNLER!A:B,2,FALSE)),"")</f>
        <v>EQ500 classic Tam Otomatik Kahve Makinesi, Metalik Inox/Gümüş</v>
      </c>
      <c r="C397" s="5"/>
      <c r="D397" s="5"/>
      <c r="E397" s="6"/>
      <c r="F397" s="6">
        <v>1</v>
      </c>
      <c r="G397" s="6"/>
      <c r="H397" s="6"/>
      <c r="I397" s="7">
        <v>1</v>
      </c>
      <c r="J397" s="7"/>
      <c r="K397" s="6"/>
      <c r="L397" s="6">
        <v>1</v>
      </c>
      <c r="M397" s="7">
        <v>1</v>
      </c>
      <c r="N397" s="59">
        <f t="shared" si="15"/>
        <v>4</v>
      </c>
      <c r="O397" s="60"/>
      <c r="P397" s="48"/>
      <c r="Q397" s="90" t="s">
        <v>1781</v>
      </c>
      <c r="R397" s="91">
        <v>25000</v>
      </c>
      <c r="S397" s="92">
        <v>26000</v>
      </c>
      <c r="T397" s="92">
        <v>27000</v>
      </c>
      <c r="U397" s="93"/>
      <c r="W397" s="101">
        <v>500</v>
      </c>
      <c r="X397" s="91"/>
    </row>
    <row r="398" spans="1:25">
      <c r="A398" s="162" t="s">
        <v>374</v>
      </c>
      <c r="B398" s="56" t="str">
        <f>IFERROR(HYPERLINK(VLOOKUP(A398,ÜRÜNLER!A:C,3,FALSE),VLOOKUP(A398,ÜRÜNLER!A:B,2,FALSE)),"")</f>
        <v>EQ500 classic Tam Otomatik Kahve Makinesi, Sabah Sisi Grisi</v>
      </c>
      <c r="C398" s="5"/>
      <c r="D398" s="5"/>
      <c r="E398" s="6"/>
      <c r="F398" s="6">
        <v>1</v>
      </c>
      <c r="G398" s="6"/>
      <c r="H398" s="6"/>
      <c r="I398" s="7"/>
      <c r="J398" s="7"/>
      <c r="K398" s="6"/>
      <c r="L398" s="6"/>
      <c r="M398" s="7">
        <v>1</v>
      </c>
      <c r="N398" s="59">
        <f t="shared" si="15"/>
        <v>2</v>
      </c>
      <c r="O398" s="60"/>
      <c r="P398" s="48"/>
      <c r="Q398" s="90" t="s">
        <v>1781</v>
      </c>
      <c r="R398" s="91">
        <v>30000</v>
      </c>
      <c r="S398" s="92">
        <v>31200</v>
      </c>
      <c r="T398" s="92">
        <v>32400</v>
      </c>
      <c r="U398" s="93"/>
      <c r="W398" s="101">
        <v>500</v>
      </c>
      <c r="X398" s="91"/>
    </row>
    <row r="399" spans="1:25">
      <c r="A399" s="163" t="s">
        <v>375</v>
      </c>
      <c r="B399" s="56" t="str">
        <f>IFERROR(HYPERLINK(VLOOKUP(A399,ÜRÜNLER!A:C,3,FALSE),VLOOKUP(A399,ÜRÜNLER!A:B,2,FALSE)),"")</f>
        <v>EQ500 classic connect Tam Otomatik Kahve Makinesi, Inox/Siyah</v>
      </c>
      <c r="C399" s="5">
        <v>14</v>
      </c>
      <c r="D399" s="5"/>
      <c r="E399" s="6"/>
      <c r="F399" s="6">
        <v>16</v>
      </c>
      <c r="G399" s="6"/>
      <c r="H399" s="6"/>
      <c r="I399" s="7">
        <v>2</v>
      </c>
      <c r="J399" s="7"/>
      <c r="K399" s="6"/>
      <c r="L399" s="6">
        <v>1</v>
      </c>
      <c r="M399" s="7">
        <v>1</v>
      </c>
      <c r="N399" s="59">
        <f t="shared" si="15"/>
        <v>34</v>
      </c>
      <c r="O399" s="60"/>
      <c r="P399" s="48"/>
      <c r="Q399" s="96">
        <v>40793.307112641975</v>
      </c>
      <c r="R399" s="102">
        <v>40793.307112641975</v>
      </c>
      <c r="S399" s="92">
        <v>42425.039397147651</v>
      </c>
      <c r="T399" s="92">
        <v>44056.771681653336</v>
      </c>
      <c r="U399" s="93">
        <v>8691.24</v>
      </c>
      <c r="W399" s="101">
        <v>500</v>
      </c>
      <c r="X399" s="117">
        <v>39990</v>
      </c>
      <c r="Y399" s="61" t="s">
        <v>1847</v>
      </c>
    </row>
    <row r="400" spans="1:25">
      <c r="A400" s="163" t="s">
        <v>376</v>
      </c>
      <c r="B400" s="56" t="str">
        <f>IFERROR(HYPERLINK(VLOOKUP(A400,ÜRÜNLER!A:C,3,FALSE),VLOOKUP(A400,ÜRÜNLER!A:B,2,FALSE)),"")</f>
        <v>EQ500 classic Tam Otomatik Kahve Makinesi, Inox/Siyah</v>
      </c>
      <c r="C400" s="5">
        <v>145</v>
      </c>
      <c r="D400" s="5"/>
      <c r="E400" s="6"/>
      <c r="F400" s="6">
        <v>33</v>
      </c>
      <c r="G400" s="6"/>
      <c r="H400" s="6"/>
      <c r="I400" s="7">
        <v>7</v>
      </c>
      <c r="J400" s="7">
        <v>4</v>
      </c>
      <c r="K400" s="6">
        <v>1</v>
      </c>
      <c r="L400" s="6">
        <v>1</v>
      </c>
      <c r="M400" s="7">
        <v>2</v>
      </c>
      <c r="N400" s="59">
        <f t="shared" si="15"/>
        <v>193</v>
      </c>
      <c r="O400" s="60">
        <v>14</v>
      </c>
      <c r="P400" s="48"/>
      <c r="Q400" s="96">
        <v>32099.651498472376</v>
      </c>
      <c r="R400" s="102">
        <v>32099.651498472376</v>
      </c>
      <c r="S400" s="92">
        <v>33383.637558411268</v>
      </c>
      <c r="T400" s="92">
        <v>34667.623618350168</v>
      </c>
      <c r="U400" s="93">
        <v>6419.61</v>
      </c>
      <c r="W400" s="101">
        <v>500</v>
      </c>
      <c r="X400" s="117">
        <v>31990</v>
      </c>
      <c r="Y400" s="61" t="s">
        <v>1847</v>
      </c>
    </row>
    <row r="401" spans="1:23">
      <c r="A401" s="130" t="s">
        <v>1809</v>
      </c>
      <c r="B401" s="56" t="str">
        <f>IFERROR(HYPERLINK(VLOOKUP(A401,ÜRÜNLER!A:C,3,FALSE),VLOOKUP(A401,ÜRÜNLER!A:B,2,FALSE)),"")</f>
        <v>EQ600 iAroma Tam Otomatik Kahve Makinesi, Sabah Sisi Grisi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9">
        <f t="shared" si="15"/>
        <v>0</v>
      </c>
      <c r="O401" s="60">
        <v>5</v>
      </c>
      <c r="P401" s="48"/>
      <c r="Q401" s="96">
        <v>39763.772727272728</v>
      </c>
      <c r="R401" s="102">
        <v>39763.772727272728</v>
      </c>
      <c r="S401" s="92">
        <v>41354.323636363639</v>
      </c>
      <c r="T401" s="92">
        <v>42944.874545454542</v>
      </c>
      <c r="U401" s="93"/>
      <c r="V401" s="91"/>
      <c r="W401" s="101">
        <v>500</v>
      </c>
    </row>
    <row r="402" spans="1:23">
      <c r="A402" s="130" t="s">
        <v>1807</v>
      </c>
      <c r="B402" s="56" t="str">
        <f>IFERROR(HYPERLINK(VLOOKUP(A402,ÜRÜNLER!A:C,3,FALSE),VLOOKUP(A402,ÜRÜNLER!A:B,2,FALSE)),"")</f>
        <v>EQ600 iAroma Tam Otomatik Kahve Makinesi, Siyah/Inox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9">
        <f t="shared" si="15"/>
        <v>0</v>
      </c>
      <c r="O402" s="60">
        <v>5</v>
      </c>
      <c r="P402" s="48"/>
      <c r="Q402" s="96">
        <v>42150.13636363636</v>
      </c>
      <c r="R402" s="102">
        <v>42150.13636363636</v>
      </c>
      <c r="S402" s="92">
        <v>43836.141818181815</v>
      </c>
      <c r="T402" s="92">
        <v>45522.14727272727</v>
      </c>
      <c r="U402" s="93"/>
      <c r="V402" s="91"/>
      <c r="W402" s="101">
        <v>500</v>
      </c>
    </row>
    <row r="403" spans="1:23">
      <c r="A403" s="143" t="s">
        <v>1808</v>
      </c>
      <c r="B403" s="56" t="str">
        <f>IFERROR(HYPERLINK(VLOOKUP(A403,ÜRÜNLER!A:C,3,FALSE),VLOOKUP(A403,ÜRÜNLER!A:B,2,FALSE)),"")</f>
        <v>EQ600 iAroma Tam Otomatik Kahve Makinesi, Siyah/Dark Inox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6">
        <v>45331.954545454544</v>
      </c>
      <c r="R403" s="102">
        <v>45331.954545454544</v>
      </c>
      <c r="S403" s="92">
        <v>47145.232727272727</v>
      </c>
      <c r="T403" s="92">
        <v>48958.51090909091</v>
      </c>
      <c r="U403" s="93"/>
      <c r="V403" s="91"/>
      <c r="W403" s="101">
        <v>500</v>
      </c>
    </row>
    <row r="404" spans="1:23">
      <c r="A404" s="161" t="s">
        <v>377</v>
      </c>
      <c r="B404" s="56" t="str">
        <f>IFERROR(HYPERLINK(VLOOKUP(A404,ÜRÜNLER!A:C,3,FALSE),VLOOKUP(A404,ÜRÜNLER!A:B,2,FALSE)),"")</f>
        <v>EQ700 classic Tam Otomatik Kahve Makinesi, Piyano Siyahı</v>
      </c>
      <c r="C404" s="5"/>
      <c r="D404" s="5"/>
      <c r="E404" s="6"/>
      <c r="F404" s="6">
        <v>1</v>
      </c>
      <c r="G404" s="6"/>
      <c r="H404" s="6"/>
      <c r="I404" s="7"/>
      <c r="J404" s="7"/>
      <c r="K404" s="6"/>
      <c r="L404" s="6"/>
      <c r="M404" s="7"/>
      <c r="N404" s="59">
        <f t="shared" si="15"/>
        <v>1</v>
      </c>
      <c r="O404" s="60"/>
      <c r="P404" s="48"/>
      <c r="Q404" s="90" t="s">
        <v>1781</v>
      </c>
      <c r="R404" s="91">
        <v>45000</v>
      </c>
      <c r="S404" s="92">
        <v>46800</v>
      </c>
      <c r="T404" s="92">
        <v>48600</v>
      </c>
      <c r="U404" s="93"/>
      <c r="V404" s="91"/>
      <c r="W404" s="101">
        <v>500</v>
      </c>
    </row>
    <row r="405" spans="1:23">
      <c r="A405" s="162" t="s">
        <v>379</v>
      </c>
      <c r="B405" s="56" t="str">
        <f>IFERROR(HYPERLINK(VLOOKUP(A405,ÜRÜNLER!A:C,3,FALSE),VLOOKUP(A405,ÜRÜNLER!A:B,2,FALSE)),"")</f>
        <v>EQ700 classic Tam Otomatik Kahve Makinesi, Piyano Siyahı</v>
      </c>
      <c r="C405" s="5">
        <v>13</v>
      </c>
      <c r="D405" s="5"/>
      <c r="E405" s="6"/>
      <c r="F405" s="6">
        <v>7</v>
      </c>
      <c r="G405" s="6"/>
      <c r="H405" s="6"/>
      <c r="I405" s="7"/>
      <c r="J405" s="7">
        <v>1</v>
      </c>
      <c r="K405" s="6">
        <v>1</v>
      </c>
      <c r="L405" s="6"/>
      <c r="M405" s="7">
        <v>3</v>
      </c>
      <c r="N405" s="59">
        <f t="shared" si="15"/>
        <v>25</v>
      </c>
      <c r="O405" s="60"/>
      <c r="P405" s="48"/>
      <c r="Q405" s="96">
        <v>52494.176938714467</v>
      </c>
      <c r="R405" s="102">
        <v>52494.176938714467</v>
      </c>
      <c r="S405" s="92">
        <v>54593.944016263049</v>
      </c>
      <c r="T405" s="92">
        <v>56693.711093811624</v>
      </c>
      <c r="U405" s="93"/>
      <c r="V405" s="91"/>
      <c r="W405" s="101">
        <v>500</v>
      </c>
    </row>
    <row r="406" spans="1:23">
      <c r="A406" s="137" t="s">
        <v>380</v>
      </c>
      <c r="B406" s="56" t="str">
        <f>IFERROR(HYPERLINK(VLOOKUP(A406,ÜRÜNLER!A:C,3,FALSE),VLOOKUP(A406,ÜRÜNLER!A:B,2,FALSE)),"")</f>
        <v>EQ500 integral Tam Otomatik Kahve Makinesi, Metalik Safir Siyahı</v>
      </c>
      <c r="C406" s="5"/>
      <c r="D406" s="5"/>
      <c r="E406" s="6"/>
      <c r="F406" s="6"/>
      <c r="G406" s="6"/>
      <c r="H406" s="6"/>
      <c r="I406" s="7">
        <v>1</v>
      </c>
      <c r="J406" s="7"/>
      <c r="K406" s="6">
        <v>1</v>
      </c>
      <c r="L406" s="6">
        <v>1</v>
      </c>
      <c r="M406" s="7">
        <v>1</v>
      </c>
      <c r="N406" s="59">
        <f t="shared" si="15"/>
        <v>4</v>
      </c>
      <c r="O406" s="60"/>
      <c r="P406" s="48"/>
      <c r="Q406" s="90" t="s">
        <v>1781</v>
      </c>
      <c r="R406" s="91">
        <v>40000</v>
      </c>
      <c r="S406" s="92">
        <v>41600</v>
      </c>
      <c r="T406" s="92">
        <v>43200</v>
      </c>
      <c r="U406" s="93"/>
      <c r="V406" s="91"/>
      <c r="W406" s="101">
        <v>500</v>
      </c>
    </row>
    <row r="407" spans="1:23">
      <c r="A407" s="143" t="s">
        <v>381</v>
      </c>
      <c r="B407" s="56" t="str">
        <f>IFERROR(HYPERLINK(VLOOKUP(A407,ÜRÜNLER!A:C,3,FALSE),VLOOKUP(A407,ÜRÜNLER!A:B,2,FALSE)),"")</f>
        <v>EQ500 integral Tam Otomatik Kahve Makinesi, Inox</v>
      </c>
      <c r="C407" s="5"/>
      <c r="D407" s="5"/>
      <c r="E407" s="6"/>
      <c r="F407" s="6">
        <v>1</v>
      </c>
      <c r="G407" s="6"/>
      <c r="H407" s="6"/>
      <c r="I407" s="7">
        <v>1</v>
      </c>
      <c r="J407" s="7">
        <v>1</v>
      </c>
      <c r="K407" s="6"/>
      <c r="L407" s="6">
        <v>1</v>
      </c>
      <c r="M407" s="7">
        <v>1</v>
      </c>
      <c r="N407" s="59">
        <f t="shared" si="15"/>
        <v>5</v>
      </c>
      <c r="O407" s="60"/>
      <c r="P407" s="48"/>
      <c r="Q407" s="90" t="s">
        <v>1781</v>
      </c>
      <c r="R407" s="91">
        <v>40000</v>
      </c>
      <c r="S407" s="92">
        <v>41600</v>
      </c>
      <c r="T407" s="92">
        <v>43200</v>
      </c>
      <c r="U407" s="93"/>
      <c r="V407" s="91"/>
      <c r="W407" s="101">
        <v>500</v>
      </c>
    </row>
    <row r="408" spans="1:23">
      <c r="A408" s="164" t="s">
        <v>382</v>
      </c>
      <c r="B408" s="56" t="str">
        <f>IFERROR(HYPERLINK(VLOOKUP(A408,ÜRÜNLER!A:C,3,FALSE),VLOOKUP(A408,ÜRÜNLER!A:B,2,FALSE)),"")</f>
        <v>EQ700 integral Tam Otomatik Kahve Makinesi, Metalik Inox/Gümüş</v>
      </c>
      <c r="C408" s="5"/>
      <c r="D408" s="5"/>
      <c r="E408" s="6"/>
      <c r="F408" s="6"/>
      <c r="G408" s="6">
        <v>1</v>
      </c>
      <c r="H408" s="6"/>
      <c r="I408" s="7"/>
      <c r="J408" s="7">
        <v>1</v>
      </c>
      <c r="K408" s="6"/>
      <c r="L408" s="6"/>
      <c r="M408" s="7"/>
      <c r="N408" s="59">
        <f t="shared" si="15"/>
        <v>2</v>
      </c>
      <c r="O408" s="60"/>
      <c r="P408" s="48"/>
      <c r="Q408" s="90" t="s">
        <v>1781</v>
      </c>
      <c r="R408" s="91">
        <v>50000</v>
      </c>
      <c r="S408" s="92">
        <v>52000</v>
      </c>
      <c r="T408" s="92">
        <v>54000</v>
      </c>
      <c r="U408" s="93"/>
      <c r="V408" s="91"/>
      <c r="W408" s="101">
        <v>500</v>
      </c>
    </row>
    <row r="409" spans="1:23">
      <c r="A409" s="164" t="s">
        <v>383</v>
      </c>
      <c r="B409" s="56" t="str">
        <f>IFERROR(HYPERLINK(VLOOKUP(A409,ÜRÜNLER!A:C,3,FALSE),VLOOKUP(A409,ÜRÜNLER!A:B,2,FALSE)),"")</f>
        <v>EQ700 Tam Otomatik Kahve Makinesi, Paslanmaz Çelik</v>
      </c>
      <c r="C409" s="5"/>
      <c r="D409" s="5"/>
      <c r="E409" s="6"/>
      <c r="F409" s="6"/>
      <c r="G409" s="6"/>
      <c r="H409" s="6"/>
      <c r="I409" s="7"/>
      <c r="J409" s="7"/>
      <c r="K409" s="6"/>
      <c r="L409" s="6"/>
      <c r="M409" s="7">
        <v>1</v>
      </c>
      <c r="N409" s="59">
        <f t="shared" si="15"/>
        <v>1</v>
      </c>
      <c r="O409" s="60"/>
      <c r="P409" s="48"/>
      <c r="Q409" s="96">
        <v>56989.324165687103</v>
      </c>
      <c r="R409" s="105">
        <v>54139.857957402746</v>
      </c>
      <c r="S409" s="92">
        <v>56305.452275698859</v>
      </c>
      <c r="T409" s="92">
        <v>58471.046593994964</v>
      </c>
      <c r="U409" s="93"/>
      <c r="V409" s="91"/>
      <c r="W409" s="101">
        <v>500</v>
      </c>
    </row>
    <row r="410" spans="1:23">
      <c r="A410" s="137" t="s">
        <v>384</v>
      </c>
      <c r="B410" s="56" t="str">
        <f>IFERROR(HYPERLINK(VLOOKUP(A410,ÜRÜNLER!A:C,3,FALSE),VLOOKUP(A410,ÜRÜNLER!A:B,2,FALSE)),"")</f>
        <v>EQ900 Tam Otomatik Kahve Makinesi, Paslanmaz Çelik</v>
      </c>
      <c r="C410" s="5">
        <v>18</v>
      </c>
      <c r="D410" s="5"/>
      <c r="E410" s="6"/>
      <c r="F410" s="6"/>
      <c r="G410" s="6"/>
      <c r="H410" s="6"/>
      <c r="I410" s="7">
        <v>1</v>
      </c>
      <c r="J410" s="7"/>
      <c r="K410" s="6"/>
      <c r="L410" s="6">
        <v>1</v>
      </c>
      <c r="M410" s="7">
        <v>1</v>
      </c>
      <c r="N410" s="59">
        <f t="shared" si="15"/>
        <v>21</v>
      </c>
      <c r="O410" s="60"/>
      <c r="P410" s="48"/>
      <c r="Q410" s="96">
        <v>80886.471339026728</v>
      </c>
      <c r="R410" s="102">
        <v>80886.471339026728</v>
      </c>
      <c r="S410" s="92">
        <v>84121.930192587795</v>
      </c>
      <c r="T410" s="92">
        <v>87357.389046148863</v>
      </c>
      <c r="U410" s="93"/>
      <c r="V410" s="91"/>
      <c r="W410" s="101">
        <v>500</v>
      </c>
    </row>
    <row r="411" spans="1:23">
      <c r="A411" s="137" t="s">
        <v>385</v>
      </c>
      <c r="B411" s="56" t="str">
        <f>IFERROR(HYPERLINK(VLOOKUP(A411,ÜRÜNLER!A:C,3,FALSE),VLOOKUP(A411,ÜRÜNLER!A:B,2,FALSE)),"")</f>
        <v>EQ900 plus Tam Otomatik Kahve Makinesi, Inox</v>
      </c>
      <c r="C411" s="5">
        <v>11</v>
      </c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12</v>
      </c>
      <c r="O411" s="60"/>
      <c r="P411" s="48"/>
      <c r="Q411" s="96">
        <v>101776.37741443558</v>
      </c>
      <c r="R411" s="102">
        <v>101776.37741443558</v>
      </c>
      <c r="S411" s="92">
        <v>105847.432511013</v>
      </c>
      <c r="T411" s="92">
        <v>109918.48760759043</v>
      </c>
      <c r="U411" s="93"/>
      <c r="V411" s="91"/>
      <c r="W411" s="101">
        <v>500</v>
      </c>
    </row>
    <row r="412" spans="1:23">
      <c r="A412" s="143" t="s">
        <v>386</v>
      </c>
      <c r="B412" s="56" t="str">
        <f>IFERROR(HYPERLINK(VLOOKUP(A412,ÜRÜNLER!A:C,3,FALSE),VLOOKUP(A412,ÜRÜNLER!A:B,2,FALSE)),"")</f>
        <v>iQ700 Sıcak Tutma Çekmecesi, 60x14cm, Siyah</v>
      </c>
      <c r="C412" s="5">
        <v>1</v>
      </c>
      <c r="D412" s="5"/>
      <c r="E412" s="6"/>
      <c r="F412" s="6"/>
      <c r="G412" s="6">
        <v>1</v>
      </c>
      <c r="H412" s="6"/>
      <c r="I412" s="7">
        <v>1</v>
      </c>
      <c r="J412" s="7">
        <v>1</v>
      </c>
      <c r="K412" s="6"/>
      <c r="L412" s="6">
        <v>1</v>
      </c>
      <c r="M412" s="7"/>
      <c r="N412" s="59">
        <f t="shared" si="15"/>
        <v>5</v>
      </c>
      <c r="O412" s="60"/>
      <c r="P412" s="48"/>
      <c r="Q412" s="90" t="s">
        <v>1781</v>
      </c>
      <c r="R412" s="91">
        <v>30000</v>
      </c>
      <c r="S412" s="92">
        <v>31200</v>
      </c>
      <c r="T412" s="92">
        <v>32400</v>
      </c>
      <c r="U412" s="93"/>
      <c r="V412" s="91"/>
      <c r="W412" s="101">
        <v>500</v>
      </c>
    </row>
    <row r="413" spans="1:23">
      <c r="A413" s="143" t="s">
        <v>1496</v>
      </c>
      <c r="B413" s="56" t="str">
        <f>IFERROR(HYPERLINK(VLOOKUP(A413,ÜRÜNLER!A:C,3,FALSE),VLOOKUP(A413,ÜRÜNLER!A:B,2,FALSE)),"")</f>
        <v>iQ700 Sıcak Tutma Çekmecesi, 60x14cm, Siyah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9">
        <f t="shared" si="15"/>
        <v>0</v>
      </c>
      <c r="O413" s="60">
        <v>4</v>
      </c>
      <c r="P413" s="48"/>
      <c r="Q413" s="108">
        <v>54976.288557568034</v>
      </c>
      <c r="R413" s="108">
        <v>52227.474129689632</v>
      </c>
      <c r="S413" s="92">
        <v>54316.573094877218</v>
      </c>
      <c r="T413" s="92">
        <v>56405.672060064804</v>
      </c>
      <c r="U413" s="93"/>
      <c r="V413" s="91"/>
      <c r="W413" s="101">
        <v>500</v>
      </c>
    </row>
    <row r="414" spans="1:23">
      <c r="A414" s="154" t="s">
        <v>387</v>
      </c>
      <c r="B414" s="56" t="str">
        <f>IFERROR(HYPERLINK(VLOOKUP(A414,ÜRÜNLER!A:C,3,FALSE),VLOOKUP(A414,ÜRÜNLER!A:B,2,FALSE)),"")</f>
        <v>iQ700 Sıcak Tutma Çekmecesi, 60x14cm, Beyaz</v>
      </c>
      <c r="C414" s="5">
        <v>1</v>
      </c>
      <c r="D414" s="5"/>
      <c r="E414" s="6"/>
      <c r="F414" s="6"/>
      <c r="G414" s="6"/>
      <c r="H414" s="6"/>
      <c r="I414" s="7"/>
      <c r="J414" s="7"/>
      <c r="K414" s="6"/>
      <c r="L414" s="6"/>
      <c r="M414" s="7"/>
      <c r="N414" s="59">
        <f t="shared" si="15"/>
        <v>1</v>
      </c>
      <c r="O414" s="60"/>
      <c r="P414" s="48"/>
      <c r="Q414" s="90" t="s">
        <v>1781</v>
      </c>
      <c r="R414" s="91">
        <v>30000</v>
      </c>
      <c r="S414" s="92">
        <v>31200</v>
      </c>
      <c r="T414" s="92">
        <v>32400</v>
      </c>
      <c r="U414" s="93"/>
      <c r="V414" s="91"/>
      <c r="W414" s="101">
        <v>500</v>
      </c>
    </row>
    <row r="415" spans="1:23">
      <c r="A415" s="154" t="s">
        <v>388</v>
      </c>
      <c r="B415" s="56" t="str">
        <f>IFERROR(HYPERLINK(VLOOKUP(A415,ÜRÜNLER!A:C,3,FALSE),VLOOKUP(A415,ÜRÜNLER!A:B,2,FALSE)),"")</f>
        <v>iQ700 studioLine Sıcak Tutma Çekmecesi, 60x14cm, Siyah</v>
      </c>
      <c r="C415" s="5"/>
      <c r="D415" s="5">
        <v>1</v>
      </c>
      <c r="E415" s="6"/>
      <c r="F415" s="6"/>
      <c r="G415" s="6"/>
      <c r="H415" s="6">
        <v>1</v>
      </c>
      <c r="I415" s="7"/>
      <c r="J415" s="7"/>
      <c r="K415" s="6"/>
      <c r="L415" s="6"/>
      <c r="M415" s="7"/>
      <c r="N415" s="59">
        <f t="shared" si="15"/>
        <v>2</v>
      </c>
      <c r="O415" s="60"/>
      <c r="P415" s="48"/>
      <c r="Q415" s="90" t="s">
        <v>1781</v>
      </c>
      <c r="R415" s="91">
        <v>30000</v>
      </c>
      <c r="S415" s="92">
        <v>31200</v>
      </c>
      <c r="T415" s="92">
        <v>32400</v>
      </c>
      <c r="U415" s="93"/>
      <c r="V415" s="91"/>
      <c r="W415" s="101">
        <v>500</v>
      </c>
    </row>
    <row r="416" spans="1:23" ht="40.5" customHeight="1">
      <c r="A416" s="165" t="s">
        <v>391</v>
      </c>
      <c r="B416" s="56" t="str">
        <f>IFERROR(HYPERLINK(VLOOKUP(A416,ÜRÜNLER!A:C,3,FALSE),VLOOKUP(A416,ÜRÜNLER!A:B,2,FALSE)),"")</f>
        <v/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>SUM(N383:N415)</f>
        <v>506</v>
      </c>
      <c r="O416" s="60"/>
      <c r="P416" s="48"/>
      <c r="R416" s="91"/>
      <c r="S416" s="92"/>
      <c r="T416" s="92"/>
      <c r="U416" s="119"/>
      <c r="V416" s="91"/>
      <c r="W416" s="69"/>
    </row>
    <row r="417" spans="1:23">
      <c r="A417" s="134" t="s">
        <v>392</v>
      </c>
      <c r="B417" s="56" t="str">
        <f>IFERROR(HYPERLINK(VLOOKUP(A417,ÜRÜNLER!A:C,3,FALSE),VLOOKUP(A417,ÜRÜNLER!A:B,2,FALSE)),"")</f>
        <v>iQ500 Dik Şarjlı Elektrik Süpürgesi</v>
      </c>
      <c r="C417" s="5">
        <v>43</v>
      </c>
      <c r="D417" s="5"/>
      <c r="E417" s="6"/>
      <c r="F417" s="6">
        <v>182</v>
      </c>
      <c r="G417" s="6"/>
      <c r="H417" s="6"/>
      <c r="I417" s="7">
        <v>17</v>
      </c>
      <c r="J417" s="7">
        <v>4</v>
      </c>
      <c r="K417" s="6"/>
      <c r="L417" s="6">
        <v>22</v>
      </c>
      <c r="M417" s="7">
        <v>4</v>
      </c>
      <c r="N417" s="59">
        <f t="shared" ref="N417:N433" si="16">M417+K417+L417+J417+I417+H417+G417+F417+E417+D417+C417</f>
        <v>272</v>
      </c>
      <c r="O417" s="60"/>
      <c r="P417" s="48"/>
      <c r="Q417" s="96">
        <v>16035.596808446544</v>
      </c>
      <c r="R417" s="129">
        <v>15200</v>
      </c>
      <c r="S417" s="120">
        <v>15808</v>
      </c>
      <c r="T417" s="120">
        <v>16416</v>
      </c>
      <c r="U417" s="93">
        <v>3199.58</v>
      </c>
      <c r="V417" s="91"/>
      <c r="W417" s="113">
        <v>500</v>
      </c>
    </row>
    <row r="418" spans="1:23">
      <c r="A418" s="134" t="s">
        <v>393</v>
      </c>
      <c r="B418" s="56" t="str">
        <f>IFERROR(HYPERLINK(VLOOKUP(A418,ÜRÜNLER!A:C,3,FALSE),VLOOKUP(A418,ÜRÜNLER!A:B,2,FALSE)),"")</f>
        <v>iQ500 Dik Şarjlı Elektrik Süpürgesi, Çift Bataryalı</v>
      </c>
      <c r="C418" s="5">
        <v>37</v>
      </c>
      <c r="D418" s="5"/>
      <c r="E418" s="6"/>
      <c r="F418" s="6">
        <v>71</v>
      </c>
      <c r="G418" s="6"/>
      <c r="H418" s="6"/>
      <c r="I418" s="7">
        <v>14</v>
      </c>
      <c r="J418" s="7">
        <v>5</v>
      </c>
      <c r="K418" s="6">
        <v>1</v>
      </c>
      <c r="L418" s="6">
        <v>2</v>
      </c>
      <c r="M418" s="7">
        <v>4</v>
      </c>
      <c r="N418" s="59">
        <f t="shared" si="16"/>
        <v>134</v>
      </c>
      <c r="O418" s="60"/>
      <c r="P418" s="48"/>
      <c r="Q418" s="96">
        <v>21917.208728307571</v>
      </c>
      <c r="R418" s="129">
        <v>20821.348291892191</v>
      </c>
      <c r="S418" s="120">
        <v>21654.202223567878</v>
      </c>
      <c r="T418" s="120">
        <v>22487.056155243565</v>
      </c>
      <c r="U418" s="93">
        <v>5067.4399999999996</v>
      </c>
      <c r="V418" s="91"/>
      <c r="W418" s="113">
        <v>500</v>
      </c>
    </row>
    <row r="419" spans="1:23">
      <c r="A419" s="134" t="s">
        <v>394</v>
      </c>
      <c r="B419" s="56" t="str">
        <f>IFERROR(HYPERLINK(VLOOKUP(A419,ÜRÜNLER!A:C,3,FALSE),VLOOKUP(A419,ÜRÜNLER!A:B,2,FALSE)),"")</f>
        <v>iQ500 Dik Şarjlı 2'li Süpürme&amp;Silme Elektrik Süpürgesi</v>
      </c>
      <c r="C419" s="5">
        <v>68</v>
      </c>
      <c r="D419" s="5"/>
      <c r="E419" s="6"/>
      <c r="F419" s="6">
        <v>132</v>
      </c>
      <c r="G419" s="6"/>
      <c r="H419" s="6"/>
      <c r="I419" s="7">
        <v>5</v>
      </c>
      <c r="J419" s="7">
        <v>4</v>
      </c>
      <c r="K419" s="6"/>
      <c r="L419" s="6">
        <v>1</v>
      </c>
      <c r="M419" s="7">
        <v>3</v>
      </c>
      <c r="N419" s="59">
        <f t="shared" si="16"/>
        <v>213</v>
      </c>
      <c r="O419" s="60"/>
      <c r="P419" s="48"/>
      <c r="Q419" s="96">
        <v>22889.510310267811</v>
      </c>
      <c r="R419" s="129">
        <v>21745.034794754421</v>
      </c>
      <c r="S419" s="120">
        <v>22614.836186544599</v>
      </c>
      <c r="T419" s="120">
        <v>23484.637578334776</v>
      </c>
      <c r="U419" s="93">
        <v>5236.99</v>
      </c>
      <c r="V419" s="91"/>
      <c r="W419" s="113">
        <v>500</v>
      </c>
    </row>
    <row r="420" spans="1:23">
      <c r="A420" s="134" t="s">
        <v>395</v>
      </c>
      <c r="B420" s="56" t="str">
        <f>IFERROR(HYPERLINK(VLOOKUP(A420,ÜRÜNLER!A:C,3,FALSE),VLOOKUP(A420,ÜRÜNLER!A:B,2,FALSE)),"")</f>
        <v>Toz torbalı Süpürge synchropower, 600w, Mavi</v>
      </c>
      <c r="C420" s="5"/>
      <c r="D420" s="5"/>
      <c r="E420" s="6"/>
      <c r="F420" s="6"/>
      <c r="G420" s="6">
        <v>1</v>
      </c>
      <c r="H420" s="6"/>
      <c r="I420" s="7">
        <v>3</v>
      </c>
      <c r="J420" s="7"/>
      <c r="K420" s="6"/>
      <c r="L420" s="6"/>
      <c r="M420" s="7"/>
      <c r="N420" s="59">
        <f t="shared" si="16"/>
        <v>4</v>
      </c>
      <c r="O420" s="60"/>
      <c r="P420" s="48"/>
      <c r="Q420" s="96">
        <v>7199.9210291256977</v>
      </c>
      <c r="R420" s="91">
        <v>7199.9210291256977</v>
      </c>
      <c r="S420" s="92">
        <v>7487.9178702907257</v>
      </c>
      <c r="T420" s="92">
        <v>7775.9147114557536</v>
      </c>
      <c r="U420" s="93"/>
      <c r="V420" s="91"/>
      <c r="W420" s="113">
        <v>500</v>
      </c>
    </row>
    <row r="421" spans="1:23">
      <c r="A421" s="134" t="s">
        <v>396</v>
      </c>
      <c r="B421" s="56" t="str">
        <f>IFERROR(HYPERLINK(VLOOKUP(A421,ÜRÜNLER!A:C,3,FALSE),VLOOKUP(A421,ÜRÜNLER!A:B,2,FALSE)),"")</f>
        <v>iQ300 Toz Torbalı Süpürge, 600w, Kırmızı</v>
      </c>
      <c r="C421" s="5"/>
      <c r="D421" s="5"/>
      <c r="E421" s="6"/>
      <c r="F421" s="6">
        <v>21</v>
      </c>
      <c r="G421" s="6"/>
      <c r="H421" s="6"/>
      <c r="I421" s="7">
        <v>1</v>
      </c>
      <c r="J421" s="7"/>
      <c r="K421" s="6"/>
      <c r="L421" s="6"/>
      <c r="M421" s="7">
        <v>3</v>
      </c>
      <c r="N421" s="59">
        <f t="shared" si="16"/>
        <v>25</v>
      </c>
      <c r="O421" s="60"/>
      <c r="P421" s="48"/>
      <c r="Q421" s="96">
        <v>7890.0382904480366</v>
      </c>
      <c r="R421" s="91">
        <v>7890.0382904480366</v>
      </c>
      <c r="S421" s="92">
        <v>8205.6398220659576</v>
      </c>
      <c r="T421" s="92">
        <v>8521.2413536838794</v>
      </c>
      <c r="U421" s="93"/>
      <c r="V421" s="91"/>
      <c r="W421" s="113">
        <v>500</v>
      </c>
    </row>
    <row r="422" spans="1:23">
      <c r="A422" s="133" t="s">
        <v>397</v>
      </c>
      <c r="B422" s="56" t="str">
        <f>IFERROR(HYPERLINK(VLOOKUP(A422,ÜRÜNLER!A:C,3,FALSE),VLOOKUP(A422,ÜRÜNLER!A:B,2,FALSE)),"")</f>
        <v>iQ300 Toz Torbalı Süpürge, 600w, Mavi</v>
      </c>
      <c r="C422" s="5"/>
      <c r="D422" s="5"/>
      <c r="E422" s="6"/>
      <c r="F422" s="6">
        <v>4</v>
      </c>
      <c r="G422" s="6"/>
      <c r="H422" s="6"/>
      <c r="I422" s="7">
        <v>1</v>
      </c>
      <c r="J422" s="7">
        <v>3</v>
      </c>
      <c r="K422" s="6"/>
      <c r="L422" s="6">
        <v>2</v>
      </c>
      <c r="M422" s="7">
        <v>1</v>
      </c>
      <c r="N422" s="59">
        <f t="shared" si="16"/>
        <v>11</v>
      </c>
      <c r="O422" s="60"/>
      <c r="P422" s="48"/>
      <c r="Q422" s="90" t="s">
        <v>1781</v>
      </c>
      <c r="R422" s="100">
        <v>6599</v>
      </c>
      <c r="S422" s="92">
        <v>6862.96</v>
      </c>
      <c r="T422" s="92">
        <v>7126.92</v>
      </c>
      <c r="U422" s="93"/>
      <c r="V422" s="91"/>
      <c r="W422" s="113">
        <v>500</v>
      </c>
    </row>
    <row r="423" spans="1:23">
      <c r="A423" s="133" t="s">
        <v>398</v>
      </c>
      <c r="B423" s="56" t="str">
        <f>IFERROR(HYPERLINK(VLOOKUP(A423,ÜRÜNLER!A:C,3,FALSE),VLOOKUP(A423,ÜRÜNLER!A:B,2,FALSE)),"")</f>
        <v>iQ300 Toz Torbalı Süpürge, 600w, Açık Mavi</v>
      </c>
      <c r="C423" s="5"/>
      <c r="D423" s="5"/>
      <c r="E423" s="6"/>
      <c r="F423" s="6"/>
      <c r="G423" s="6"/>
      <c r="H423" s="6"/>
      <c r="I423" s="7"/>
      <c r="J423" s="7"/>
      <c r="K423" s="6"/>
      <c r="L423" s="6"/>
      <c r="M423" s="7">
        <v>1</v>
      </c>
      <c r="N423" s="59">
        <f t="shared" si="16"/>
        <v>1</v>
      </c>
      <c r="O423" s="60"/>
      <c r="P423" s="48"/>
      <c r="Q423" s="90" t="s">
        <v>1781</v>
      </c>
      <c r="R423" s="91">
        <v>5999</v>
      </c>
      <c r="S423" s="92">
        <v>6238.96</v>
      </c>
      <c r="T423" s="92">
        <v>6478.92</v>
      </c>
      <c r="U423" s="93"/>
      <c r="V423" s="91"/>
      <c r="W423" s="113">
        <v>500</v>
      </c>
    </row>
    <row r="424" spans="1:23">
      <c r="A424" s="134" t="s">
        <v>399</v>
      </c>
      <c r="B424" s="56" t="str">
        <f>IFERROR(HYPERLINK(VLOOKUP(A424,ÜRÜNLER!A:C,3,FALSE),VLOOKUP(A424,ÜRÜNLER!A:B,2,FALSE)),"")</f>
        <v>iQ700 Toz Torbalı Süpürge, 650w, Beyaz</v>
      </c>
      <c r="C424" s="5"/>
      <c r="D424" s="5"/>
      <c r="E424" s="6"/>
      <c r="F424" s="6">
        <v>2</v>
      </c>
      <c r="G424" s="6">
        <v>5</v>
      </c>
      <c r="H424" s="6"/>
      <c r="I424" s="7">
        <v>2</v>
      </c>
      <c r="J424" s="7">
        <v>3</v>
      </c>
      <c r="K424" s="6">
        <v>2</v>
      </c>
      <c r="L424" s="6">
        <v>2</v>
      </c>
      <c r="M424" s="7">
        <v>2</v>
      </c>
      <c r="N424" s="59">
        <f t="shared" si="16"/>
        <v>18</v>
      </c>
      <c r="O424" s="60"/>
      <c r="P424" s="48"/>
      <c r="Q424" s="96">
        <v>17385.606197683526</v>
      </c>
      <c r="R424" s="102">
        <v>17385.606197683526</v>
      </c>
      <c r="S424" s="92">
        <v>18081.030445590866</v>
      </c>
      <c r="T424" s="92">
        <v>18776.45469349821</v>
      </c>
      <c r="U424" s="93"/>
      <c r="V424" s="91"/>
      <c r="W424" s="113">
        <v>500</v>
      </c>
    </row>
    <row r="425" spans="1:23">
      <c r="A425" s="134" t="s">
        <v>400</v>
      </c>
      <c r="B425" s="56" t="str">
        <f>IFERROR(HYPERLINK(VLOOKUP(A425,ÜRÜNLER!A:C,3,FALSE),VLOOKUP(A425,ÜRÜNLER!A:B,2,FALSE)),"")</f>
        <v>iQ700 Toz Torbalı Süpürge, 650w, Kırmızı</v>
      </c>
      <c r="C425" s="5"/>
      <c r="D425" s="5"/>
      <c r="E425" s="6"/>
      <c r="F425" s="6"/>
      <c r="G425" s="6"/>
      <c r="H425" s="6"/>
      <c r="I425" s="7">
        <v>1</v>
      </c>
      <c r="J425" s="7"/>
      <c r="K425" s="6"/>
      <c r="L425" s="6"/>
      <c r="M425" s="7">
        <v>1</v>
      </c>
      <c r="N425" s="59">
        <f t="shared" si="16"/>
        <v>2</v>
      </c>
      <c r="O425" s="60"/>
      <c r="P425" s="48"/>
      <c r="Q425" s="90" t="s">
        <v>1781</v>
      </c>
      <c r="R425" s="91">
        <v>10999</v>
      </c>
      <c r="S425" s="92">
        <v>11438.96</v>
      </c>
      <c r="T425" s="92">
        <v>11878.92</v>
      </c>
      <c r="U425" s="93"/>
      <c r="V425" s="91"/>
      <c r="W425" s="113">
        <v>500</v>
      </c>
    </row>
    <row r="426" spans="1:23">
      <c r="A426" s="134" t="s">
        <v>401</v>
      </c>
      <c r="B426" s="56" t="str">
        <f>IFERROR(HYPERLINK(VLOOKUP(A426,ÜRÜNLER!A:C,3,FALSE),VLOOKUP(A426,ÜRÜNLER!A:B,2,FALSE)),"")</f>
        <v>iQ300 Plus Limited Edition Toz Torbalı Elektrik Süpürgesi, 750w, Kırmızı</v>
      </c>
      <c r="C426" s="5">
        <v>4</v>
      </c>
      <c r="D426" s="5"/>
      <c r="E426" s="6"/>
      <c r="F426" s="6">
        <v>8</v>
      </c>
      <c r="G426" s="6"/>
      <c r="H426" s="6"/>
      <c r="I426" s="7">
        <v>2</v>
      </c>
      <c r="J426" s="7">
        <v>3</v>
      </c>
      <c r="K426" s="6">
        <v>2</v>
      </c>
      <c r="L426" s="6"/>
      <c r="M426" s="7">
        <v>3</v>
      </c>
      <c r="N426" s="59">
        <f t="shared" si="16"/>
        <v>22</v>
      </c>
      <c r="O426" s="60"/>
      <c r="P426" s="48"/>
      <c r="Q426" s="96">
        <v>12473.574901724722</v>
      </c>
      <c r="R426" s="105">
        <v>11750</v>
      </c>
      <c r="S426" s="92">
        <v>12220</v>
      </c>
      <c r="T426" s="92">
        <v>12690</v>
      </c>
      <c r="U426" s="93"/>
      <c r="V426" s="91"/>
      <c r="W426" s="113">
        <v>500</v>
      </c>
    </row>
    <row r="427" spans="1:23">
      <c r="A427" s="137" t="s">
        <v>402</v>
      </c>
      <c r="B427" s="56" t="str">
        <f>IFERROR(HYPERLINK(VLOOKUP(A427,ÜRÜNLER!A:C,3,FALSE),VLOOKUP(A427,ÜRÜNLER!A:B,2,FALSE)),"")</f>
        <v>iQ300 Toz Torbasız Süpürge, 550w, Kırmızı</v>
      </c>
      <c r="C427" s="5">
        <v>1</v>
      </c>
      <c r="D427" s="5"/>
      <c r="E427" s="6"/>
      <c r="F427" s="6">
        <v>32</v>
      </c>
      <c r="G427" s="6"/>
      <c r="H427" s="6"/>
      <c r="I427" s="7">
        <v>4</v>
      </c>
      <c r="J427" s="7">
        <v>3</v>
      </c>
      <c r="K427" s="6">
        <v>2</v>
      </c>
      <c r="L427" s="6">
        <v>19</v>
      </c>
      <c r="M427" s="7">
        <v>2</v>
      </c>
      <c r="N427" s="59">
        <f t="shared" si="16"/>
        <v>63</v>
      </c>
      <c r="O427" s="60"/>
      <c r="P427" s="48"/>
      <c r="Q427" s="96">
        <v>9014.0958506441748</v>
      </c>
      <c r="R427" s="105">
        <v>8500</v>
      </c>
      <c r="S427" s="92">
        <v>8840</v>
      </c>
      <c r="T427" s="92">
        <v>9180</v>
      </c>
      <c r="U427" s="93"/>
      <c r="V427" s="91"/>
      <c r="W427" s="113">
        <v>500</v>
      </c>
    </row>
    <row r="428" spans="1:23">
      <c r="A428" s="137" t="s">
        <v>403</v>
      </c>
      <c r="B428" s="56" t="str">
        <f>IFERROR(HYPERLINK(VLOOKUP(A428,ÜRÜNLER!A:C,3,FALSE),VLOOKUP(A428,ÜRÜNLER!A:B,2,FALSE)),"")</f>
        <v>iQ300 Toz Torbasız Süpürge, 750w, Mavi</v>
      </c>
      <c r="C428" s="5">
        <v>9</v>
      </c>
      <c r="D428" s="5"/>
      <c r="E428" s="6"/>
      <c r="F428" s="6">
        <v>23</v>
      </c>
      <c r="G428" s="6"/>
      <c r="H428" s="6"/>
      <c r="I428" s="7">
        <v>1</v>
      </c>
      <c r="J428" s="7">
        <v>2</v>
      </c>
      <c r="K428" s="6">
        <v>2</v>
      </c>
      <c r="L428" s="6">
        <v>3</v>
      </c>
      <c r="M428" s="7">
        <v>1</v>
      </c>
      <c r="N428" s="59">
        <f t="shared" si="16"/>
        <v>41</v>
      </c>
      <c r="O428" s="60"/>
      <c r="P428" s="48"/>
      <c r="Q428" s="96">
        <v>11340.828006656646</v>
      </c>
      <c r="R428" s="105">
        <v>11000</v>
      </c>
      <c r="S428" s="92">
        <v>11440</v>
      </c>
      <c r="T428" s="92">
        <v>11880</v>
      </c>
      <c r="U428" s="93"/>
      <c r="V428" s="91"/>
      <c r="W428" s="113">
        <v>500</v>
      </c>
    </row>
    <row r="429" spans="1:23">
      <c r="A429" s="137" t="s">
        <v>404</v>
      </c>
      <c r="B429" s="56" t="str">
        <f>IFERROR(HYPERLINK(VLOOKUP(A429,ÜRÜNLER!A:C,3,FALSE),VLOOKUP(A429,ÜRÜNLER!A:B,2,FALSE)),"")</f>
        <v>iQ500 Toz Torbasız Süpürge, 550w, Kırmızı</v>
      </c>
      <c r="C429" s="5">
        <v>35</v>
      </c>
      <c r="D429" s="5"/>
      <c r="E429" s="6"/>
      <c r="F429" s="6">
        <v>9</v>
      </c>
      <c r="G429" s="6"/>
      <c r="H429" s="6"/>
      <c r="I429" s="7">
        <v>1</v>
      </c>
      <c r="J429" s="7">
        <v>3</v>
      </c>
      <c r="K429" s="6">
        <v>1</v>
      </c>
      <c r="L429" s="6">
        <v>4</v>
      </c>
      <c r="M429" s="7">
        <v>3</v>
      </c>
      <c r="N429" s="59">
        <f t="shared" si="16"/>
        <v>56</v>
      </c>
      <c r="O429" s="60"/>
      <c r="P429" s="48"/>
      <c r="Q429" s="96">
        <v>9537.7576196999089</v>
      </c>
      <c r="R429" s="105">
        <v>9000</v>
      </c>
      <c r="S429" s="92">
        <v>9360</v>
      </c>
      <c r="T429" s="92">
        <v>9720</v>
      </c>
      <c r="U429" s="93"/>
      <c r="V429" s="91"/>
      <c r="W429" s="113">
        <v>500</v>
      </c>
    </row>
    <row r="430" spans="1:23">
      <c r="A430" s="137" t="s">
        <v>405</v>
      </c>
      <c r="B430" s="56" t="str">
        <f>IFERROR(HYPERLINK(VLOOKUP(A430,ÜRÜNLER!A:C,3,FALSE),VLOOKUP(A430,ÜRÜNLER!A:B,2,FALSE)),"")</f>
        <v>iQ500 Toz Torbasız Süpürge, 550w, Mavi</v>
      </c>
      <c r="C430" s="5"/>
      <c r="D430" s="5"/>
      <c r="E430" s="6"/>
      <c r="F430" s="6">
        <v>1</v>
      </c>
      <c r="G430" s="6"/>
      <c r="H430" s="6"/>
      <c r="I430" s="7">
        <v>1</v>
      </c>
      <c r="J430" s="7"/>
      <c r="K430" s="6"/>
      <c r="L430" s="6">
        <v>2</v>
      </c>
      <c r="M430" s="7"/>
      <c r="N430" s="59">
        <f t="shared" si="16"/>
        <v>4</v>
      </c>
      <c r="O430" s="60"/>
      <c r="P430" s="48"/>
      <c r="Q430" s="90" t="s">
        <v>1781</v>
      </c>
      <c r="R430" s="100">
        <v>6500</v>
      </c>
      <c r="S430" s="92">
        <v>6760</v>
      </c>
      <c r="T430" s="92">
        <v>7020</v>
      </c>
      <c r="U430" s="93"/>
      <c r="V430" s="91"/>
      <c r="W430" s="113">
        <v>500</v>
      </c>
    </row>
    <row r="431" spans="1:23">
      <c r="A431" s="137" t="s">
        <v>406</v>
      </c>
      <c r="B431" s="56" t="str">
        <f>IFERROR(HYPERLINK(VLOOKUP(A431,ÜRÜNLER!A:C,3,FALSE),VLOOKUP(A431,ÜRÜNLER!A:B,2,FALSE)),"")</f>
        <v>iQ500 Toz Torbasız Elektrik Süpürgesi, 750w, Siyah</v>
      </c>
      <c r="C431" s="5">
        <v>65</v>
      </c>
      <c r="D431" s="5"/>
      <c r="E431" s="6"/>
      <c r="F431" s="6">
        <v>36</v>
      </c>
      <c r="G431" s="6"/>
      <c r="H431" s="6"/>
      <c r="I431" s="7">
        <v>8</v>
      </c>
      <c r="J431" s="7">
        <v>6</v>
      </c>
      <c r="K431" s="6"/>
      <c r="L431" s="6">
        <v>2</v>
      </c>
      <c r="M431" s="7">
        <v>3</v>
      </c>
      <c r="N431" s="59">
        <f t="shared" si="16"/>
        <v>120</v>
      </c>
      <c r="O431" s="60"/>
      <c r="P431" s="48"/>
      <c r="Q431" s="96">
        <v>12397.26916737494</v>
      </c>
      <c r="R431" s="105">
        <v>11777.405709006192</v>
      </c>
      <c r="S431" s="92">
        <v>12248.50193736644</v>
      </c>
      <c r="T431" s="92">
        <v>12719.598165726688</v>
      </c>
      <c r="U431" s="93"/>
      <c r="V431" s="91"/>
      <c r="W431" s="113">
        <v>500</v>
      </c>
    </row>
    <row r="432" spans="1:23">
      <c r="A432" s="137" t="s">
        <v>407</v>
      </c>
      <c r="B432" s="56" t="str">
        <f>IFERROR(HYPERLINK(VLOOKUP(A432,ÜRÜNLER!A:C,3,FALSE),VLOOKUP(A432,ÜRÜNLER!A:B,2,FALSE)),"")</f>
        <v>Siemens Toz Torbasız Süpürge, 600w, Kırmızı</v>
      </c>
      <c r="C432" s="5"/>
      <c r="D432" s="5"/>
      <c r="E432" s="6"/>
      <c r="F432" s="6"/>
      <c r="G432" s="6"/>
      <c r="H432" s="6"/>
      <c r="I432" s="7">
        <v>1</v>
      </c>
      <c r="J432" s="7"/>
      <c r="K432" s="6"/>
      <c r="L432" s="6"/>
      <c r="M432" s="7"/>
      <c r="N432" s="59">
        <f t="shared" si="16"/>
        <v>1</v>
      </c>
      <c r="O432" s="60"/>
      <c r="P432" s="48"/>
      <c r="Q432" s="90" t="s">
        <v>1781</v>
      </c>
      <c r="R432" s="91">
        <v>4999</v>
      </c>
      <c r="S432" s="92">
        <v>5198.96</v>
      </c>
      <c r="T432" s="92">
        <v>5398.92</v>
      </c>
      <c r="U432" s="93"/>
      <c r="V432" s="91"/>
      <c r="W432" s="113">
        <v>500</v>
      </c>
    </row>
    <row r="433" spans="1:23">
      <c r="A433" s="137" t="s">
        <v>408</v>
      </c>
      <c r="B433" s="56" t="str">
        <f>IFERROR(HYPERLINK(VLOOKUP(A433,ÜRÜNLER!A:C,3,FALSE),VLOOKUP(A433,ÜRÜNLER!A:B,2,FALSE)),"")</f>
        <v>iQ700 Toz Torbasız Elektrik Süpürgesi, 850w, Siyah</v>
      </c>
      <c r="C433" s="5"/>
      <c r="D433" s="5"/>
      <c r="E433" s="6"/>
      <c r="F433" s="6">
        <v>33</v>
      </c>
      <c r="G433" s="6"/>
      <c r="H433" s="6"/>
      <c r="I433" s="7">
        <v>6</v>
      </c>
      <c r="J433" s="7">
        <v>12</v>
      </c>
      <c r="K433" s="6">
        <v>3</v>
      </c>
      <c r="L433" s="6">
        <v>8</v>
      </c>
      <c r="M433" s="7">
        <v>4</v>
      </c>
      <c r="N433" s="59">
        <f t="shared" si="16"/>
        <v>66</v>
      </c>
      <c r="O433" s="60"/>
      <c r="P433" s="48"/>
      <c r="Q433" s="96">
        <v>21734.966643145952</v>
      </c>
      <c r="R433" s="105">
        <v>20648.218310988654</v>
      </c>
      <c r="S433" s="92">
        <v>21474.147043428198</v>
      </c>
      <c r="T433" s="92">
        <v>22300.075775867746</v>
      </c>
      <c r="U433" s="93"/>
      <c r="V433" s="91"/>
      <c r="W433" s="113">
        <v>500</v>
      </c>
    </row>
    <row r="434" spans="1:23" ht="36.75" customHeight="1">
      <c r="A434" s="165" t="s">
        <v>411</v>
      </c>
      <c r="B434" s="56" t="str">
        <f>IFERROR(HYPERLINK(VLOOKUP(A434,ÜRÜNLER!A:C,3,FALSE),VLOOKUP(A434,ÜRÜNLER!A:B,2,FALSE)),"")</f>
        <v/>
      </c>
      <c r="C434" s="5"/>
      <c r="D434" s="5"/>
      <c r="E434" s="6"/>
      <c r="F434" s="6"/>
      <c r="G434" s="6"/>
      <c r="H434" s="6"/>
      <c r="I434" s="7"/>
      <c r="J434" s="7"/>
      <c r="K434" s="6"/>
      <c r="L434" s="6"/>
      <c r="M434" s="7"/>
      <c r="N434" s="59">
        <f>SUM(N417:N433)</f>
        <v>1053</v>
      </c>
      <c r="O434" s="60"/>
      <c r="P434" s="6"/>
      <c r="R434" s="91"/>
      <c r="S434" s="92"/>
      <c r="T434" s="92"/>
      <c r="U434" s="93"/>
      <c r="V434" s="91"/>
      <c r="W434" s="101"/>
    </row>
    <row r="435" spans="1:23">
      <c r="A435" s="134" t="s">
        <v>414</v>
      </c>
      <c r="B435" s="56" t="str">
        <f>IFERROR(HYPERLINK(VLOOKUP(A435,ÜRÜNLER!A:C,3,FALSE),VLOOKUP(A435,ÜRÜNLER!A:B,2,FALSE)),"")</f>
        <v>Soğuk Su Sebili, Gri</v>
      </c>
      <c r="C435" s="5"/>
      <c r="D435" s="5"/>
      <c r="E435" s="6"/>
      <c r="F435" s="6">
        <v>1</v>
      </c>
      <c r="G435" s="6"/>
      <c r="H435" s="6"/>
      <c r="I435" s="7">
        <v>2</v>
      </c>
      <c r="J435" s="7">
        <v>4</v>
      </c>
      <c r="K435" s="6">
        <v>1</v>
      </c>
      <c r="L435" s="6">
        <v>7</v>
      </c>
      <c r="M435" s="7">
        <v>2</v>
      </c>
      <c r="N435" s="59">
        <f t="shared" ref="N435:N467" si="17">M435+K435+L435+J435+I435+H435+G435+F435+E435+D435+C435</f>
        <v>17</v>
      </c>
      <c r="O435" s="60">
        <v>1</v>
      </c>
      <c r="P435" s="48"/>
      <c r="Q435" s="96">
        <v>12742.288591412163</v>
      </c>
      <c r="R435" s="102">
        <v>14016.51745055338</v>
      </c>
      <c r="S435" s="92">
        <v>14577.178148575515</v>
      </c>
      <c r="T435" s="92">
        <v>15137.83884659765</v>
      </c>
      <c r="U435" s="93"/>
      <c r="V435" s="91"/>
      <c r="W435" s="113">
        <v>500</v>
      </c>
    </row>
    <row r="436" spans="1:23">
      <c r="A436" s="134" t="s">
        <v>415</v>
      </c>
      <c r="B436" s="56" t="str">
        <f>IFERROR(HYPERLINK(VLOOKUP(A436,ÜRÜNLER!A:C,3,FALSE),VLOOKUP(A436,ÜRÜNLER!A:B,2,FALSE)),"")</f>
        <v>Soğuk Su Sebili, Siyah/Gri, Dokunmatik</v>
      </c>
      <c r="C436" s="5">
        <v>5</v>
      </c>
      <c r="D436" s="5"/>
      <c r="E436" s="6"/>
      <c r="F436" s="6"/>
      <c r="G436" s="6"/>
      <c r="H436" s="6"/>
      <c r="I436" s="7"/>
      <c r="J436" s="7">
        <v>1</v>
      </c>
      <c r="K436" s="6"/>
      <c r="L436" s="6">
        <v>4</v>
      </c>
      <c r="M436" s="7">
        <v>1</v>
      </c>
      <c r="N436" s="59">
        <f t="shared" si="17"/>
        <v>11</v>
      </c>
      <c r="O436" s="60">
        <v>1</v>
      </c>
      <c r="P436" s="48"/>
      <c r="Q436" s="96">
        <v>18551.443860048468</v>
      </c>
      <c r="R436" s="102">
        <v>20406.588246053314</v>
      </c>
      <c r="S436" s="92">
        <v>21222.851775895448</v>
      </c>
      <c r="T436" s="92">
        <v>22039.115305737578</v>
      </c>
      <c r="U436" s="93"/>
      <c r="V436" s="91"/>
      <c r="W436" s="113">
        <v>500</v>
      </c>
    </row>
    <row r="437" spans="1:23">
      <c r="A437" s="134" t="s">
        <v>416</v>
      </c>
      <c r="B437" s="56" t="str">
        <f>IFERROR(HYPERLINK(VLOOKUP(A437,ÜRÜNLER!A:C,3,FALSE),VLOOKUP(A437,ÜRÜNLER!A:B,2,FALSE)),"")</f>
        <v>Soğuk Su Sebili, Siyah/Gri</v>
      </c>
      <c r="C437" s="5">
        <v>17</v>
      </c>
      <c r="D437" s="5"/>
      <c r="E437" s="6"/>
      <c r="F437" s="6">
        <v>7</v>
      </c>
      <c r="G437" s="6"/>
      <c r="H437" s="6"/>
      <c r="I437" s="7">
        <v>1</v>
      </c>
      <c r="J437" s="7"/>
      <c r="K437" s="6">
        <v>1</v>
      </c>
      <c r="L437" s="6"/>
      <c r="M437" s="7">
        <v>1</v>
      </c>
      <c r="N437" s="59">
        <f t="shared" si="17"/>
        <v>27</v>
      </c>
      <c r="O437" s="60">
        <v>1</v>
      </c>
      <c r="P437" s="48"/>
      <c r="Q437" s="96">
        <v>18330.864713595052</v>
      </c>
      <c r="R437" s="102">
        <v>20163.951184954556</v>
      </c>
      <c r="S437" s="92">
        <v>20970.509232352739</v>
      </c>
      <c r="T437" s="92">
        <v>21777.067279750921</v>
      </c>
      <c r="U437" s="93"/>
      <c r="V437" s="91"/>
      <c r="W437" s="113">
        <v>500</v>
      </c>
    </row>
    <row r="438" spans="1:23">
      <c r="A438" s="134" t="s">
        <v>417</v>
      </c>
      <c r="B438" s="56" t="str">
        <f>IFERROR(HYPERLINK(VLOOKUP(A438,ÜRÜNLER!A:C,3,FALSE),VLOOKUP(A438,ÜRÜNLER!A:B,2,FALSE)),"")</f>
        <v>Sıcak/Soğuk Su Sebili, Beyaz</v>
      </c>
      <c r="C438" s="5">
        <v>19</v>
      </c>
      <c r="D438" s="5"/>
      <c r="E438" s="6"/>
      <c r="F438" s="6">
        <v>8</v>
      </c>
      <c r="G438" s="6"/>
      <c r="H438" s="6"/>
      <c r="I438" s="7">
        <v>2</v>
      </c>
      <c r="J438" s="7">
        <v>3</v>
      </c>
      <c r="K438" s="6">
        <v>1</v>
      </c>
      <c r="L438" s="6">
        <v>3</v>
      </c>
      <c r="M438" s="7">
        <v>1</v>
      </c>
      <c r="N438" s="59">
        <f t="shared" si="17"/>
        <v>37</v>
      </c>
      <c r="O438" s="60">
        <v>1</v>
      </c>
      <c r="P438" s="48"/>
      <c r="Q438" s="96">
        <v>16970.174539831067</v>
      </c>
      <c r="R438" s="102">
        <v>18667.191993814173</v>
      </c>
      <c r="S438" s="92">
        <v>19413.879673566738</v>
      </c>
      <c r="T438" s="92">
        <v>20160.567353319308</v>
      </c>
      <c r="U438" s="93"/>
      <c r="V438" s="91"/>
      <c r="W438" s="113">
        <v>500</v>
      </c>
    </row>
    <row r="439" spans="1:23">
      <c r="A439" s="134" t="s">
        <v>418</v>
      </c>
      <c r="B439" s="56" t="str">
        <f>IFERROR(HYPERLINK(VLOOKUP(A439,ÜRÜNLER!A:C,3,FALSE),VLOOKUP(A439,ÜRÜNLER!A:B,2,FALSE)),"")</f>
        <v>Soğuk Su Sebili, Siyah/Gri, Sensörlü</v>
      </c>
      <c r="C439" s="5">
        <v>10</v>
      </c>
      <c r="D439" s="5"/>
      <c r="E439" s="6"/>
      <c r="F439" s="6">
        <v>3</v>
      </c>
      <c r="G439" s="6"/>
      <c r="H439" s="6"/>
      <c r="I439" s="7"/>
      <c r="J439" s="7">
        <v>1</v>
      </c>
      <c r="K439" s="6"/>
      <c r="L439" s="6">
        <v>1</v>
      </c>
      <c r="M439" s="7"/>
      <c r="N439" s="59">
        <f t="shared" si="17"/>
        <v>15</v>
      </c>
      <c r="O439" s="60"/>
      <c r="P439" s="48"/>
      <c r="Q439" s="96">
        <v>19431.285771511419</v>
      </c>
      <c r="R439" s="102">
        <v>21374.414348662562</v>
      </c>
      <c r="S439" s="92">
        <v>22229.390922609065</v>
      </c>
      <c r="T439" s="92">
        <v>23084.367496555566</v>
      </c>
      <c r="U439" s="93"/>
      <c r="V439" s="91"/>
      <c r="W439" s="113">
        <v>500</v>
      </c>
    </row>
    <row r="440" spans="1:23">
      <c r="A440" s="154" t="s">
        <v>389</v>
      </c>
      <c r="B440" s="56" t="str">
        <f>IFERROR(HYPERLINK(VLOOKUP(A440,ÜRÜNLER!A:C,3,FALSE),VLOOKUP(A440,ÜRÜNLER!A:B,2,FALSE)),"")</f>
        <v>Temizleme Tableti</v>
      </c>
      <c r="C440" s="5"/>
      <c r="D440" s="5"/>
      <c r="E440" s="6"/>
      <c r="F440" s="6">
        <v>66</v>
      </c>
      <c r="G440" s="6"/>
      <c r="H440" s="6"/>
      <c r="I440" s="7">
        <v>36</v>
      </c>
      <c r="J440" s="7">
        <v>26</v>
      </c>
      <c r="K440" s="6">
        <v>3</v>
      </c>
      <c r="L440" s="6">
        <v>6</v>
      </c>
      <c r="M440" s="7">
        <v>12</v>
      </c>
      <c r="N440" s="59">
        <f t="shared" si="17"/>
        <v>149</v>
      </c>
      <c r="O440" s="60"/>
      <c r="P440" s="48"/>
      <c r="Q440" s="96">
        <v>480</v>
      </c>
      <c r="R440" s="91">
        <v>650</v>
      </c>
      <c r="S440" s="92">
        <v>700</v>
      </c>
      <c r="T440" s="92">
        <v>800</v>
      </c>
      <c r="U440" s="93"/>
      <c r="V440" s="91"/>
      <c r="W440" s="101">
        <v>50</v>
      </c>
    </row>
    <row r="441" spans="1:23">
      <c r="A441" s="154" t="s">
        <v>390</v>
      </c>
      <c r="B441" s="56" t="str">
        <f>IFERROR(HYPERLINK(VLOOKUP(A441,ÜRÜNLER!A:C,3,FALSE),VLOOKUP(A441,ÜRÜNLER!A:B,2,FALSE)),"")</f>
        <v>Kireç Temizleme Tableti</v>
      </c>
      <c r="C441" s="5"/>
      <c r="D441" s="5"/>
      <c r="E441" s="6"/>
      <c r="F441" s="6"/>
      <c r="G441" s="6"/>
      <c r="H441" s="6"/>
      <c r="I441" s="7">
        <v>40</v>
      </c>
      <c r="J441" s="7"/>
      <c r="K441" s="6">
        <v>1</v>
      </c>
      <c r="L441" s="6"/>
      <c r="M441" s="7">
        <v>12</v>
      </c>
      <c r="N441" s="59">
        <f t="shared" si="17"/>
        <v>53</v>
      </c>
      <c r="O441" s="60"/>
      <c r="P441" s="48"/>
      <c r="Q441" s="96">
        <v>480</v>
      </c>
      <c r="R441" s="91">
        <v>650</v>
      </c>
      <c r="S441" s="92">
        <v>700</v>
      </c>
      <c r="T441" s="92">
        <v>800</v>
      </c>
      <c r="U441" s="93"/>
      <c r="V441" s="91"/>
      <c r="W441" s="101">
        <v>50</v>
      </c>
    </row>
    <row r="442" spans="1:23">
      <c r="A442" s="137" t="s">
        <v>200</v>
      </c>
      <c r="B442" s="56" t="str">
        <f>IFERROR(HYPERLINK(VLOOKUP(A442,ÜRÜNLER!A:C,3,FALSE),VLOOKUP(A442,ÜRÜNLER!A:B,2,FALSE)),"")</f>
        <v>3D Fry Tepsi</v>
      </c>
      <c r="C442" s="5">
        <v>21</v>
      </c>
      <c r="D442" s="5"/>
      <c r="E442" s="6"/>
      <c r="F442" s="6"/>
      <c r="G442" s="6">
        <v>12</v>
      </c>
      <c r="H442" s="6"/>
      <c r="I442" s="7">
        <v>2</v>
      </c>
      <c r="J442" s="7">
        <v>6</v>
      </c>
      <c r="K442" s="6">
        <v>2</v>
      </c>
      <c r="L442" s="6">
        <v>9</v>
      </c>
      <c r="M442" s="7">
        <v>3</v>
      </c>
      <c r="N442" s="59">
        <f t="shared" si="17"/>
        <v>55</v>
      </c>
      <c r="O442" s="60">
        <v>33</v>
      </c>
      <c r="P442" s="48"/>
      <c r="Q442" s="108">
        <v>344</v>
      </c>
      <c r="R442" s="91">
        <v>700</v>
      </c>
      <c r="S442" s="92">
        <v>700</v>
      </c>
      <c r="T442" s="92">
        <v>800</v>
      </c>
      <c r="U442" s="93"/>
      <c r="V442" s="91"/>
      <c r="W442" s="113">
        <v>100</v>
      </c>
    </row>
    <row r="443" spans="1:23">
      <c r="A443" s="137" t="s">
        <v>201</v>
      </c>
      <c r="B443" s="56" t="str">
        <f>IFERROR(HYPERLINK(VLOOKUP(A443,ÜRÜNLER!A:C,3,FALSE),VLOOKUP(A443,ÜRÜNLER!A:B,2,FALSE)),"")</f>
        <v>Siemens starter kit unducted recirculation</v>
      </c>
      <c r="C443" s="5">
        <v>2</v>
      </c>
      <c r="D443" s="5"/>
      <c r="E443" s="6"/>
      <c r="F443" s="6"/>
      <c r="G443" s="6"/>
      <c r="H443" s="6"/>
      <c r="I443" s="7"/>
      <c r="J443" s="7"/>
      <c r="K443" s="6"/>
      <c r="L443" s="6"/>
      <c r="M443" s="7"/>
      <c r="N443" s="59">
        <f t="shared" si="17"/>
        <v>2</v>
      </c>
      <c r="O443" s="60"/>
      <c r="P443" s="48"/>
      <c r="Q443" s="96">
        <v>420</v>
      </c>
      <c r="R443" s="91">
        <v>750</v>
      </c>
      <c r="S443" s="92">
        <v>850</v>
      </c>
      <c r="T443" s="92">
        <v>900</v>
      </c>
      <c r="U443" s="93"/>
      <c r="V443" s="91"/>
      <c r="W443" s="113">
        <v>100</v>
      </c>
    </row>
    <row r="444" spans="1:23">
      <c r="A444" s="137" t="s">
        <v>409</v>
      </c>
      <c r="B444" s="56" t="str">
        <f>IFERROR(HYPERLINK(VLOOKUP(A444,ÜRÜNLER!A:C,3,FALSE),VLOOKUP(A444,ÜRÜNLER!A:B,2,FALSE)),"")</f>
        <v>Siemens Elektrikli Süpürgeler için Toz Torbası (P Tip) 4'lü Paket</v>
      </c>
      <c r="C444" s="5"/>
      <c r="D444" s="5"/>
      <c r="E444" s="6"/>
      <c r="F444" s="6"/>
      <c r="G444" s="6"/>
      <c r="H444" s="6"/>
      <c r="I444" s="7">
        <v>6</v>
      </c>
      <c r="J444" s="7"/>
      <c r="K444" s="6"/>
      <c r="L444" s="6"/>
      <c r="M444" s="7"/>
      <c r="N444" s="59">
        <f t="shared" si="17"/>
        <v>6</v>
      </c>
      <c r="O444" s="60"/>
      <c r="P444" s="48"/>
      <c r="R444" s="91">
        <v>550</v>
      </c>
      <c r="S444" s="92">
        <v>600</v>
      </c>
      <c r="T444" s="92">
        <v>650</v>
      </c>
      <c r="U444" s="93"/>
      <c r="V444" s="91"/>
      <c r="W444" s="113">
        <v>100</v>
      </c>
    </row>
    <row r="445" spans="1:23">
      <c r="A445" s="137" t="s">
        <v>410</v>
      </c>
      <c r="B445" s="56" t="str">
        <f>IFERROR(HYPERLINK(VLOOKUP(A445,ÜRÜNLER!A:C,3,FALSE),VLOOKUP(A445,ÜRÜNLER!A:B,2,FALSE)),"")</f>
        <v>Elektrik Süpürgesi Toz Torbası 4'lü</v>
      </c>
      <c r="C445" s="5">
        <v>2</v>
      </c>
      <c r="D445" s="5"/>
      <c r="E445" s="6"/>
      <c r="F445" s="6"/>
      <c r="G445" s="6"/>
      <c r="H445" s="6"/>
      <c r="I445" s="7">
        <v>58</v>
      </c>
      <c r="J445" s="7">
        <v>49</v>
      </c>
      <c r="K445" s="6">
        <v>54</v>
      </c>
      <c r="L445" s="6">
        <v>4</v>
      </c>
      <c r="M445" s="7">
        <v>42</v>
      </c>
      <c r="N445" s="59">
        <f t="shared" si="17"/>
        <v>209</v>
      </c>
      <c r="O445" s="60"/>
      <c r="P445" s="48"/>
      <c r="Q445" s="96">
        <v>328</v>
      </c>
      <c r="R445" s="91">
        <v>550</v>
      </c>
      <c r="S445" s="92">
        <v>600</v>
      </c>
      <c r="T445" s="92">
        <v>650</v>
      </c>
      <c r="U445" s="93"/>
      <c r="V445" s="91"/>
      <c r="W445" s="113">
        <v>100</v>
      </c>
    </row>
    <row r="446" spans="1:23">
      <c r="A446" s="137" t="s">
        <v>412</v>
      </c>
      <c r="B446" s="56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/>
      <c r="J446" s="7"/>
      <c r="K446" s="6"/>
      <c r="L446" s="6">
        <v>1</v>
      </c>
      <c r="M446" s="7"/>
      <c r="N446" s="59">
        <f t="shared" si="17"/>
        <v>1</v>
      </c>
      <c r="O446" s="60"/>
      <c r="P446" s="48"/>
      <c r="R446" s="91">
        <v>39999</v>
      </c>
      <c r="S446" s="92">
        <v>41598.959999999999</v>
      </c>
      <c r="T446" s="92">
        <v>43198.92</v>
      </c>
      <c r="U446" s="93"/>
      <c r="V446" s="91"/>
      <c r="W446" s="98">
        <v>250</v>
      </c>
    </row>
    <row r="447" spans="1:23">
      <c r="A447" s="137" t="s">
        <v>413</v>
      </c>
      <c r="B447" s="56" t="str">
        <f>IFERROR(HYPERLINK(VLOOKUP(A447,ÜRÜNLER!A:C,3,FALSE),VLOOKUP(A447,ÜRÜNLER!A:B,2,FALSE)),"")</f>
        <v>Siemens Trifaze Ani Su Isıtıcı</v>
      </c>
      <c r="C447" s="5"/>
      <c r="D447" s="5"/>
      <c r="E447" s="6"/>
      <c r="F447" s="6"/>
      <c r="G447" s="6"/>
      <c r="H447" s="6"/>
      <c r="I447" s="7">
        <v>1</v>
      </c>
      <c r="J447" s="7"/>
      <c r="K447" s="6"/>
      <c r="L447" s="6"/>
      <c r="M447" s="7"/>
      <c r="N447" s="59">
        <f t="shared" si="17"/>
        <v>1</v>
      </c>
      <c r="O447" s="60"/>
      <c r="P447" s="48"/>
      <c r="R447" s="91">
        <v>49999</v>
      </c>
      <c r="S447" s="92">
        <v>51998.96</v>
      </c>
      <c r="T447" s="92">
        <v>53998.92</v>
      </c>
      <c r="U447" s="93"/>
      <c r="V447" s="91"/>
      <c r="W447" s="98">
        <v>250</v>
      </c>
    </row>
    <row r="448" spans="1:23">
      <c r="A448" s="137" t="s">
        <v>419</v>
      </c>
      <c r="B448" s="56" t="str">
        <f>IFERROR(HYPERLINK(VLOOKUP(A448,ÜRÜNLER!A:C,3,FALSE),VLOOKUP(A448,ÜRÜNLER!A:B,2,FALSE)),"")</f>
        <v>Siemens Çay Makinesi</v>
      </c>
      <c r="C448" s="5"/>
      <c r="D448" s="5"/>
      <c r="E448" s="6"/>
      <c r="F448" s="6"/>
      <c r="G448" s="6"/>
      <c r="H448" s="6"/>
      <c r="I448" s="7">
        <v>3</v>
      </c>
      <c r="J448" s="7">
        <v>1</v>
      </c>
      <c r="K448" s="6"/>
      <c r="L448" s="6">
        <v>1</v>
      </c>
      <c r="M448" s="7">
        <v>1</v>
      </c>
      <c r="N448" s="59">
        <f t="shared" si="17"/>
        <v>6</v>
      </c>
      <c r="O448" s="60"/>
      <c r="P448" s="48"/>
      <c r="R448" s="91">
        <v>3999</v>
      </c>
      <c r="S448" s="92">
        <v>4158.96</v>
      </c>
      <c r="T448" s="92">
        <v>4318.92</v>
      </c>
      <c r="U448" s="93"/>
      <c r="V448" s="91"/>
      <c r="W448" s="98">
        <v>50</v>
      </c>
    </row>
    <row r="449" spans="1:23">
      <c r="A449" s="137" t="s">
        <v>420</v>
      </c>
      <c r="B449" s="56" t="str">
        <f>IFERROR(HYPERLINK(VLOOKUP(A449,ÜRÜNLER!A:C,3,FALSE),VLOOKUP(A449,ÜRÜNLER!A:B,2,FALSE)),"")</f>
        <v>Siemens Filtre Kahve Makinesi</v>
      </c>
      <c r="C449" s="5"/>
      <c r="D449" s="5"/>
      <c r="E449" s="6"/>
      <c r="F449" s="6"/>
      <c r="G449" s="6"/>
      <c r="H449" s="6"/>
      <c r="I449" s="7">
        <v>1</v>
      </c>
      <c r="J449" s="7"/>
      <c r="K449" s="6"/>
      <c r="L449" s="6"/>
      <c r="M449" s="7"/>
      <c r="N449" s="59">
        <f t="shared" si="17"/>
        <v>1</v>
      </c>
      <c r="O449" s="60"/>
      <c r="P449" s="48"/>
      <c r="R449" s="91">
        <v>4999</v>
      </c>
      <c r="S449" s="92">
        <v>5198.96</v>
      </c>
      <c r="T449" s="92">
        <v>5398.92</v>
      </c>
      <c r="U449" s="93"/>
      <c r="V449" s="91"/>
      <c r="W449" s="98">
        <v>50</v>
      </c>
    </row>
    <row r="450" spans="1:23">
      <c r="A450" s="137" t="s">
        <v>421</v>
      </c>
      <c r="B450" s="56" t="str">
        <f>IFERROR(HYPERLINK(VLOOKUP(A450,ÜRÜNLER!A:C,3,FALSE),VLOOKUP(A450,ÜRÜNLER!A:B,2,FALSE)),"")</f>
        <v>Siemens El Blenderı ergonomicEdition, 600w, Beyaz/Mavi</v>
      </c>
      <c r="C450" s="5"/>
      <c r="D450" s="5"/>
      <c r="E450" s="6"/>
      <c r="F450" s="6"/>
      <c r="G450" s="6"/>
      <c r="H450" s="6"/>
      <c r="I450" s="7">
        <v>2</v>
      </c>
      <c r="J450" s="7"/>
      <c r="K450" s="6"/>
      <c r="L450" s="6"/>
      <c r="M450" s="7"/>
      <c r="N450" s="59">
        <f t="shared" si="17"/>
        <v>2</v>
      </c>
      <c r="O450" s="60"/>
      <c r="P450" s="48"/>
      <c r="R450" s="91">
        <v>1999</v>
      </c>
      <c r="S450" s="92">
        <v>2078.96</v>
      </c>
      <c r="T450" s="92">
        <v>2158.92</v>
      </c>
      <c r="U450" s="93"/>
      <c r="V450" s="91"/>
      <c r="W450" s="98">
        <v>50</v>
      </c>
    </row>
    <row r="451" spans="1:23">
      <c r="A451" s="137" t="s">
        <v>422</v>
      </c>
      <c r="B451" s="56" t="str">
        <f>IFERROR(HYPERLINK(VLOOKUP(A451,ÜRÜNLER!A:C,3,FALSE),VLOOKUP(A451,ÜRÜNLER!A:B,2,FALSE)),"")</f>
        <v>Siemens El Blenderı, 600w, Beyaz/Mavi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91">
        <v>2499</v>
      </c>
      <c r="S451" s="92">
        <v>2598.96</v>
      </c>
      <c r="T451" s="92">
        <v>2698.92</v>
      </c>
      <c r="U451" s="93"/>
      <c r="V451" s="91"/>
      <c r="W451" s="98">
        <v>50</v>
      </c>
    </row>
    <row r="452" spans="1:23">
      <c r="A452" s="137" t="s">
        <v>423</v>
      </c>
      <c r="B452" s="56" t="str">
        <f>IFERROR(HYPERLINK(VLOOKUP(A452,ÜRÜNLER!A:C,3,FALSE),VLOOKUP(A452,ÜRÜNLER!A:B,2,FALSE)),"")</f>
        <v>Siemens El Blenderı FQ.1, 750w, Siyah/Gri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91">
        <v>1999</v>
      </c>
      <c r="S452" s="92">
        <v>2078.96</v>
      </c>
      <c r="T452" s="92">
        <v>2158.92</v>
      </c>
      <c r="U452" s="93"/>
      <c r="V452" s="91"/>
      <c r="W452" s="98">
        <v>50</v>
      </c>
    </row>
    <row r="453" spans="1:23">
      <c r="A453" s="137" t="s">
        <v>425</v>
      </c>
      <c r="B453" s="56" t="str">
        <f>IFERROR(HYPERLINK(VLOOKUP(A453,ÜRÜNLER!A:C,3,FALSE),VLOOKUP(A453,ÜRÜNLER!A:B,2,FALSE)),"")</f>
        <v>Siemens El Mikseri, 450w, Beyaz/Antrasit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91">
        <v>999</v>
      </c>
      <c r="S453" s="92">
        <v>1038.96</v>
      </c>
      <c r="T453" s="92">
        <v>1078.92</v>
      </c>
      <c r="U453" s="93"/>
      <c r="V453" s="91"/>
      <c r="W453" s="98">
        <v>50</v>
      </c>
    </row>
    <row r="454" spans="1:23">
      <c r="A454" s="137" t="s">
        <v>426</v>
      </c>
      <c r="B454" s="56" t="str">
        <f>IFERROR(HYPERLINK(VLOOKUP(A454,ÜRÜNLER!A:C,3,FALSE),VLOOKUP(A454,ÜRÜNLER!A:B,2,FALSE)),"")</f>
        <v>Siemens El Mikseri, 450w,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91">
        <v>1499</v>
      </c>
      <c r="S454" s="92">
        <v>1558.96</v>
      </c>
      <c r="T454" s="92">
        <v>1618.92</v>
      </c>
      <c r="U454" s="93"/>
      <c r="V454" s="91"/>
      <c r="W454" s="98">
        <v>50</v>
      </c>
    </row>
    <row r="455" spans="1:23">
      <c r="A455" s="137" t="s">
        <v>427</v>
      </c>
      <c r="B455" s="56" t="str">
        <f>IFERROR(HYPERLINK(VLOOKUP(A455,ÜRÜNLER!A:C,3,FALSE),VLOOKUP(A455,ÜRÜNLER!A:B,2,FALSE)),"")</f>
        <v>El Mikser Seti, 500w, Siyah</v>
      </c>
      <c r="C455" s="5"/>
      <c r="D455" s="5"/>
      <c r="E455" s="6"/>
      <c r="F455" s="6"/>
      <c r="G455" s="6"/>
      <c r="H455" s="6"/>
      <c r="I455" s="7">
        <v>3</v>
      </c>
      <c r="J455" s="7"/>
      <c r="K455" s="6"/>
      <c r="L455" s="6"/>
      <c r="M455" s="7"/>
      <c r="N455" s="59">
        <f t="shared" si="17"/>
        <v>3</v>
      </c>
      <c r="O455" s="60"/>
      <c r="P455" s="48"/>
      <c r="R455" s="91">
        <v>2999</v>
      </c>
      <c r="S455" s="92">
        <v>3118.96</v>
      </c>
      <c r="T455" s="92">
        <v>3238.92</v>
      </c>
      <c r="U455" s="93"/>
      <c r="V455" s="91"/>
      <c r="W455" s="98">
        <v>50</v>
      </c>
    </row>
    <row r="456" spans="1:23">
      <c r="A456" s="137" t="s">
        <v>431</v>
      </c>
      <c r="B456" s="56" t="str">
        <f>IFERROR(HYPERLINK(VLOOKUP(A456,ÜRÜNLER!A:C,3,FALSE),VLOOKUP(A456,ÜRÜNLER!A:B,2,FALSE)),"")</f>
        <v>Siemens Buzdolabı Kulpu 79cm, Inox</v>
      </c>
      <c r="C456" s="5">
        <v>1</v>
      </c>
      <c r="D456" s="5"/>
      <c r="E456" s="6"/>
      <c r="F456" s="6"/>
      <c r="G456" s="6"/>
      <c r="H456" s="6"/>
      <c r="I456" s="7"/>
      <c r="J456" s="7"/>
      <c r="K456" s="6"/>
      <c r="L456" s="6">
        <v>4</v>
      </c>
      <c r="M456" s="7"/>
      <c r="N456" s="59">
        <f t="shared" si="17"/>
        <v>5</v>
      </c>
      <c r="O456" s="60"/>
      <c r="P456" s="48"/>
      <c r="R456" s="91">
        <v>24999</v>
      </c>
      <c r="S456" s="92">
        <v>25998.959999999999</v>
      </c>
      <c r="T456" s="92">
        <v>26998.92</v>
      </c>
      <c r="U456" s="93"/>
      <c r="V456" s="91"/>
      <c r="W456" s="98">
        <v>250</v>
      </c>
    </row>
    <row r="457" spans="1:23">
      <c r="A457" s="137" t="s">
        <v>432</v>
      </c>
      <c r="B457" s="56" t="str">
        <f>IFERROR(HYPERLINK(VLOOKUP(A457,ÜRÜNLER!A:C,3,FALSE),VLOOKUP(A457,ÜRÜNLER!A:B,2,FALSE)),"")</f>
        <v>Siemens Buzdolabı Kulpu</v>
      </c>
      <c r="C457" s="5"/>
      <c r="D457" s="5"/>
      <c r="E457" s="6"/>
      <c r="F457" s="6"/>
      <c r="G457" s="6"/>
      <c r="H457" s="6"/>
      <c r="I457" s="7"/>
      <c r="J457" s="7">
        <v>1</v>
      </c>
      <c r="K457" s="6"/>
      <c r="L457" s="6">
        <v>1</v>
      </c>
      <c r="M457" s="7"/>
      <c r="N457" s="59">
        <f t="shared" si="17"/>
        <v>2</v>
      </c>
      <c r="O457" s="60"/>
      <c r="P457" s="48"/>
      <c r="R457" s="91">
        <v>6148.9750000000004</v>
      </c>
      <c r="S457" s="92">
        <v>6394.9340000000002</v>
      </c>
      <c r="T457" s="92">
        <v>6640.893</v>
      </c>
      <c r="U457" s="93"/>
      <c r="V457" s="91"/>
      <c r="W457" s="98">
        <v>250</v>
      </c>
    </row>
    <row r="458" spans="1:23">
      <c r="A458" s="137" t="s">
        <v>433</v>
      </c>
      <c r="B458" s="56" t="str">
        <f>IFERROR(HYPERLINK(VLOOKUP(A458,ÜRÜNLER!A:C,3,FALSE),VLOOKUP(A458,ÜRÜNLER!A:B,2,FALSE)),"")</f>
        <v>Siemens Buzdolabı Kulpu</v>
      </c>
      <c r="C458" s="5">
        <v>5</v>
      </c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9">
        <f t="shared" si="17"/>
        <v>9</v>
      </c>
      <c r="O458" s="60"/>
      <c r="P458" s="132" t="s">
        <v>1543</v>
      </c>
      <c r="Q458" s="108">
        <v>8867.3785891660682</v>
      </c>
      <c r="R458" s="106">
        <v>7980.6407302494617</v>
      </c>
      <c r="S458" s="92">
        <v>8299.86635945944</v>
      </c>
      <c r="T458" s="92">
        <v>8619.0919886694192</v>
      </c>
      <c r="U458" s="93"/>
      <c r="V458" s="91"/>
      <c r="W458" s="98">
        <v>500</v>
      </c>
    </row>
    <row r="459" spans="1:23">
      <c r="A459" s="137" t="s">
        <v>434</v>
      </c>
      <c r="B459" s="56" t="str">
        <f>IFERROR(HYPERLINK(VLOOKUP(A459,ÜRÜNLER!A:C,3,FALSE),VLOOKUP(A459,ÜRÜNLER!A:B,2,FALSE)),"")</f>
        <v>Siemens studioLine Buzdolabı Kulpu</v>
      </c>
      <c r="C459" s="5"/>
      <c r="D459" s="5">
        <v>4</v>
      </c>
      <c r="E459" s="6"/>
      <c r="F459" s="6"/>
      <c r="G459" s="6"/>
      <c r="H459" s="6"/>
      <c r="I459" s="7"/>
      <c r="J459" s="7"/>
      <c r="K459" s="6"/>
      <c r="L459" s="6"/>
      <c r="M459" s="7"/>
      <c r="N459" s="59">
        <f t="shared" si="17"/>
        <v>4</v>
      </c>
      <c r="O459" s="60"/>
      <c r="P459" s="132" t="s">
        <v>1543</v>
      </c>
      <c r="Q459" s="108">
        <v>3521.1995943386523</v>
      </c>
      <c r="R459" s="106">
        <v>3169.0796349047869</v>
      </c>
      <c r="S459" s="92">
        <v>3295.8428203009785</v>
      </c>
      <c r="T459" s="92">
        <v>3422.6060056971696</v>
      </c>
      <c r="U459" s="93"/>
      <c r="V459" s="91"/>
      <c r="W459" s="98">
        <v>500</v>
      </c>
    </row>
    <row r="460" spans="1:23">
      <c r="A460" s="137" t="s">
        <v>435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1</v>
      </c>
      <c r="O460" s="60"/>
      <c r="P460" s="132" t="s">
        <v>1543</v>
      </c>
      <c r="Q460" s="108">
        <v>2510.3949651838452</v>
      </c>
      <c r="R460" s="102">
        <v>2510.3949651838452</v>
      </c>
      <c r="S460" s="92">
        <v>2610.810763791199</v>
      </c>
      <c r="T460" s="92">
        <v>2711.2265623985527</v>
      </c>
      <c r="U460" s="93"/>
      <c r="V460" s="91"/>
      <c r="W460" s="98">
        <v>250</v>
      </c>
    </row>
    <row r="461" spans="1:23">
      <c r="A461" s="134" t="s">
        <v>436</v>
      </c>
      <c r="B461" s="56" t="str">
        <f>IFERROR(HYPERLINK(VLOOKUP(A461,ÜRÜNLER!A:C,3,FALSE),VLOOKUP(A461,ÜRÜNLER!A:B,2,FALSE)),"")</f>
        <v>Siemens studioLine Buzdolabı Kapı Paneli, 202.9x60.3cm</v>
      </c>
      <c r="C461" s="5"/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9">
        <f t="shared" si="17"/>
        <v>3</v>
      </c>
      <c r="O461" s="60"/>
      <c r="P461" s="132" t="s">
        <v>1543</v>
      </c>
      <c r="Q461" s="108">
        <v>6515.7970471358785</v>
      </c>
      <c r="R461" s="106">
        <v>5864.217342422291</v>
      </c>
      <c r="S461" s="92">
        <v>6098.7860361191824</v>
      </c>
      <c r="T461" s="92">
        <v>6333.3547298160747</v>
      </c>
      <c r="U461" s="93"/>
      <c r="V461" s="91"/>
      <c r="W461" s="98">
        <v>500</v>
      </c>
    </row>
    <row r="462" spans="1:23">
      <c r="A462" s="134" t="s">
        <v>437</v>
      </c>
      <c r="B462" s="56" t="str">
        <f>IFERROR(HYPERLINK(VLOOKUP(A462,ÜRÜNLER!A:C,3,FALSE),VLOOKUP(A462,ÜRÜNLER!A:B,2,FALSE)),"")</f>
        <v>Siemens Buzdolabı Kapı Paneli, 202.9x75.6cm</v>
      </c>
      <c r="C462" s="5">
        <v>4</v>
      </c>
      <c r="D462" s="5">
        <v>2</v>
      </c>
      <c r="E462" s="6"/>
      <c r="F462" s="6"/>
      <c r="G462" s="6"/>
      <c r="H462" s="6"/>
      <c r="I462" s="7"/>
      <c r="J462" s="7"/>
      <c r="K462" s="6"/>
      <c r="L462" s="6">
        <v>1</v>
      </c>
      <c r="M462" s="7"/>
      <c r="N462" s="59">
        <f t="shared" si="17"/>
        <v>7</v>
      </c>
      <c r="O462" s="60"/>
      <c r="P462" s="132" t="s">
        <v>1543</v>
      </c>
      <c r="Q462" s="108">
        <v>12864.686900934046</v>
      </c>
      <c r="R462" s="106">
        <v>11578.218210840641</v>
      </c>
      <c r="S462" s="92">
        <v>12041.346939274266</v>
      </c>
      <c r="T462" s="92">
        <v>12504.475667707893</v>
      </c>
      <c r="U462" s="93"/>
      <c r="V462" s="91"/>
      <c r="W462" s="98">
        <v>500</v>
      </c>
    </row>
    <row r="463" spans="1:23">
      <c r="A463" s="137" t="s">
        <v>438</v>
      </c>
      <c r="B463" s="56" t="str">
        <f>IFERROR(HYPERLINK(VLOOKUP(A463,ÜRÜNLER!A:C,3,FALSE),VLOOKUP(A463,ÜRÜNLER!A:B,2,FALSE)),"")</f>
        <v>Siemens Buzdolabı Kapı Paneli, 202.9x90.8cm</v>
      </c>
      <c r="C463" s="5">
        <v>5</v>
      </c>
      <c r="D463" s="5">
        <v>2</v>
      </c>
      <c r="E463" s="6"/>
      <c r="F463" s="6"/>
      <c r="G463" s="6"/>
      <c r="H463" s="6"/>
      <c r="I463" s="7"/>
      <c r="J463" s="7">
        <v>1</v>
      </c>
      <c r="K463" s="6"/>
      <c r="L463" s="6">
        <v>1</v>
      </c>
      <c r="M463" s="7"/>
      <c r="N463" s="59">
        <f t="shared" si="17"/>
        <v>9</v>
      </c>
      <c r="O463" s="60"/>
      <c r="P463" s="132" t="s">
        <v>1543</v>
      </c>
      <c r="Q463" s="108">
        <v>18868.450592859805</v>
      </c>
      <c r="R463" s="106">
        <v>16981.605533573824</v>
      </c>
      <c r="S463" s="92">
        <v>17660.869754916777</v>
      </c>
      <c r="T463" s="92">
        <v>18340.133976259731</v>
      </c>
      <c r="U463" s="93"/>
      <c r="V463" s="91"/>
      <c r="W463" s="98">
        <v>500</v>
      </c>
    </row>
    <row r="464" spans="1:23">
      <c r="A464" s="137" t="s">
        <v>439</v>
      </c>
      <c r="B464" s="56" t="str">
        <f>IFERROR(HYPERLINK(VLOOKUP(A464,ÜRÜNLER!A:C,3,FALSE),VLOOKUP(A464,ÜRÜNLER!A:B,2,FALSE)),"")</f>
        <v>Siemens Buzdolabı Bağlantı Seti</v>
      </c>
      <c r="C464" s="5">
        <v>4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4</v>
      </c>
      <c r="O464" s="60"/>
      <c r="P464" s="132" t="s">
        <v>1543</v>
      </c>
      <c r="R464" s="91"/>
      <c r="S464" s="92"/>
      <c r="T464" s="92"/>
      <c r="U464" s="93"/>
      <c r="V464" s="91"/>
      <c r="W464" s="98"/>
    </row>
    <row r="465" spans="1:24">
      <c r="A465" s="137" t="s">
        <v>440</v>
      </c>
      <c r="B465" s="56" t="str">
        <f>IFERROR(HYPERLINK(VLOOKUP(A465,ÜRÜNLER!A:C,3,FALSE),VLOOKUP(A465,ÜRÜNLER!A:B,2,FALSE)),"")</f>
        <v>Siemens Buzdolabı Bağlantı Seti</v>
      </c>
      <c r="C465" s="5">
        <v>2</v>
      </c>
      <c r="D465" s="5">
        <v>1</v>
      </c>
      <c r="E465" s="6"/>
      <c r="F465" s="6"/>
      <c r="G465" s="6"/>
      <c r="H465" s="6">
        <v>2</v>
      </c>
      <c r="I465" s="7"/>
      <c r="J465" s="7"/>
      <c r="K465" s="6"/>
      <c r="L465" s="6"/>
      <c r="M465" s="7"/>
      <c r="N465" s="59">
        <f t="shared" si="17"/>
        <v>5</v>
      </c>
      <c r="O465" s="60"/>
      <c r="P465" s="132" t="s">
        <v>1543</v>
      </c>
      <c r="Q465" s="90" t="s">
        <v>1781</v>
      </c>
      <c r="R465" s="121">
        <v>5000</v>
      </c>
      <c r="S465" s="92">
        <v>5200</v>
      </c>
      <c r="T465" s="92">
        <v>5400</v>
      </c>
      <c r="U465" s="93"/>
      <c r="V465" s="91"/>
      <c r="W465" s="98">
        <v>500</v>
      </c>
    </row>
    <row r="466" spans="1:24">
      <c r="A466" s="137" t="s">
        <v>441</v>
      </c>
      <c r="B466" s="56" t="str">
        <f>IFERROR(HYPERLINK(VLOOKUP(A466,ÜRÜNLER!A:C,3,FALSE),VLOOKUP(A466,ÜRÜNLER!A:B,2,FALSE)),"")</f>
        <v>Siemens studioLine Buzdolabı Çekmecesi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1</v>
      </c>
      <c r="O466" s="60"/>
      <c r="P466" s="132" t="s">
        <v>1543</v>
      </c>
      <c r="Q466" s="108">
        <v>2251.7843805077478</v>
      </c>
      <c r="R466" s="106">
        <v>2026.605942456973</v>
      </c>
      <c r="S466" s="92">
        <v>2097.5371504429672</v>
      </c>
      <c r="T466" s="92">
        <v>2188.7344178535309</v>
      </c>
      <c r="U466" s="93"/>
      <c r="V466" s="91"/>
      <c r="W466" s="98">
        <v>500</v>
      </c>
    </row>
    <row r="467" spans="1:24">
      <c r="A467" s="137" t="s">
        <v>442</v>
      </c>
      <c r="B467" s="56" t="str">
        <f>IFERROR(HYPERLINK(VLOOKUP(A467,ÜRÜNLER!A:C,3,FALSE),VLOOKUP(A467,ÜRÜNLER!A:B,2,FALSE)),"")</f>
        <v>Siemens studioLine 36'' Buzdolabı Kapı Paneli, Paslanmaz Çelik, 3 Kapı</v>
      </c>
      <c r="C467" s="5"/>
      <c r="D467" s="5">
        <v>1</v>
      </c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1</v>
      </c>
      <c r="O467" s="60"/>
      <c r="P467" s="132" t="s">
        <v>1543</v>
      </c>
      <c r="Q467" s="108">
        <v>10600.401058527552</v>
      </c>
      <c r="R467" s="106">
        <v>9540.3609526747969</v>
      </c>
      <c r="S467" s="92">
        <v>9874.2735860184148</v>
      </c>
      <c r="T467" s="92">
        <v>10303.58982888878</v>
      </c>
      <c r="U467" s="93"/>
      <c r="V467" s="91"/>
      <c r="W467" s="98">
        <v>500</v>
      </c>
    </row>
    <row r="468" spans="1:24">
      <c r="A468" s="142" t="s">
        <v>1556</v>
      </c>
      <c r="B468" s="56" t="str">
        <f>IFERROR(HYPERLINK(VLOOKUP(A468,ÜRÜNLER!A:C,3,FALSE),VLOOKUP(A468,ÜRÜNLER!A:B,2,FALSE)),"")</f>
        <v/>
      </c>
      <c r="C468" s="5"/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/>
      <c r="O468" s="60"/>
      <c r="P468" s="48"/>
      <c r="R468" s="122"/>
      <c r="S468" s="92"/>
      <c r="T468" s="92"/>
      <c r="U468" s="93"/>
      <c r="V468" s="91"/>
      <c r="W468" s="98"/>
    </row>
    <row r="469" spans="1:24">
      <c r="A469" s="136" t="s">
        <v>443</v>
      </c>
      <c r="B469" s="56" t="str">
        <f>IFERROR(HYPERLINK(VLOOKUP(A469,ÜRÜNLER!A:C,3,FALSE),VLOOKUP(A469,ÜRÜNLER!A:B,2,FALSE)),"")</f>
        <v>Siemens Ev Tipi Klima İç Ünite, 9.000BTU, Beyaz</v>
      </c>
      <c r="C469" s="5">
        <v>5</v>
      </c>
      <c r="D469" s="5"/>
      <c r="E469" s="6"/>
      <c r="F469" s="6"/>
      <c r="G469" s="6"/>
      <c r="H469" s="6"/>
      <c r="I469" s="7">
        <v>1</v>
      </c>
      <c r="J469" s="7"/>
      <c r="K469" s="6"/>
      <c r="L469" s="6"/>
      <c r="M469" s="7"/>
      <c r="N469" s="59">
        <f t="shared" ref="N469:N486" si="18">M469+K469+L469+J469+I469+H469+G469+F469+E469+D469+C469</f>
        <v>6</v>
      </c>
      <c r="O469" s="60"/>
      <c r="P469" s="132" t="s">
        <v>1543</v>
      </c>
      <c r="Q469" s="96">
        <v>16020.74074189603</v>
      </c>
      <c r="R469" s="123">
        <v>18000</v>
      </c>
      <c r="S469" s="92">
        <v>18630</v>
      </c>
      <c r="T469" s="92">
        <v>19440</v>
      </c>
      <c r="U469" s="93"/>
      <c r="V469" s="91"/>
      <c r="W469" s="98">
        <v>250</v>
      </c>
    </row>
    <row r="470" spans="1:24">
      <c r="A470" s="136" t="s">
        <v>444</v>
      </c>
      <c r="B470" s="56" t="str">
        <f>IFERROR(HYPERLINK(VLOOKUP(A470,ÜRÜNLER!A:C,3,FALSE),VLOOKUP(A470,ÜRÜNLER!A:B,2,FALSE)),"")</f>
        <v>Siemens Ev Tipi Klima Dış Ünite, 9.000BTU, Beyaz</v>
      </c>
      <c r="C470" s="5">
        <v>6</v>
      </c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6</v>
      </c>
      <c r="O470" s="60"/>
      <c r="P470" s="132" t="s">
        <v>1543</v>
      </c>
      <c r="Q470" s="96">
        <v>24031.111112844046</v>
      </c>
      <c r="R470" s="123">
        <v>26000</v>
      </c>
      <c r="S470" s="92">
        <v>26910</v>
      </c>
      <c r="T470" s="92">
        <v>28080</v>
      </c>
      <c r="U470" s="93"/>
      <c r="V470" s="91"/>
      <c r="W470" s="98"/>
    </row>
    <row r="471" spans="1:24">
      <c r="A471" s="166" t="s">
        <v>445</v>
      </c>
      <c r="B471" s="56" t="str">
        <f>IFERROR(HYPERLINK(VLOOKUP(A471,ÜRÜNLER!A:C,3,FALSE),VLOOKUP(A471,ÜRÜNLER!A:B,2,FALSE)),"")</f>
        <v>Siemens Ev Tipi Klima İç Ünite, 12.000BTU, Beyaz</v>
      </c>
      <c r="C471" s="5"/>
      <c r="D471" s="5"/>
      <c r="E471" s="6"/>
      <c r="F471" s="6"/>
      <c r="G471" s="6"/>
      <c r="H471" s="6"/>
      <c r="I471" s="7"/>
      <c r="J471" s="7"/>
      <c r="K471" s="6"/>
      <c r="L471" s="6">
        <v>1</v>
      </c>
      <c r="M471" s="7"/>
      <c r="N471" s="59">
        <f t="shared" si="18"/>
        <v>1</v>
      </c>
      <c r="O471" s="60"/>
      <c r="P471" s="167" t="s">
        <v>1543</v>
      </c>
      <c r="Q471" s="124"/>
      <c r="R471" s="125">
        <v>15000</v>
      </c>
      <c r="S471" s="126">
        <v>15525</v>
      </c>
      <c r="T471" s="92">
        <v>16200</v>
      </c>
      <c r="U471" s="93"/>
      <c r="V471" s="91"/>
      <c r="W471" s="98">
        <v>250</v>
      </c>
    </row>
    <row r="472" spans="1:24">
      <c r="A472" s="166" t="s">
        <v>446</v>
      </c>
      <c r="B472" s="56" t="str">
        <f>IFERROR(HYPERLINK(VLOOKUP(A472,ÜRÜNLER!A:C,3,FALSE),VLOOKUP(A472,ÜRÜNLER!A:B,2,FALSE)),"")</f>
        <v>Siemens Ev Tipi Klima Dış Ünite, 12.000BTU, Beyaz</v>
      </c>
      <c r="C472" s="5">
        <v>1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1</v>
      </c>
      <c r="O472" s="60"/>
      <c r="P472" s="167" t="s">
        <v>1543</v>
      </c>
      <c r="Q472" s="124"/>
      <c r="R472" s="125">
        <v>20000</v>
      </c>
      <c r="S472" s="126">
        <v>20700</v>
      </c>
      <c r="T472" s="92">
        <v>21600</v>
      </c>
      <c r="U472" s="93"/>
      <c r="V472" s="91"/>
      <c r="W472" s="98"/>
    </row>
    <row r="473" spans="1:24">
      <c r="A473" s="168" t="s">
        <v>447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>
        <v>1</v>
      </c>
      <c r="G473" s="6"/>
      <c r="H473" s="6"/>
      <c r="I473" s="7">
        <v>1</v>
      </c>
      <c r="J473" s="7"/>
      <c r="K473" s="6"/>
      <c r="L473" s="6"/>
      <c r="M473" s="7"/>
      <c r="N473" s="59">
        <f t="shared" si="18"/>
        <v>2</v>
      </c>
      <c r="O473" s="60"/>
      <c r="P473" s="132" t="s">
        <v>1543</v>
      </c>
      <c r="Q473" s="96">
        <v>17599.318782707702</v>
      </c>
      <c r="R473" s="123">
        <v>19000</v>
      </c>
      <c r="S473" s="92">
        <v>19665</v>
      </c>
      <c r="T473" s="92">
        <v>20520</v>
      </c>
      <c r="U473" s="93"/>
      <c r="V473" s="91"/>
      <c r="W473" s="98">
        <v>250</v>
      </c>
    </row>
    <row r="474" spans="1:24">
      <c r="A474" s="168" t="s">
        <v>448</v>
      </c>
      <c r="B474" s="56" t="str">
        <f>IFERROR(HYPERLINK(VLOOKUP(A474,ÜRÜNLER!A:C,3,FALSE),VLOOKUP(A474,ÜRÜNLER!A:B,2,FALSE)),"")</f>
        <v>Siemens Ev Tipi Klima Dış Ünite, 12.000BTU, Beyaz</v>
      </c>
      <c r="C474" s="5"/>
      <c r="D474" s="5"/>
      <c r="E474" s="6"/>
      <c r="F474" s="6">
        <v>1</v>
      </c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2</v>
      </c>
      <c r="O474" s="60"/>
      <c r="P474" s="132" t="s">
        <v>1543</v>
      </c>
      <c r="Q474" s="96">
        <v>26398.978174061547</v>
      </c>
      <c r="R474" s="123">
        <v>28000</v>
      </c>
      <c r="S474" s="92">
        <v>28980</v>
      </c>
      <c r="T474" s="92">
        <v>30240</v>
      </c>
      <c r="U474" s="93"/>
      <c r="V474" s="91"/>
      <c r="W474" s="98"/>
    </row>
    <row r="475" spans="1:24">
      <c r="A475" s="169" t="s">
        <v>449</v>
      </c>
      <c r="B475" s="56" t="str">
        <f>IFERROR(HYPERLINK(VLOOKUP(A475,ÜRÜNLER!A:C,3,FALSE),VLOOKUP(A475,ÜRÜNLER!A:B,2,FALSE)),"")</f>
        <v>Siemens Ev Tipi Klima İç Ünite, 12.000BTU, Siyah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2</v>
      </c>
      <c r="O475" s="60"/>
      <c r="P475" s="167" t="s">
        <v>1543</v>
      </c>
      <c r="Q475" s="124">
        <v>19638.932436439351</v>
      </c>
      <c r="R475" s="123">
        <v>22000</v>
      </c>
      <c r="S475" s="126">
        <v>22770</v>
      </c>
      <c r="T475" s="92">
        <v>23760</v>
      </c>
      <c r="U475" s="93"/>
      <c r="V475" s="91"/>
      <c r="W475" s="98">
        <v>250</v>
      </c>
    </row>
    <row r="476" spans="1:24">
      <c r="A476" s="169" t="s">
        <v>450</v>
      </c>
      <c r="B476" s="56" t="str">
        <f>IFERROR(HYPERLINK(VLOOKUP(A476,ÜRÜNLER!A:C,3,FALSE),VLOOKUP(A476,ÜRÜNLER!A:B,2,FALSE)),"")</f>
        <v>Siemens Ev Tipi Klima Dış Ünite, 12.000BTU, Beyaz</v>
      </c>
      <c r="C476" s="5">
        <v>2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2</v>
      </c>
      <c r="O476" s="60"/>
      <c r="P476" s="167" t="s">
        <v>1543</v>
      </c>
      <c r="Q476" s="124">
        <v>29458.398654659028</v>
      </c>
      <c r="R476" s="123">
        <v>32000</v>
      </c>
      <c r="S476" s="126">
        <v>33120</v>
      </c>
      <c r="T476" s="92">
        <v>34560</v>
      </c>
      <c r="U476" s="93"/>
      <c r="V476" s="91"/>
      <c r="W476" s="98"/>
    </row>
    <row r="477" spans="1:24" s="8" customFormat="1">
      <c r="A477" s="168" t="s">
        <v>451</v>
      </c>
      <c r="B477" s="56" t="str">
        <f>IFERROR(HYPERLINK(VLOOKUP(A477,ÜRÜNLER!A:C,3,FALSE),VLOOKUP(A477,ÜRÜNLER!A:B,2,FALSE)),"")</f>
        <v>Siemens Ev Tipi Klima İç Ünite, 18.000BTU, Beyaz</v>
      </c>
      <c r="C477" s="5">
        <v>5</v>
      </c>
      <c r="D477" s="5"/>
      <c r="E477" s="6"/>
      <c r="F477" s="6"/>
      <c r="G477" s="6"/>
      <c r="H477" s="6"/>
      <c r="I477" s="7">
        <v>1</v>
      </c>
      <c r="J477" s="7"/>
      <c r="K477" s="6"/>
      <c r="L477" s="6">
        <v>2</v>
      </c>
      <c r="M477" s="7"/>
      <c r="N477" s="59">
        <f t="shared" si="18"/>
        <v>8</v>
      </c>
      <c r="O477" s="60"/>
      <c r="P477" s="132" t="s">
        <v>1543</v>
      </c>
      <c r="Q477" s="96"/>
      <c r="R477" s="91">
        <v>22000</v>
      </c>
      <c r="S477" s="92">
        <v>22770</v>
      </c>
      <c r="T477" s="92">
        <v>23760</v>
      </c>
      <c r="U477" s="93"/>
      <c r="V477" s="91"/>
      <c r="W477" s="98">
        <v>250</v>
      </c>
      <c r="X477" s="95"/>
    </row>
    <row r="478" spans="1:24" s="8" customFormat="1">
      <c r="A478" s="168" t="s">
        <v>452</v>
      </c>
      <c r="B478" s="56" t="str">
        <f>IFERROR(HYPERLINK(VLOOKUP(A478,ÜRÜNLER!A:C,3,FALSE),VLOOKUP(A478,ÜRÜNLER!A:B,2,FALSE)),"")</f>
        <v>Siemens Ev Tipi Klima Dış Ünite, 18.000BTU, Beyaz</v>
      </c>
      <c r="C478" s="5">
        <v>7</v>
      </c>
      <c r="D478" s="5"/>
      <c r="E478" s="6"/>
      <c r="F478" s="6"/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8</v>
      </c>
      <c r="O478" s="60"/>
      <c r="P478" s="132" t="s">
        <v>1543</v>
      </c>
      <c r="Q478" s="96"/>
      <c r="R478" s="91">
        <v>35000</v>
      </c>
      <c r="S478" s="92">
        <v>36225</v>
      </c>
      <c r="T478" s="92">
        <v>37800</v>
      </c>
      <c r="U478" s="93"/>
      <c r="V478" s="91"/>
      <c r="W478" s="98"/>
      <c r="X478" s="95"/>
    </row>
    <row r="479" spans="1:24">
      <c r="A479" s="169" t="s">
        <v>453</v>
      </c>
      <c r="B479" s="56" t="str">
        <f>IFERROR(HYPERLINK(VLOOKUP(A479,ÜRÜNLER!A:C,3,FALSE),VLOOKUP(A479,ÜRÜNLER!A:B,2,FALSE)),"")</f>
        <v>Siemens Ev Tipi Klima İç Ünite, 18.000BTU, Siyah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1</v>
      </c>
      <c r="O479" s="60"/>
      <c r="P479" s="167" t="s">
        <v>1543</v>
      </c>
      <c r="Q479" s="124">
        <v>27721.370472790273</v>
      </c>
      <c r="R479" s="123">
        <v>30000</v>
      </c>
      <c r="S479" s="126">
        <v>31050</v>
      </c>
      <c r="T479" s="92">
        <v>32400</v>
      </c>
      <c r="U479" s="93"/>
      <c r="V479" s="91"/>
      <c r="W479" s="98">
        <v>250</v>
      </c>
    </row>
    <row r="480" spans="1:24">
      <c r="A480" s="169" t="s">
        <v>454</v>
      </c>
      <c r="B480" s="56" t="str">
        <f>IFERROR(HYPERLINK(VLOOKUP(A480,ÜRÜNLER!A:C,3,FALSE),VLOOKUP(A480,ÜRÜNLER!A:B,2,FALSE)),"")</f>
        <v>Siemens Ev Tipi Klima Dış Ünite, 18.000BTU, Beyaz</v>
      </c>
      <c r="C480" s="5">
        <v>1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1</v>
      </c>
      <c r="O480" s="60"/>
      <c r="P480" s="167" t="s">
        <v>1543</v>
      </c>
      <c r="Q480" s="124">
        <v>41582.055709185406</v>
      </c>
      <c r="R480" s="123">
        <v>44000</v>
      </c>
      <c r="S480" s="126">
        <v>45540</v>
      </c>
      <c r="T480" s="92">
        <v>47520</v>
      </c>
      <c r="U480" s="93"/>
      <c r="V480" s="91"/>
      <c r="W480" s="98"/>
    </row>
    <row r="481" spans="1:24" s="8" customFormat="1">
      <c r="A481" s="137" t="s">
        <v>455</v>
      </c>
      <c r="B481" s="56" t="str">
        <f>IFERROR(HYPERLINK(VLOOKUP(A481,ÜRÜNLER!A:C,3,FALSE),VLOOKUP(A481,ÜRÜNLER!A:B,2,FALSE)),"")</f>
        <v>Siemens Ev Tipi Klima İç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1</v>
      </c>
      <c r="O481" s="60"/>
      <c r="P481" s="48"/>
      <c r="Q481" s="96"/>
      <c r="R481" s="91">
        <v>25000</v>
      </c>
      <c r="S481" s="92">
        <v>25875</v>
      </c>
      <c r="T481" s="92">
        <v>27000</v>
      </c>
      <c r="U481" s="93"/>
      <c r="V481" s="91"/>
      <c r="W481" s="98">
        <v>250</v>
      </c>
      <c r="X481" s="95"/>
    </row>
    <row r="482" spans="1:24" s="8" customFormat="1">
      <c r="A482" s="137" t="s">
        <v>456</v>
      </c>
      <c r="B482" s="56" t="str">
        <f>IFERROR(HYPERLINK(VLOOKUP(A482,ÜRÜNLER!A:C,3,FALSE),VLOOKUP(A482,ÜRÜNLER!A:B,2,FALSE)),"")</f>
        <v>Siemens Ev Tipi Klima Dış Ünite, 24.000BTU, Beyaz</v>
      </c>
      <c r="C482" s="5"/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1</v>
      </c>
      <c r="O482" s="60"/>
      <c r="P482" s="48"/>
      <c r="Q482" s="96"/>
      <c r="R482" s="91">
        <v>36000</v>
      </c>
      <c r="S482" s="92">
        <v>37260</v>
      </c>
      <c r="T482" s="92">
        <v>38880</v>
      </c>
      <c r="U482" s="93"/>
      <c r="V482" s="91"/>
      <c r="W482" s="98"/>
      <c r="X482" s="95"/>
    </row>
    <row r="483" spans="1:24" s="8" customFormat="1">
      <c r="A483" s="170" t="s">
        <v>1475</v>
      </c>
      <c r="B483" s="56" t="str">
        <f>IFERROR(HYPERLINK(VLOOKUP(A483,ÜRÜNLER!A:C,3,FALSE),VLOOKUP(A483,ÜRÜNLER!A:B,2,FALSE)),"")</f>
        <v>Siemens Ev Tipi Klima İç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3</v>
      </c>
      <c r="O483" s="70"/>
      <c r="P483" s="49"/>
      <c r="Q483" s="124">
        <v>30075.909952049711</v>
      </c>
      <c r="R483" s="123">
        <v>35000</v>
      </c>
      <c r="S483" s="126">
        <v>36225</v>
      </c>
      <c r="T483" s="92">
        <v>37800</v>
      </c>
      <c r="U483" s="93"/>
      <c r="V483" s="91"/>
      <c r="W483" s="98">
        <v>250</v>
      </c>
      <c r="X483" s="95"/>
    </row>
    <row r="484" spans="1:24" s="8" customFormat="1">
      <c r="A484" s="170" t="s">
        <v>1476</v>
      </c>
      <c r="B484" s="56" t="str">
        <f>IFERROR(HYPERLINK(VLOOKUP(A484,ÜRÜNLER!A:C,3,FALSE),VLOOKUP(A484,ÜRÜNLER!A:B,2,FALSE)),"")</f>
        <v>Siemens Ev Tipi Klima Dış Ünite, 24.000BTU, Beyaz</v>
      </c>
      <c r="C484" s="5">
        <v>3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3</v>
      </c>
      <c r="O484" s="70"/>
      <c r="P484" s="49"/>
      <c r="Q484" s="124">
        <v>45113.864928074559</v>
      </c>
      <c r="R484" s="123">
        <v>50000</v>
      </c>
      <c r="S484" s="126">
        <v>51750</v>
      </c>
      <c r="T484" s="92">
        <v>54000</v>
      </c>
      <c r="U484" s="93"/>
      <c r="V484" s="91"/>
      <c r="W484" s="98"/>
      <c r="X484" s="95"/>
    </row>
    <row r="485" spans="1:24">
      <c r="A485" s="137" t="s">
        <v>1313</v>
      </c>
      <c r="B485" s="56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2</v>
      </c>
      <c r="J485" s="7">
        <v>3</v>
      </c>
      <c r="K485" s="6"/>
      <c r="L485" s="6"/>
      <c r="M485" s="7"/>
      <c r="N485" s="59">
        <f t="shared" si="18"/>
        <v>5</v>
      </c>
      <c r="O485" s="60"/>
      <c r="P485" s="167" t="s">
        <v>1543</v>
      </c>
      <c r="Q485" s="96">
        <v>520</v>
      </c>
      <c r="R485" s="100">
        <v>1000</v>
      </c>
      <c r="S485" s="16">
        <v>1050</v>
      </c>
      <c r="T485" s="92">
        <v>1100</v>
      </c>
      <c r="U485" s="93"/>
      <c r="V485" s="91"/>
      <c r="W485" s="127">
        <v>100</v>
      </c>
    </row>
    <row r="486" spans="1:24">
      <c r="A486" s="137" t="s">
        <v>1314</v>
      </c>
      <c r="B486" s="56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7</v>
      </c>
      <c r="J486" s="7">
        <v>12</v>
      </c>
      <c r="K486" s="6">
        <v>29</v>
      </c>
      <c r="L486" s="6"/>
      <c r="M486" s="7">
        <v>18</v>
      </c>
      <c r="N486" s="59">
        <f t="shared" si="18"/>
        <v>66</v>
      </c>
      <c r="O486" s="60"/>
      <c r="P486" s="167" t="s">
        <v>1543</v>
      </c>
      <c r="Q486" s="96">
        <v>520</v>
      </c>
      <c r="R486" s="128">
        <v>1000</v>
      </c>
      <c r="S486" s="16">
        <v>1050</v>
      </c>
      <c r="T486" s="92">
        <v>1100</v>
      </c>
      <c r="U486" s="93"/>
      <c r="V486" s="91"/>
      <c r="W486" s="127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1839</v>
      </c>
      <c r="D1" s="22" t="s">
        <v>7</v>
      </c>
      <c r="E1" s="23" t="s">
        <v>1660</v>
      </c>
      <c r="F1" s="24" t="s">
        <v>1827</v>
      </c>
      <c r="G1" s="41" t="s">
        <v>1840</v>
      </c>
      <c r="H1" s="42" t="s">
        <v>464</v>
      </c>
      <c r="I1" s="26" t="s">
        <v>461</v>
      </c>
      <c r="J1" s="25">
        <v>0</v>
      </c>
      <c r="K1" s="27" t="s">
        <v>1780</v>
      </c>
      <c r="L1" s="34" t="s">
        <v>1555</v>
      </c>
    </row>
    <row r="2" spans="1:12">
      <c r="A2" s="17" t="s">
        <v>175</v>
      </c>
      <c r="B2" s="28" t="s">
        <v>598</v>
      </c>
      <c r="C2" s="29">
        <v>0</v>
      </c>
      <c r="D2" s="30" t="s">
        <v>1781</v>
      </c>
      <c r="E2" s="30">
        <v>18607</v>
      </c>
      <c r="F2" s="30">
        <v>19351.28</v>
      </c>
      <c r="G2" s="30">
        <v>20095.560000000001</v>
      </c>
      <c r="H2" s="30">
        <v>0</v>
      </c>
      <c r="I2" s="186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1844</v>
      </c>
      <c r="C3" s="29" t="s">
        <v>1844</v>
      </c>
      <c r="D3" s="30" t="s">
        <v>1844</v>
      </c>
      <c r="E3" s="30" t="s">
        <v>1844</v>
      </c>
      <c r="F3" s="30" t="s">
        <v>1844</v>
      </c>
      <c r="G3" s="30" t="s">
        <v>1844</v>
      </c>
      <c r="H3" s="30" t="s">
        <v>1844</v>
      </c>
      <c r="I3" s="186"/>
      <c r="J3" s="20" t="s">
        <v>1844</v>
      </c>
      <c r="K3" s="20" t="s">
        <v>1844</v>
      </c>
      <c r="L3" s="20" t="s">
        <v>1844</v>
      </c>
    </row>
    <row r="4" spans="1:12">
      <c r="A4" s="17"/>
      <c r="B4" s="28" t="s">
        <v>1844</v>
      </c>
      <c r="C4" s="29" t="s">
        <v>1844</v>
      </c>
      <c r="D4" s="30" t="s">
        <v>1844</v>
      </c>
      <c r="E4" s="30" t="s">
        <v>1844</v>
      </c>
      <c r="F4" s="30" t="s">
        <v>1844</v>
      </c>
      <c r="G4" s="30" t="s">
        <v>1844</v>
      </c>
      <c r="H4" s="30" t="s">
        <v>1844</v>
      </c>
      <c r="I4"/>
      <c r="J4" s="20" t="s">
        <v>1844</v>
      </c>
      <c r="K4" s="20" t="s">
        <v>1844</v>
      </c>
      <c r="L4" s="20" t="s">
        <v>1844</v>
      </c>
    </row>
    <row r="5" spans="1:12">
      <c r="A5" s="17"/>
      <c r="B5" s="28" t="s">
        <v>1844</v>
      </c>
      <c r="C5" s="29" t="s">
        <v>1844</v>
      </c>
      <c r="D5" s="30" t="s">
        <v>1844</v>
      </c>
      <c r="E5" s="30" t="s">
        <v>1844</v>
      </c>
      <c r="F5" s="30" t="s">
        <v>1844</v>
      </c>
      <c r="G5" s="30" t="s">
        <v>1844</v>
      </c>
      <c r="H5" s="30" t="s">
        <v>1844</v>
      </c>
      <c r="I5"/>
      <c r="J5" s="20" t="s">
        <v>1844</v>
      </c>
      <c r="K5" s="20" t="s">
        <v>1844</v>
      </c>
      <c r="L5" s="20" t="s">
        <v>1844</v>
      </c>
    </row>
    <row r="6" spans="1:12">
      <c r="A6" s="17"/>
      <c r="B6" s="28" t="s">
        <v>1844</v>
      </c>
      <c r="C6" s="29" t="s">
        <v>1844</v>
      </c>
      <c r="D6" s="30" t="s">
        <v>1844</v>
      </c>
      <c r="E6" s="30" t="s">
        <v>1844</v>
      </c>
      <c r="F6" s="30" t="s">
        <v>1844</v>
      </c>
      <c r="G6" s="30" t="s">
        <v>1844</v>
      </c>
      <c r="H6" s="30" t="s">
        <v>1844</v>
      </c>
      <c r="I6"/>
      <c r="J6" s="20" t="s">
        <v>1844</v>
      </c>
      <c r="K6" s="20" t="s">
        <v>1844</v>
      </c>
      <c r="L6" s="20" t="s">
        <v>1844</v>
      </c>
    </row>
    <row r="7" spans="1:12">
      <c r="A7" s="17"/>
      <c r="B7" s="28" t="s">
        <v>1844</v>
      </c>
      <c r="C7" s="29" t="s">
        <v>1844</v>
      </c>
      <c r="D7" s="30" t="s">
        <v>1844</v>
      </c>
      <c r="E7" s="30" t="s">
        <v>1844</v>
      </c>
      <c r="F7" s="30" t="s">
        <v>1844</v>
      </c>
      <c r="G7" s="30" t="s">
        <v>1844</v>
      </c>
      <c r="H7" s="30" t="s">
        <v>1844</v>
      </c>
      <c r="I7"/>
      <c r="J7" s="20" t="s">
        <v>1844</v>
      </c>
      <c r="K7" s="20" t="s">
        <v>1844</v>
      </c>
      <c r="L7" s="20" t="s">
        <v>1844</v>
      </c>
    </row>
    <row r="8" spans="1:12">
      <c r="A8" s="17"/>
      <c r="B8" s="28" t="s">
        <v>1844</v>
      </c>
      <c r="C8" s="29" t="s">
        <v>1844</v>
      </c>
      <c r="D8" s="30" t="s">
        <v>1844</v>
      </c>
      <c r="E8" s="30" t="s">
        <v>1844</v>
      </c>
      <c r="F8" s="30" t="s">
        <v>1844</v>
      </c>
      <c r="G8" s="30" t="s">
        <v>1844</v>
      </c>
      <c r="H8" s="30" t="s">
        <v>1844</v>
      </c>
      <c r="I8"/>
      <c r="J8" s="20" t="s">
        <v>1844</v>
      </c>
      <c r="K8" s="20" t="s">
        <v>1844</v>
      </c>
      <c r="L8" s="20" t="s">
        <v>1844</v>
      </c>
    </row>
    <row r="9" spans="1:12">
      <c r="A9" s="17"/>
      <c r="B9" s="28" t="s">
        <v>1844</v>
      </c>
      <c r="C9" s="29" t="s">
        <v>1844</v>
      </c>
      <c r="D9" s="30" t="s">
        <v>1844</v>
      </c>
      <c r="E9" s="30" t="s">
        <v>1844</v>
      </c>
      <c r="F9" s="30" t="s">
        <v>1844</v>
      </c>
      <c r="G9" s="30" t="s">
        <v>1844</v>
      </c>
      <c r="H9" s="30" t="s">
        <v>1844</v>
      </c>
      <c r="I9"/>
      <c r="J9" s="20" t="s">
        <v>1844</v>
      </c>
      <c r="K9" s="20" t="s">
        <v>1844</v>
      </c>
      <c r="L9" s="20" t="s">
        <v>1844</v>
      </c>
    </row>
    <row r="10" spans="1:12">
      <c r="A10" s="17"/>
      <c r="B10" s="28" t="s">
        <v>1844</v>
      </c>
      <c r="C10" s="29" t="s">
        <v>1844</v>
      </c>
      <c r="D10" s="30" t="s">
        <v>1844</v>
      </c>
      <c r="E10" s="30" t="s">
        <v>1844</v>
      </c>
      <c r="F10" s="30" t="s">
        <v>1844</v>
      </c>
      <c r="G10" s="30" t="s">
        <v>1844</v>
      </c>
      <c r="H10" s="30" t="s">
        <v>1844</v>
      </c>
      <c r="I10"/>
      <c r="J10" s="20" t="s">
        <v>1844</v>
      </c>
      <c r="K10" s="20" t="s">
        <v>1844</v>
      </c>
      <c r="L10" s="20" t="s">
        <v>1844</v>
      </c>
    </row>
    <row r="11" spans="1:12">
      <c r="A11" s="17"/>
      <c r="B11" s="28" t="s">
        <v>1844</v>
      </c>
      <c r="C11" s="29" t="s">
        <v>1844</v>
      </c>
      <c r="D11" s="30" t="s">
        <v>1844</v>
      </c>
      <c r="E11" s="30" t="s">
        <v>1844</v>
      </c>
      <c r="F11" s="30" t="s">
        <v>1844</v>
      </c>
      <c r="G11" s="30" t="s">
        <v>1844</v>
      </c>
      <c r="H11" s="30" t="s">
        <v>1844</v>
      </c>
      <c r="I11"/>
      <c r="J11" s="20" t="s">
        <v>1844</v>
      </c>
      <c r="K11" s="20" t="s">
        <v>1844</v>
      </c>
      <c r="L11" s="20" t="s">
        <v>1844</v>
      </c>
    </row>
    <row r="12" spans="1:12">
      <c r="A12" s="187" t="s">
        <v>457</v>
      </c>
      <c r="B12" s="187"/>
      <c r="C12" s="187"/>
      <c r="D12" s="187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7" t="s">
        <v>458</v>
      </c>
      <c r="B13" s="187"/>
      <c r="C13" s="187"/>
      <c r="D13" s="187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7" t="s">
        <v>1306</v>
      </c>
      <c r="B14" s="187"/>
      <c r="C14" s="187"/>
      <c r="D14" s="187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7" t="s">
        <v>460</v>
      </c>
      <c r="B15" s="187"/>
      <c r="C15" s="187"/>
      <c r="D15" s="187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5" t="s">
        <v>459</v>
      </c>
      <c r="B16" s="185"/>
      <c r="C16" s="185"/>
      <c r="D16" s="185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83" t="s">
        <v>1337</v>
      </c>
      <c r="B17" s="183"/>
      <c r="C17" s="183"/>
      <c r="D17" s="183"/>
      <c r="E17" s="184">
        <f>E16*1.08</f>
        <v>-1607.6448000000016</v>
      </c>
      <c r="F17" s="184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0" customWidth="1"/>
    <col min="2" max="2" width="2.42578125" style="81" customWidth="1"/>
    <col min="3" max="3" width="20.5703125" style="81" customWidth="1"/>
    <col min="4" max="5" width="25.42578125" style="81" customWidth="1"/>
    <col min="6" max="6" width="6.5703125" style="81" customWidth="1"/>
    <col min="7" max="7" width="22.85546875" style="81" customWidth="1"/>
    <col min="8" max="9" width="45.42578125" style="81" customWidth="1"/>
    <col min="10" max="16384" width="9.140625" style="81"/>
  </cols>
  <sheetData>
    <row r="2" spans="3:9" ht="15" thickBot="1"/>
    <row r="3" spans="3:9" ht="35.25" customHeight="1">
      <c r="C3" s="82"/>
      <c r="D3" s="80"/>
      <c r="E3" s="80"/>
      <c r="G3" s="188" t="s">
        <v>1828</v>
      </c>
      <c r="H3" s="209" t="s">
        <v>466</v>
      </c>
      <c r="I3" s="210"/>
    </row>
    <row r="4" spans="3:9" ht="35.25" customHeight="1" thickBot="1">
      <c r="G4" s="189"/>
      <c r="H4" s="211"/>
      <c r="I4" s="212"/>
    </row>
    <row r="5" spans="3:9" ht="34.5" customHeight="1">
      <c r="C5" s="188" t="s">
        <v>1829</v>
      </c>
      <c r="D5" s="191" t="s">
        <v>1830</v>
      </c>
      <c r="E5" s="192"/>
      <c r="G5" s="189"/>
      <c r="H5" s="197" t="s">
        <v>1782</v>
      </c>
      <c r="I5" s="198"/>
    </row>
    <row r="6" spans="3:9" ht="34.5" customHeight="1">
      <c r="C6" s="189"/>
      <c r="D6" s="193"/>
      <c r="E6" s="194"/>
      <c r="G6" s="189"/>
      <c r="H6" s="199"/>
      <c r="I6" s="200"/>
    </row>
    <row r="7" spans="3:9" ht="34.5" customHeight="1">
      <c r="C7" s="189"/>
      <c r="D7" s="193"/>
      <c r="E7" s="194"/>
      <c r="G7" s="189"/>
      <c r="H7" s="199"/>
      <c r="I7" s="200"/>
    </row>
    <row r="8" spans="3:9" ht="35.25" customHeight="1" thickBot="1">
      <c r="C8" s="189"/>
      <c r="D8" s="193"/>
      <c r="E8" s="194"/>
      <c r="G8" s="189"/>
      <c r="H8" s="201"/>
      <c r="I8" s="202"/>
    </row>
    <row r="9" spans="3:9" ht="34.5" customHeight="1">
      <c r="C9" s="189"/>
      <c r="D9" s="193"/>
      <c r="E9" s="194"/>
      <c r="G9" s="189"/>
      <c r="H9" s="213" t="s">
        <v>1831</v>
      </c>
      <c r="I9" s="214"/>
    </row>
    <row r="10" spans="3:9" ht="34.5" customHeight="1">
      <c r="C10" s="189"/>
      <c r="D10" s="193"/>
      <c r="E10" s="194"/>
      <c r="G10" s="189"/>
      <c r="H10" s="215"/>
      <c r="I10" s="216"/>
    </row>
    <row r="11" spans="3:9" ht="34.5" customHeight="1">
      <c r="C11" s="189"/>
      <c r="D11" s="193"/>
      <c r="E11" s="194"/>
      <c r="G11" s="189"/>
      <c r="H11" s="215"/>
      <c r="I11" s="216"/>
    </row>
    <row r="12" spans="3:9" ht="35.25" customHeight="1" thickBot="1">
      <c r="C12" s="190"/>
      <c r="D12" s="195"/>
      <c r="E12" s="196"/>
      <c r="G12" s="189"/>
      <c r="H12" s="215"/>
      <c r="I12" s="216"/>
    </row>
    <row r="13" spans="3:9" ht="15">
      <c r="C13" s="83"/>
      <c r="D13" s="80"/>
      <c r="E13" s="80"/>
      <c r="G13" s="189"/>
      <c r="H13" s="215"/>
      <c r="I13" s="216"/>
    </row>
    <row r="14" spans="3:9" ht="35.25" customHeight="1" thickBot="1">
      <c r="G14" s="190"/>
      <c r="H14" s="217"/>
      <c r="I14" s="218"/>
    </row>
    <row r="16" spans="3:9" ht="15" thickBot="1"/>
    <row r="17" spans="3:29" ht="34.5" customHeight="1">
      <c r="G17" s="188" t="s">
        <v>1832</v>
      </c>
      <c r="H17" s="209" t="s">
        <v>467</v>
      </c>
      <c r="I17" s="210"/>
    </row>
    <row r="18" spans="3:29" ht="35.25" customHeight="1" thickBot="1">
      <c r="G18" s="189"/>
      <c r="H18" s="211"/>
      <c r="I18" s="212"/>
    </row>
    <row r="19" spans="3:29" ht="34.5" customHeight="1">
      <c r="C19" s="188" t="s">
        <v>1833</v>
      </c>
      <c r="D19" s="191" t="s">
        <v>1834</v>
      </c>
      <c r="E19" s="192"/>
      <c r="G19" s="189"/>
      <c r="H19" s="197" t="s">
        <v>1783</v>
      </c>
      <c r="I19" s="198"/>
    </row>
    <row r="20" spans="3:29" ht="34.5" customHeight="1">
      <c r="C20" s="189"/>
      <c r="D20" s="193"/>
      <c r="E20" s="194"/>
      <c r="G20" s="189"/>
      <c r="H20" s="199"/>
      <c r="I20" s="200"/>
    </row>
    <row r="21" spans="3:29" ht="34.5" customHeight="1">
      <c r="C21" s="189"/>
      <c r="D21" s="193"/>
      <c r="E21" s="194"/>
      <c r="G21" s="189"/>
      <c r="H21" s="199"/>
      <c r="I21" s="200"/>
    </row>
    <row r="22" spans="3:29" ht="35.25" customHeight="1" thickBot="1">
      <c r="C22" s="189"/>
      <c r="D22" s="193"/>
      <c r="E22" s="194"/>
      <c r="G22" s="189"/>
      <c r="H22" s="201"/>
      <c r="I22" s="202"/>
    </row>
    <row r="23" spans="3:29" ht="34.5" customHeight="1">
      <c r="C23" s="189"/>
      <c r="D23" s="193"/>
      <c r="E23" s="194"/>
      <c r="G23" s="189"/>
      <c r="H23" s="203" t="s">
        <v>1835</v>
      </c>
      <c r="I23" s="204"/>
    </row>
    <row r="24" spans="3:29" ht="34.5" customHeight="1">
      <c r="C24" s="189"/>
      <c r="D24" s="193"/>
      <c r="E24" s="194"/>
      <c r="G24" s="189"/>
      <c r="H24" s="205"/>
      <c r="I24" s="206"/>
    </row>
    <row r="25" spans="3:29" ht="34.5" customHeight="1">
      <c r="C25" s="189"/>
      <c r="D25" s="193"/>
      <c r="E25" s="194"/>
      <c r="G25" s="189"/>
      <c r="H25" s="205"/>
      <c r="I25" s="206"/>
      <c r="AC25" s="50"/>
    </row>
    <row r="26" spans="3:29" ht="34.5" customHeight="1" thickBot="1">
      <c r="C26" s="190"/>
      <c r="D26" s="195"/>
      <c r="E26" s="196"/>
      <c r="G26" s="189"/>
      <c r="H26" s="205"/>
      <c r="I26" s="206"/>
      <c r="AC26" s="50"/>
    </row>
    <row r="27" spans="3:29" ht="34.5" customHeight="1">
      <c r="G27" s="189"/>
      <c r="H27" s="205"/>
      <c r="I27" s="206"/>
      <c r="AC27" s="50"/>
    </row>
    <row r="28" spans="3:29" ht="35.25" customHeight="1" thickBot="1">
      <c r="G28" s="190"/>
      <c r="H28" s="207"/>
      <c r="I28" s="208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1570</v>
      </c>
      <c r="E1" s="52" t="s">
        <v>1751</v>
      </c>
    </row>
    <row r="2" spans="1:5">
      <c r="A2" s="44" t="s">
        <v>1483</v>
      </c>
      <c r="B2" s="36" t="s">
        <v>1557</v>
      </c>
      <c r="C2" s="39" t="s">
        <v>1504</v>
      </c>
      <c r="D2" s="44" t="s">
        <v>1571</v>
      </c>
      <c r="E2" s="44" t="s">
        <v>1752</v>
      </c>
    </row>
    <row r="3" spans="1:5">
      <c r="A3" s="45" t="s">
        <v>1661</v>
      </c>
      <c r="B3" s="36" t="s">
        <v>1662</v>
      </c>
      <c r="C3" s="39" t="s">
        <v>1663</v>
      </c>
      <c r="D3" s="44" t="s">
        <v>1571</v>
      </c>
      <c r="E3" s="44" t="s">
        <v>1752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1572</v>
      </c>
      <c r="E4" s="44" t="s">
        <v>1753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1572</v>
      </c>
      <c r="E5" s="44" t="s">
        <v>1753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1572</v>
      </c>
      <c r="E6" s="44" t="s">
        <v>1753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1572</v>
      </c>
      <c r="E7" s="44" t="s">
        <v>1753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1572</v>
      </c>
      <c r="E8" s="44" t="s">
        <v>1753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1572</v>
      </c>
      <c r="E9" s="44" t="s">
        <v>1753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1572</v>
      </c>
      <c r="E10" s="44" t="s">
        <v>1753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1572</v>
      </c>
      <c r="E11" s="44" t="s">
        <v>1753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1572</v>
      </c>
      <c r="E12" s="44" t="s">
        <v>1753</v>
      </c>
    </row>
    <row r="13" spans="1:5">
      <c r="A13" s="17" t="s">
        <v>1754</v>
      </c>
      <c r="B13" s="36" t="s">
        <v>839</v>
      </c>
      <c r="C13" s="45" t="s">
        <v>1755</v>
      </c>
      <c r="D13" s="44" t="s">
        <v>1572</v>
      </c>
      <c r="E13" s="44" t="s">
        <v>1753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1572</v>
      </c>
      <c r="E14" s="44" t="s">
        <v>1753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1572</v>
      </c>
      <c r="E15" s="44" t="s">
        <v>1753</v>
      </c>
    </row>
    <row r="16" spans="1:5">
      <c r="A16" s="17" t="s">
        <v>1756</v>
      </c>
      <c r="B16" s="36" t="s">
        <v>840</v>
      </c>
      <c r="C16" s="45" t="s">
        <v>1757</v>
      </c>
      <c r="D16" s="44" t="s">
        <v>1572</v>
      </c>
      <c r="E16" s="44" t="s">
        <v>1753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1572</v>
      </c>
      <c r="E17" s="44" t="s">
        <v>1753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1572</v>
      </c>
      <c r="E18" s="44" t="s">
        <v>1753</v>
      </c>
    </row>
    <row r="19" spans="1:5">
      <c r="A19" s="35" t="s">
        <v>1475</v>
      </c>
      <c r="B19" s="36" t="s">
        <v>842</v>
      </c>
      <c r="C19" s="37" t="s">
        <v>1492</v>
      </c>
      <c r="D19" s="44" t="s">
        <v>1572</v>
      </c>
      <c r="E19" s="44" t="s">
        <v>1753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1572</v>
      </c>
      <c r="E20" s="44" t="s">
        <v>1753</v>
      </c>
    </row>
    <row r="21" spans="1:5">
      <c r="A21" s="35" t="s">
        <v>1476</v>
      </c>
      <c r="B21" s="36" t="s">
        <v>843</v>
      </c>
      <c r="C21" s="37" t="s">
        <v>1493</v>
      </c>
      <c r="D21" s="44" t="s">
        <v>1572</v>
      </c>
      <c r="E21" s="44" t="s">
        <v>1753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1573</v>
      </c>
      <c r="E22" s="44" t="s">
        <v>1753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1573</v>
      </c>
      <c r="E23" s="44" t="s">
        <v>1753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1573</v>
      </c>
      <c r="E24" s="44" t="s">
        <v>1753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1573</v>
      </c>
      <c r="E25" s="44" t="s">
        <v>1753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1573</v>
      </c>
      <c r="E26" s="44" t="s">
        <v>1753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1573</v>
      </c>
      <c r="E27" s="44" t="s">
        <v>1753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1573</v>
      </c>
      <c r="E28" s="44" t="s">
        <v>1753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1573</v>
      </c>
      <c r="E29" s="44" t="s">
        <v>1753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1573</v>
      </c>
      <c r="E30" s="44" t="s">
        <v>1753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1573</v>
      </c>
      <c r="E31" s="44" t="s">
        <v>1753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1573</v>
      </c>
      <c r="E32" s="44" t="s">
        <v>1753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1573</v>
      </c>
      <c r="E33" s="44" t="s">
        <v>1753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1573</v>
      </c>
      <c r="E34" s="44" t="s">
        <v>1753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1573</v>
      </c>
      <c r="E35" s="44" t="s">
        <v>1753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1573</v>
      </c>
      <c r="E36" s="44" t="s">
        <v>1753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1574</v>
      </c>
      <c r="E37" s="44" t="s">
        <v>1753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1574</v>
      </c>
      <c r="E38" s="44" t="s">
        <v>1753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1574</v>
      </c>
      <c r="E39" s="44" t="s">
        <v>1753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1574</v>
      </c>
      <c r="E40" s="44" t="s">
        <v>1753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1574</v>
      </c>
      <c r="E41" s="44" t="s">
        <v>1753</v>
      </c>
    </row>
    <row r="42" spans="1:5">
      <c r="A42" s="45" t="s">
        <v>1496</v>
      </c>
      <c r="B42" s="36" t="s">
        <v>781</v>
      </c>
      <c r="C42" s="45" t="s">
        <v>1497</v>
      </c>
      <c r="D42" s="44" t="s">
        <v>1574</v>
      </c>
      <c r="E42" s="44" t="s">
        <v>1753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1575</v>
      </c>
      <c r="E43" s="44" t="s">
        <v>1753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1575</v>
      </c>
      <c r="E44" s="44" t="s">
        <v>1753</v>
      </c>
    </row>
    <row r="45" spans="1:5">
      <c r="A45" s="44" t="s">
        <v>1576</v>
      </c>
      <c r="B45" s="36" t="s">
        <v>1577</v>
      </c>
      <c r="C45" s="45" t="s">
        <v>1578</v>
      </c>
      <c r="D45" s="44" t="s">
        <v>1579</v>
      </c>
      <c r="E45" s="44" t="s">
        <v>1579</v>
      </c>
    </row>
    <row r="46" spans="1:5">
      <c r="A46" s="44" t="s">
        <v>1580</v>
      </c>
      <c r="B46" s="36" t="s">
        <v>1581</v>
      </c>
      <c r="C46" s="45" t="s">
        <v>1582</v>
      </c>
      <c r="D46" s="44" t="s">
        <v>1579</v>
      </c>
      <c r="E46" s="44" t="s">
        <v>1579</v>
      </c>
    </row>
    <row r="47" spans="1:5">
      <c r="A47" s="44" t="s">
        <v>1583</v>
      </c>
      <c r="B47" s="36" t="s">
        <v>1584</v>
      </c>
      <c r="C47" s="45" t="s">
        <v>1585</v>
      </c>
      <c r="D47" s="44" t="s">
        <v>1579</v>
      </c>
      <c r="E47" s="44" t="s">
        <v>1579</v>
      </c>
    </row>
    <row r="48" spans="1:5">
      <c r="A48" s="44" t="s">
        <v>1586</v>
      </c>
      <c r="B48" s="36" t="s">
        <v>1587</v>
      </c>
      <c r="C48" s="45" t="s">
        <v>1588</v>
      </c>
      <c r="D48" s="44" t="s">
        <v>1579</v>
      </c>
      <c r="E48" s="44" t="s">
        <v>1579</v>
      </c>
    </row>
    <row r="49" spans="1:5">
      <c r="A49" s="44" t="s">
        <v>1589</v>
      </c>
      <c r="B49" s="36" t="s">
        <v>1590</v>
      </c>
      <c r="C49" s="45" t="s">
        <v>1591</v>
      </c>
      <c r="D49" s="44" t="s">
        <v>1579</v>
      </c>
      <c r="E49" s="44" t="s">
        <v>1579</v>
      </c>
    </row>
    <row r="50" spans="1:5">
      <c r="A50" s="44" t="s">
        <v>1592</v>
      </c>
      <c r="B50" s="36" t="s">
        <v>1593</v>
      </c>
      <c r="C50" s="45" t="s">
        <v>1594</v>
      </c>
      <c r="D50" s="44" t="s">
        <v>1579</v>
      </c>
      <c r="E50" s="44" t="s">
        <v>1579</v>
      </c>
    </row>
    <row r="51" spans="1:5">
      <c r="A51" s="44" t="s">
        <v>1595</v>
      </c>
      <c r="B51" s="36" t="s">
        <v>1596</v>
      </c>
      <c r="C51" s="45" t="s">
        <v>1597</v>
      </c>
      <c r="D51" s="44" t="s">
        <v>1579</v>
      </c>
      <c r="E51" s="44" t="s">
        <v>1579</v>
      </c>
    </row>
    <row r="52" spans="1:5">
      <c r="A52" s="44" t="s">
        <v>1598</v>
      </c>
      <c r="B52" s="36" t="s">
        <v>1599</v>
      </c>
      <c r="C52" s="45" t="s">
        <v>1600</v>
      </c>
      <c r="D52" s="44" t="s">
        <v>1579</v>
      </c>
      <c r="E52" s="44" t="s">
        <v>1579</v>
      </c>
    </row>
    <row r="53" spans="1:5">
      <c r="A53" s="44" t="s">
        <v>1601</v>
      </c>
      <c r="B53" s="36" t="s">
        <v>1602</v>
      </c>
      <c r="C53" s="45" t="s">
        <v>1603</v>
      </c>
      <c r="D53" s="44" t="s">
        <v>1579</v>
      </c>
      <c r="E53" s="44" t="s">
        <v>1579</v>
      </c>
    </row>
    <row r="54" spans="1:5">
      <c r="A54" s="44" t="s">
        <v>1604</v>
      </c>
      <c r="B54" s="36" t="s">
        <v>1605</v>
      </c>
      <c r="C54" s="45" t="s">
        <v>1606</v>
      </c>
      <c r="D54" s="44" t="s">
        <v>1579</v>
      </c>
      <c r="E54" s="44" t="s">
        <v>1579</v>
      </c>
    </row>
    <row r="55" spans="1:5">
      <c r="A55" s="44" t="s">
        <v>1607</v>
      </c>
      <c r="B55" s="36" t="s">
        <v>1608</v>
      </c>
      <c r="C55" s="45" t="s">
        <v>1609</v>
      </c>
      <c r="D55" s="44" t="s">
        <v>1579</v>
      </c>
      <c r="E55" s="44" t="s">
        <v>1579</v>
      </c>
    </row>
    <row r="56" spans="1:5">
      <c r="A56" s="44" t="s">
        <v>1610</v>
      </c>
      <c r="B56" s="36" t="s">
        <v>1611</v>
      </c>
      <c r="C56" s="45" t="s">
        <v>1612</v>
      </c>
      <c r="D56" s="44" t="s">
        <v>1579</v>
      </c>
      <c r="E56" s="44" t="s">
        <v>1579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1613</v>
      </c>
      <c r="E57" s="44" t="s">
        <v>1753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1613</v>
      </c>
      <c r="E58" s="44" t="s">
        <v>1753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1613</v>
      </c>
      <c r="E59" s="44" t="s">
        <v>1753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1574</v>
      </c>
      <c r="E60" s="44" t="s">
        <v>1753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1613</v>
      </c>
      <c r="E61" s="44" t="s">
        <v>1753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1574</v>
      </c>
      <c r="E62" s="44" t="s">
        <v>1753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1574</v>
      </c>
      <c r="E63" s="44" t="s">
        <v>1753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1574</v>
      </c>
      <c r="E64" s="44" t="s">
        <v>1753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1574</v>
      </c>
      <c r="E65" s="44" t="s">
        <v>1753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1614</v>
      </c>
      <c r="E66" s="44" t="s">
        <v>1753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1574</v>
      </c>
      <c r="E67" s="44" t="s">
        <v>1753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1574</v>
      </c>
      <c r="E68" s="44" t="s">
        <v>1753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1574</v>
      </c>
      <c r="E69" s="44" t="s">
        <v>1753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1574</v>
      </c>
      <c r="E70" s="44" t="s">
        <v>1753</v>
      </c>
    </row>
    <row r="71" spans="1:5">
      <c r="A71" s="55" t="s">
        <v>1725</v>
      </c>
      <c r="B71" s="36" t="s">
        <v>1726</v>
      </c>
      <c r="C71" s="45" t="s">
        <v>1727</v>
      </c>
      <c r="D71" s="44" t="s">
        <v>1574</v>
      </c>
      <c r="E71" s="44" t="s">
        <v>1753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1574</v>
      </c>
      <c r="E72" s="44" t="s">
        <v>1753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1574</v>
      </c>
      <c r="E73" s="44" t="s">
        <v>1753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1615</v>
      </c>
      <c r="E74" s="44" t="s">
        <v>1753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1615</v>
      </c>
      <c r="E75" s="44" t="s">
        <v>1753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1574</v>
      </c>
      <c r="E76" s="44" t="s">
        <v>1753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1616</v>
      </c>
      <c r="E77" s="44" t="s">
        <v>1753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1616</v>
      </c>
      <c r="E78" s="44" t="s">
        <v>1753</v>
      </c>
    </row>
    <row r="79" spans="1:5">
      <c r="A79" s="55" t="s">
        <v>1691</v>
      </c>
      <c r="B79" s="36" t="s">
        <v>1692</v>
      </c>
      <c r="C79" s="45" t="s">
        <v>1693</v>
      </c>
      <c r="D79" s="44" t="s">
        <v>1616</v>
      </c>
      <c r="E79" s="44" t="s">
        <v>1753</v>
      </c>
    </row>
    <row r="80" spans="1:5">
      <c r="A80" s="55" t="s">
        <v>1728</v>
      </c>
      <c r="B80" s="36" t="s">
        <v>1729</v>
      </c>
      <c r="C80" s="45" t="s">
        <v>1730</v>
      </c>
      <c r="D80" s="44" t="s">
        <v>1616</v>
      </c>
      <c r="E80" s="44" t="s">
        <v>1753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1617</v>
      </c>
      <c r="E81" s="44" t="s">
        <v>1753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1617</v>
      </c>
      <c r="E82" s="44" t="s">
        <v>1753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1617</v>
      </c>
      <c r="E83" s="44" t="s">
        <v>1753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1617</v>
      </c>
      <c r="E84" s="44" t="s">
        <v>1753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1618</v>
      </c>
      <c r="E85" s="44" t="s">
        <v>1753</v>
      </c>
    </row>
    <row r="86" spans="1:5">
      <c r="A86" s="44" t="s">
        <v>1352</v>
      </c>
      <c r="B86" s="36" t="s">
        <v>1353</v>
      </c>
      <c r="C86" s="39" t="s">
        <v>1354</v>
      </c>
      <c r="D86" s="44" t="s">
        <v>1618</v>
      </c>
      <c r="E86" s="44" t="s">
        <v>1753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1618</v>
      </c>
      <c r="E87" s="44" t="s">
        <v>1753</v>
      </c>
    </row>
    <row r="88" spans="1:5">
      <c r="A88" s="44" t="s">
        <v>1636</v>
      </c>
      <c r="B88" s="36" t="s">
        <v>1640</v>
      </c>
      <c r="C88" s="45" t="s">
        <v>1639</v>
      </c>
      <c r="D88" s="44" t="s">
        <v>1618</v>
      </c>
      <c r="E88" s="44" t="s">
        <v>1753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1618</v>
      </c>
      <c r="E89" s="44" t="s">
        <v>1753</v>
      </c>
    </row>
    <row r="90" spans="1:5">
      <c r="A90" s="55" t="s">
        <v>1678</v>
      </c>
      <c r="B90" s="36" t="s">
        <v>1679</v>
      </c>
      <c r="C90" s="45" t="s">
        <v>1680</v>
      </c>
      <c r="D90" s="44" t="s">
        <v>1618</v>
      </c>
      <c r="E90" s="44" t="s">
        <v>1753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1618</v>
      </c>
      <c r="E91" s="44" t="s">
        <v>1753</v>
      </c>
    </row>
    <row r="92" spans="1:5">
      <c r="A92" s="55" t="s">
        <v>1694</v>
      </c>
      <c r="B92" s="36" t="s">
        <v>1695</v>
      </c>
      <c r="C92" s="45" t="s">
        <v>1693</v>
      </c>
      <c r="D92" s="44" t="s">
        <v>1618</v>
      </c>
      <c r="E92" s="44" t="s">
        <v>1753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1618</v>
      </c>
      <c r="E93" s="44" t="s">
        <v>1753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1618</v>
      </c>
      <c r="E94" s="44" t="s">
        <v>1753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1618</v>
      </c>
      <c r="E95" s="44" t="s">
        <v>1753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1618</v>
      </c>
      <c r="E96" s="44" t="s">
        <v>1753</v>
      </c>
    </row>
    <row r="97" spans="1:5">
      <c r="A97" s="44" t="s">
        <v>1355</v>
      </c>
      <c r="B97" s="36" t="s">
        <v>1356</v>
      </c>
      <c r="C97" s="39" t="s">
        <v>1357</v>
      </c>
      <c r="D97" s="44" t="s">
        <v>1618</v>
      </c>
      <c r="E97" s="44" t="s">
        <v>1753</v>
      </c>
    </row>
    <row r="98" spans="1:5">
      <c r="A98" s="44" t="s">
        <v>1552</v>
      </c>
      <c r="B98" s="18" t="s">
        <v>1554</v>
      </c>
      <c r="C98" s="45" t="s">
        <v>1553</v>
      </c>
      <c r="D98" s="44" t="s">
        <v>1618</v>
      </c>
      <c r="E98" s="44" t="s">
        <v>1753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1618</v>
      </c>
      <c r="E99" s="44" t="s">
        <v>1753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1618</v>
      </c>
      <c r="E100" s="44" t="s">
        <v>1753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1618</v>
      </c>
      <c r="E101" s="44" t="s">
        <v>1753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1618</v>
      </c>
      <c r="E102" s="44" t="s">
        <v>1753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1618</v>
      </c>
      <c r="E103" s="44" t="s">
        <v>1753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1618</v>
      </c>
      <c r="E104" s="44" t="s">
        <v>1753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1618</v>
      </c>
      <c r="E105" s="44" t="s">
        <v>1753</v>
      </c>
    </row>
    <row r="106" spans="1:5">
      <c r="A106" s="44" t="s">
        <v>1505</v>
      </c>
      <c r="B106" s="36" t="s">
        <v>707</v>
      </c>
      <c r="C106" s="45" t="s">
        <v>1506</v>
      </c>
      <c r="D106" s="44" t="s">
        <v>1618</v>
      </c>
      <c r="E106" s="44" t="s">
        <v>1753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1618</v>
      </c>
      <c r="E107" s="44" t="s">
        <v>1753</v>
      </c>
    </row>
    <row r="108" spans="1:5">
      <c r="A108" s="44" t="s">
        <v>1637</v>
      </c>
      <c r="B108" s="36" t="s">
        <v>1641</v>
      </c>
      <c r="C108" s="45" t="s">
        <v>1642</v>
      </c>
      <c r="D108" s="44" t="s">
        <v>1618</v>
      </c>
      <c r="E108" s="44" t="s">
        <v>1753</v>
      </c>
    </row>
    <row r="109" spans="1:5">
      <c r="A109" s="44" t="s">
        <v>1358</v>
      </c>
      <c r="B109" s="36" t="s">
        <v>1359</v>
      </c>
      <c r="C109" s="39" t="s">
        <v>1360</v>
      </c>
      <c r="D109" s="44" t="s">
        <v>1618</v>
      </c>
      <c r="E109" s="44" t="s">
        <v>1753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1618</v>
      </c>
      <c r="E110" s="44" t="s">
        <v>1753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1618</v>
      </c>
      <c r="E111" s="44" t="s">
        <v>1753</v>
      </c>
    </row>
    <row r="112" spans="1:5">
      <c r="A112" s="44" t="s">
        <v>1361</v>
      </c>
      <c r="B112" s="36" t="s">
        <v>1362</v>
      </c>
      <c r="C112" s="37" t="s">
        <v>1363</v>
      </c>
      <c r="D112" s="44" t="s">
        <v>1618</v>
      </c>
      <c r="E112" s="44" t="s">
        <v>1753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1618</v>
      </c>
      <c r="E113" s="44" t="s">
        <v>1753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1618</v>
      </c>
      <c r="E114" s="44" t="s">
        <v>1753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1618</v>
      </c>
      <c r="E115" s="44" t="s">
        <v>1753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1618</v>
      </c>
      <c r="E116" s="44" t="s">
        <v>1753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1618</v>
      </c>
      <c r="E117" s="44" t="s">
        <v>1753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1618</v>
      </c>
      <c r="E118" s="44" t="s">
        <v>1753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1618</v>
      </c>
      <c r="E119" s="44" t="s">
        <v>1753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1618</v>
      </c>
      <c r="E120" s="44" t="s">
        <v>1753</v>
      </c>
    </row>
    <row r="121" spans="1:5">
      <c r="A121" s="17" t="s">
        <v>1758</v>
      </c>
      <c r="B121" s="18" t="s">
        <v>733</v>
      </c>
      <c r="C121" s="45" t="s">
        <v>1759</v>
      </c>
      <c r="D121" s="44" t="s">
        <v>1618</v>
      </c>
      <c r="E121" s="44" t="s">
        <v>1753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1618</v>
      </c>
      <c r="E122" s="44" t="s">
        <v>1753</v>
      </c>
    </row>
    <row r="123" spans="1:5">
      <c r="A123" s="44" t="s">
        <v>1364</v>
      </c>
      <c r="B123" s="36" t="s">
        <v>1365</v>
      </c>
      <c r="C123" s="37" t="s">
        <v>1366</v>
      </c>
      <c r="D123" s="44" t="s">
        <v>1618</v>
      </c>
      <c r="E123" s="44" t="s">
        <v>1753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1618</v>
      </c>
      <c r="E124" s="44" t="s">
        <v>1753</v>
      </c>
    </row>
    <row r="125" spans="1:5">
      <c r="A125" s="44" t="s">
        <v>1638</v>
      </c>
      <c r="B125" s="18" t="s">
        <v>700</v>
      </c>
      <c r="C125" s="45" t="s">
        <v>1643</v>
      </c>
      <c r="D125" s="44" t="s">
        <v>1618</v>
      </c>
      <c r="E125" s="44" t="s">
        <v>1753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1618</v>
      </c>
      <c r="E126" s="44" t="s">
        <v>1753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1618</v>
      </c>
      <c r="E127" s="44" t="s">
        <v>1753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1618</v>
      </c>
      <c r="E128" s="44" t="s">
        <v>1753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1618</v>
      </c>
      <c r="E129" s="44" t="s">
        <v>1753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1618</v>
      </c>
      <c r="E130" s="44" t="s">
        <v>1753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1618</v>
      </c>
      <c r="E131" s="44" t="s">
        <v>1753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1618</v>
      </c>
      <c r="E132" s="44" t="s">
        <v>1753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1618</v>
      </c>
      <c r="E133" s="44" t="s">
        <v>1753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1618</v>
      </c>
      <c r="E134" s="44" t="s">
        <v>1753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1618</v>
      </c>
      <c r="E135" s="44" t="s">
        <v>1753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1618</v>
      </c>
      <c r="E136" s="44" t="s">
        <v>1753</v>
      </c>
    </row>
    <row r="137" spans="1:5">
      <c r="A137" s="44" t="s">
        <v>1488</v>
      </c>
      <c r="B137" s="18" t="s">
        <v>714</v>
      </c>
      <c r="C137" s="45" t="s">
        <v>1491</v>
      </c>
      <c r="D137" s="44" t="s">
        <v>1618</v>
      </c>
      <c r="E137" s="44" t="s">
        <v>1753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1618</v>
      </c>
      <c r="E138" s="44" t="s">
        <v>1753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1618</v>
      </c>
      <c r="E139" s="44" t="s">
        <v>1753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1618</v>
      </c>
      <c r="E140" s="44" t="s">
        <v>1753</v>
      </c>
    </row>
    <row r="141" spans="1:5">
      <c r="A141" s="17" t="s">
        <v>1760</v>
      </c>
      <c r="B141" s="36" t="s">
        <v>717</v>
      </c>
      <c r="C141" s="45" t="s">
        <v>1761</v>
      </c>
      <c r="D141" s="44" t="s">
        <v>1618</v>
      </c>
      <c r="E141" s="44" t="s">
        <v>1753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1618</v>
      </c>
      <c r="E142" s="44" t="s">
        <v>1753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1618</v>
      </c>
      <c r="E143" s="44" t="s">
        <v>1753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1618</v>
      </c>
      <c r="E144" s="44" t="s">
        <v>1753</v>
      </c>
    </row>
    <row r="145" spans="1:5">
      <c r="A145" s="17" t="s">
        <v>1762</v>
      </c>
      <c r="B145" s="36" t="s">
        <v>720</v>
      </c>
      <c r="C145" s="45" t="s">
        <v>1763</v>
      </c>
      <c r="D145" s="44" t="s">
        <v>1618</v>
      </c>
      <c r="E145" s="44" t="s">
        <v>1753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1618</v>
      </c>
      <c r="E146" s="44" t="s">
        <v>1753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1618</v>
      </c>
      <c r="E147" s="44" t="s">
        <v>1753</v>
      </c>
    </row>
    <row r="148" spans="1:5">
      <c r="A148" s="44" t="s">
        <v>1367</v>
      </c>
      <c r="B148" s="36" t="s">
        <v>1368</v>
      </c>
      <c r="C148" s="37" t="s">
        <v>1369</v>
      </c>
      <c r="D148" s="44" t="s">
        <v>1618</v>
      </c>
      <c r="E148" s="44" t="s">
        <v>1753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1618</v>
      </c>
      <c r="E149" s="44" t="s">
        <v>1753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1618</v>
      </c>
      <c r="E150" s="44" t="s">
        <v>1753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1618</v>
      </c>
      <c r="E151" s="44" t="s">
        <v>1753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1618</v>
      </c>
      <c r="E152" s="44" t="s">
        <v>1753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1618</v>
      </c>
      <c r="E153" s="44" t="s">
        <v>1753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1618</v>
      </c>
      <c r="E154" s="44" t="s">
        <v>1753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1618</v>
      </c>
      <c r="E155" s="44" t="s">
        <v>1753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1618</v>
      </c>
      <c r="E156" s="44" t="s">
        <v>1753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1618</v>
      </c>
      <c r="E157" s="44" t="s">
        <v>1753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1618</v>
      </c>
      <c r="E158" s="44" t="s">
        <v>1753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1618</v>
      </c>
      <c r="E159" s="44" t="s">
        <v>1753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1618</v>
      </c>
      <c r="E160" s="44" t="s">
        <v>1753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1618</v>
      </c>
      <c r="E161" s="44" t="s">
        <v>1753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1618</v>
      </c>
      <c r="E162" s="44" t="s">
        <v>1753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1618</v>
      </c>
      <c r="E163" s="44" t="s">
        <v>1753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1618</v>
      </c>
      <c r="E164" s="44" t="s">
        <v>1753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1618</v>
      </c>
      <c r="E165" s="44" t="s">
        <v>1753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1618</v>
      </c>
      <c r="E166" s="44" t="s">
        <v>1753</v>
      </c>
    </row>
    <row r="167" spans="1:5">
      <c r="A167" s="38" t="s">
        <v>1319</v>
      </c>
      <c r="B167" s="18" t="s">
        <v>1748</v>
      </c>
      <c r="C167" s="39" t="s">
        <v>1320</v>
      </c>
      <c r="D167" s="44" t="s">
        <v>1574</v>
      </c>
      <c r="E167" s="44" t="s">
        <v>1753</v>
      </c>
    </row>
    <row r="168" spans="1:5">
      <c r="A168" s="55" t="s">
        <v>1688</v>
      </c>
      <c r="B168" s="36" t="s">
        <v>1689</v>
      </c>
      <c r="C168" s="45" t="s">
        <v>1690</v>
      </c>
      <c r="D168" s="44" t="s">
        <v>1618</v>
      </c>
      <c r="E168" s="44" t="s">
        <v>1753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1618</v>
      </c>
      <c r="E169" s="44" t="s">
        <v>1753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1618</v>
      </c>
      <c r="E170" s="44" t="s">
        <v>1753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1618</v>
      </c>
      <c r="E171" s="44" t="s">
        <v>1753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1618</v>
      </c>
      <c r="E172" s="44" t="s">
        <v>1753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1618</v>
      </c>
      <c r="E173" s="44" t="s">
        <v>1753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1618</v>
      </c>
      <c r="E174" s="44" t="s">
        <v>1753</v>
      </c>
    </row>
    <row r="175" spans="1:5">
      <c r="A175" s="44" t="s">
        <v>1370</v>
      </c>
      <c r="B175" s="36" t="s">
        <v>1371</v>
      </c>
      <c r="C175" s="39" t="s">
        <v>1372</v>
      </c>
      <c r="D175" s="44" t="s">
        <v>1618</v>
      </c>
      <c r="E175" s="44" t="s">
        <v>1753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1618</v>
      </c>
      <c r="E176" s="44" t="s">
        <v>1753</v>
      </c>
    </row>
    <row r="177" spans="1:5">
      <c r="A177" s="44" t="s">
        <v>1373</v>
      </c>
      <c r="B177" s="18" t="s">
        <v>749</v>
      </c>
      <c r="C177" s="37" t="s">
        <v>1374</v>
      </c>
      <c r="D177" s="44" t="s">
        <v>1618</v>
      </c>
      <c r="E177" s="44" t="s">
        <v>1753</v>
      </c>
    </row>
    <row r="178" spans="1:5">
      <c r="A178" s="44" t="s">
        <v>1375</v>
      </c>
      <c r="B178" s="18" t="s">
        <v>750</v>
      </c>
      <c r="C178" s="37" t="s">
        <v>1376</v>
      </c>
      <c r="D178" s="44" t="s">
        <v>1618</v>
      </c>
      <c r="E178" s="44" t="s">
        <v>1753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1618</v>
      </c>
      <c r="E179" s="44" t="s">
        <v>1753</v>
      </c>
    </row>
    <row r="180" spans="1:5">
      <c r="A180" s="44" t="s">
        <v>1377</v>
      </c>
      <c r="B180" s="18" t="s">
        <v>1378</v>
      </c>
      <c r="C180" s="37" t="s">
        <v>1379</v>
      </c>
      <c r="D180" s="44" t="s">
        <v>1618</v>
      </c>
      <c r="E180" s="44" t="s">
        <v>1753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1574</v>
      </c>
      <c r="E181" s="44" t="s">
        <v>1753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1574</v>
      </c>
      <c r="E182" s="44" t="s">
        <v>1753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1618</v>
      </c>
      <c r="E183" s="44" t="s">
        <v>1753</v>
      </c>
    </row>
    <row r="184" spans="1:5">
      <c r="A184" s="35" t="s">
        <v>1749</v>
      </c>
      <c r="B184" s="36" t="s">
        <v>756</v>
      </c>
      <c r="C184" s="39" t="s">
        <v>1750</v>
      </c>
      <c r="D184" s="44" t="s">
        <v>1574</v>
      </c>
      <c r="E184" s="44" t="s">
        <v>1753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1574</v>
      </c>
      <c r="E185" s="44" t="s">
        <v>1753</v>
      </c>
    </row>
    <row r="186" spans="1:5">
      <c r="A186" s="35" t="s">
        <v>1503</v>
      </c>
      <c r="B186" s="36" t="s">
        <v>1507</v>
      </c>
      <c r="C186" s="37" t="s">
        <v>1508</v>
      </c>
      <c r="D186" s="44" t="s">
        <v>1574</v>
      </c>
      <c r="E186" s="44" t="s">
        <v>1753</v>
      </c>
    </row>
    <row r="187" spans="1:5">
      <c r="A187" s="45" t="s">
        <v>1509</v>
      </c>
      <c r="B187" s="36" t="s">
        <v>753</v>
      </c>
      <c r="C187" s="45" t="s">
        <v>1510</v>
      </c>
      <c r="D187" s="44" t="s">
        <v>1618</v>
      </c>
      <c r="E187" s="44" t="s">
        <v>1753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1618</v>
      </c>
      <c r="E188" s="44" t="s">
        <v>1753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1574</v>
      </c>
      <c r="E189" s="44" t="s">
        <v>1753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1619</v>
      </c>
      <c r="E190" s="44" t="s">
        <v>1753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1619</v>
      </c>
      <c r="E191" s="44" t="s">
        <v>1753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1619</v>
      </c>
      <c r="E192" s="44" t="s">
        <v>1753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1620</v>
      </c>
      <c r="E193" s="44" t="s">
        <v>1753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1620</v>
      </c>
      <c r="E194" s="44" t="s">
        <v>1753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1574</v>
      </c>
      <c r="E195" s="44" t="s">
        <v>1753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1613</v>
      </c>
      <c r="E196" s="44" t="s">
        <v>1753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1621</v>
      </c>
      <c r="E197" s="44" t="s">
        <v>1753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1621</v>
      </c>
      <c r="E198" s="44" t="s">
        <v>1753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1621</v>
      </c>
      <c r="E199" s="44" t="s">
        <v>1753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1621</v>
      </c>
      <c r="E200" s="44" t="s">
        <v>1753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1621</v>
      </c>
      <c r="E201" s="44" t="s">
        <v>1753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1621</v>
      </c>
      <c r="E202" s="44" t="s">
        <v>1753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1621</v>
      </c>
      <c r="E203" s="44" t="s">
        <v>1753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1621</v>
      </c>
      <c r="E204" s="44" t="s">
        <v>1753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1621</v>
      </c>
      <c r="E205" s="44" t="s">
        <v>1753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1621</v>
      </c>
      <c r="E206" s="44" t="s">
        <v>1753</v>
      </c>
    </row>
    <row r="207" spans="1:5">
      <c r="A207" s="44" t="s">
        <v>1380</v>
      </c>
      <c r="B207" s="36" t="s">
        <v>1381</v>
      </c>
      <c r="C207" s="37" t="s">
        <v>1382</v>
      </c>
      <c r="D207" s="44" t="s">
        <v>1575</v>
      </c>
      <c r="E207" s="44" t="s">
        <v>1753</v>
      </c>
    </row>
    <row r="208" spans="1:5">
      <c r="A208" s="44" t="s">
        <v>1632</v>
      </c>
      <c r="B208" s="36" t="s">
        <v>589</v>
      </c>
      <c r="C208" s="45" t="s">
        <v>1657</v>
      </c>
      <c r="D208" s="44" t="s">
        <v>1575</v>
      </c>
      <c r="E208" s="44" t="s">
        <v>1753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1575</v>
      </c>
      <c r="E209" s="44" t="s">
        <v>1753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1575</v>
      </c>
      <c r="E210" s="44" t="s">
        <v>1753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1575</v>
      </c>
      <c r="E211" s="44" t="s">
        <v>1753</v>
      </c>
    </row>
    <row r="212" spans="1:5">
      <c r="A212" s="46" t="s">
        <v>1340</v>
      </c>
      <c r="B212" s="18" t="s">
        <v>589</v>
      </c>
      <c r="C212" s="45" t="s">
        <v>1347</v>
      </c>
      <c r="D212" s="44" t="s">
        <v>1575</v>
      </c>
      <c r="E212" s="44" t="s">
        <v>1753</v>
      </c>
    </row>
    <row r="213" spans="1:5">
      <c r="A213" s="44" t="s">
        <v>1383</v>
      </c>
      <c r="B213" s="18" t="s">
        <v>591</v>
      </c>
      <c r="C213" s="37" t="s">
        <v>1384</v>
      </c>
      <c r="D213" s="44" t="s">
        <v>1575</v>
      </c>
      <c r="E213" s="44" t="s">
        <v>1753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1575</v>
      </c>
      <c r="E214" s="44" t="s">
        <v>1753</v>
      </c>
    </row>
    <row r="215" spans="1:5">
      <c r="A215" s="44" t="s">
        <v>1633</v>
      </c>
      <c r="B215" s="36" t="s">
        <v>1317</v>
      </c>
      <c r="C215" s="45" t="s">
        <v>1658</v>
      </c>
      <c r="D215" s="44" t="s">
        <v>1575</v>
      </c>
      <c r="E215" s="44" t="s">
        <v>1753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1575</v>
      </c>
      <c r="E216" s="44" t="s">
        <v>1753</v>
      </c>
    </row>
    <row r="217" spans="1:5">
      <c r="A217" s="44" t="s">
        <v>1341</v>
      </c>
      <c r="B217" s="36" t="s">
        <v>592</v>
      </c>
      <c r="C217" s="37" t="s">
        <v>1346</v>
      </c>
      <c r="D217" s="44" t="s">
        <v>1575</v>
      </c>
      <c r="E217" s="44" t="s">
        <v>1753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1575</v>
      </c>
      <c r="E218" s="44" t="s">
        <v>1753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1575</v>
      </c>
      <c r="E219" s="44" t="s">
        <v>1753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1575</v>
      </c>
      <c r="E220" s="44" t="s">
        <v>1753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1575</v>
      </c>
      <c r="E221" s="44" t="s">
        <v>1753</v>
      </c>
    </row>
    <row r="222" spans="1:5">
      <c r="A222" s="45" t="s">
        <v>1511</v>
      </c>
      <c r="B222" s="36" t="s">
        <v>1317</v>
      </c>
      <c r="C222" s="39" t="s">
        <v>1512</v>
      </c>
      <c r="D222" s="44" t="s">
        <v>1575</v>
      </c>
      <c r="E222" s="44" t="s">
        <v>1753</v>
      </c>
    </row>
    <row r="223" spans="1:5">
      <c r="A223" s="44" t="s">
        <v>1513</v>
      </c>
      <c r="B223" s="36" t="s">
        <v>1317</v>
      </c>
      <c r="C223" s="39" t="s">
        <v>1514</v>
      </c>
      <c r="D223" s="44" t="s">
        <v>1575</v>
      </c>
      <c r="E223" s="44" t="s">
        <v>1753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1575</v>
      </c>
      <c r="E224" s="44" t="s">
        <v>1753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1575</v>
      </c>
      <c r="E225" s="44" t="s">
        <v>1753</v>
      </c>
    </row>
    <row r="226" spans="1:5">
      <c r="A226" s="44" t="s">
        <v>1385</v>
      </c>
      <c r="B226" s="36" t="s">
        <v>597</v>
      </c>
      <c r="C226" s="37" t="s">
        <v>1386</v>
      </c>
      <c r="D226" s="44" t="s">
        <v>1575</v>
      </c>
      <c r="E226" s="44" t="s">
        <v>1753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1575</v>
      </c>
      <c r="E227" s="44" t="s">
        <v>1753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1574</v>
      </c>
      <c r="E228" s="44" t="s">
        <v>1753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1575</v>
      </c>
      <c r="E229" s="44" t="s">
        <v>1753</v>
      </c>
    </row>
    <row r="230" spans="1:5">
      <c r="A230" s="44" t="s">
        <v>1387</v>
      </c>
      <c r="B230" s="18" t="s">
        <v>1019</v>
      </c>
      <c r="C230" s="37" t="s">
        <v>1388</v>
      </c>
      <c r="D230" s="44" t="s">
        <v>1575</v>
      </c>
      <c r="E230" s="44" t="s">
        <v>1753</v>
      </c>
    </row>
    <row r="231" spans="1:5">
      <c r="A231" s="55" t="s">
        <v>1736</v>
      </c>
      <c r="B231" s="36" t="s">
        <v>592</v>
      </c>
      <c r="C231" s="45" t="s">
        <v>1737</v>
      </c>
      <c r="D231" s="44" t="s">
        <v>1575</v>
      </c>
      <c r="E231" s="44" t="s">
        <v>1753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1575</v>
      </c>
      <c r="E232" s="44" t="s">
        <v>1753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1575</v>
      </c>
      <c r="E233" s="44" t="s">
        <v>1753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1575</v>
      </c>
      <c r="E234" s="44" t="s">
        <v>1753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1575</v>
      </c>
      <c r="E235" s="44" t="s">
        <v>1753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1575</v>
      </c>
      <c r="E236" s="44" t="s">
        <v>1753</v>
      </c>
    </row>
    <row r="237" spans="1:5">
      <c r="A237" s="44" t="s">
        <v>1389</v>
      </c>
      <c r="B237" s="36" t="s">
        <v>600</v>
      </c>
      <c r="C237" s="37" t="s">
        <v>1390</v>
      </c>
      <c r="D237" s="44" t="s">
        <v>1575</v>
      </c>
      <c r="E237" s="44" t="s">
        <v>1753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1575</v>
      </c>
      <c r="E238" s="44" t="s">
        <v>1753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1575</v>
      </c>
      <c r="E239" s="44" t="s">
        <v>1753</v>
      </c>
    </row>
    <row r="240" spans="1:5">
      <c r="A240" s="55" t="s">
        <v>1733</v>
      </c>
      <c r="B240" s="36" t="s">
        <v>1734</v>
      </c>
      <c r="C240" s="45" t="s">
        <v>1735</v>
      </c>
      <c r="D240" s="44" t="s">
        <v>1575</v>
      </c>
      <c r="E240" s="44" t="s">
        <v>1753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1575</v>
      </c>
      <c r="E241" s="44" t="s">
        <v>1753</v>
      </c>
    </row>
    <row r="242" spans="1:5">
      <c r="A242" s="46" t="s">
        <v>1342</v>
      </c>
      <c r="B242" s="18" t="s">
        <v>605</v>
      </c>
      <c r="C242" s="39" t="s">
        <v>1344</v>
      </c>
      <c r="D242" s="44" t="s">
        <v>1575</v>
      </c>
      <c r="E242" s="44" t="s">
        <v>1753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1575</v>
      </c>
      <c r="E243" s="44" t="s">
        <v>1753</v>
      </c>
    </row>
    <row r="244" spans="1:5">
      <c r="A244" s="44" t="s">
        <v>1343</v>
      </c>
      <c r="B244" s="36" t="s">
        <v>601</v>
      </c>
      <c r="C244" s="37" t="s">
        <v>1345</v>
      </c>
      <c r="D244" s="44" t="s">
        <v>1575</v>
      </c>
      <c r="E244" s="44" t="s">
        <v>1753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1575</v>
      </c>
      <c r="E245" s="44" t="s">
        <v>1753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1575</v>
      </c>
      <c r="E246" s="44" t="s">
        <v>1753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1575</v>
      </c>
      <c r="E247" s="44" t="s">
        <v>1753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1575</v>
      </c>
      <c r="E248" s="44" t="s">
        <v>1753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1575</v>
      </c>
      <c r="E249" s="44" t="s">
        <v>1753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1574</v>
      </c>
      <c r="E250" s="44" t="s">
        <v>1753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1574</v>
      </c>
      <c r="E251" s="44" t="s">
        <v>1753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1575</v>
      </c>
      <c r="E252" s="44" t="s">
        <v>1753</v>
      </c>
    </row>
    <row r="253" spans="1:5">
      <c r="A253" s="44" t="s">
        <v>1622</v>
      </c>
      <c r="B253" s="36" t="s">
        <v>592</v>
      </c>
      <c r="C253" s="45" t="s">
        <v>1623</v>
      </c>
      <c r="D253" s="44" t="s">
        <v>1575</v>
      </c>
      <c r="E253" s="44" t="s">
        <v>1753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1575</v>
      </c>
      <c r="E254" s="44" t="s">
        <v>1753</v>
      </c>
    </row>
    <row r="255" spans="1:5">
      <c r="A255" s="44" t="s">
        <v>1391</v>
      </c>
      <c r="B255" s="36" t="s">
        <v>1317</v>
      </c>
      <c r="C255" s="37" t="s">
        <v>1392</v>
      </c>
      <c r="D255" s="44" t="s">
        <v>1575</v>
      </c>
      <c r="E255" s="44" t="s">
        <v>1753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1575</v>
      </c>
      <c r="E256" s="44" t="s">
        <v>1753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1575</v>
      </c>
      <c r="E257" s="44" t="s">
        <v>1753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1575</v>
      </c>
      <c r="E258" s="44" t="s">
        <v>1753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1575</v>
      </c>
      <c r="E259" s="44" t="s">
        <v>1753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1574</v>
      </c>
      <c r="E260" s="44" t="s">
        <v>1753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1575</v>
      </c>
      <c r="E261" s="44" t="s">
        <v>1753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1575</v>
      </c>
      <c r="E262" s="44" t="s">
        <v>1753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1575</v>
      </c>
      <c r="E263" s="44" t="s">
        <v>1753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1575</v>
      </c>
      <c r="E264" s="44" t="s">
        <v>1753</v>
      </c>
    </row>
    <row r="265" spans="1:5">
      <c r="A265" s="45" t="s">
        <v>1668</v>
      </c>
      <c r="B265" s="36" t="s">
        <v>1669</v>
      </c>
      <c r="C265" s="45" t="s">
        <v>1670</v>
      </c>
      <c r="D265" s="44" t="s">
        <v>1575</v>
      </c>
      <c r="E265" s="44" t="s">
        <v>1753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1574</v>
      </c>
      <c r="E266" s="44" t="s">
        <v>1753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1575</v>
      </c>
      <c r="E267" s="44" t="s">
        <v>1753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1575</v>
      </c>
      <c r="E268" s="44" t="s">
        <v>1753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1575</v>
      </c>
      <c r="E269" s="44" t="s">
        <v>1753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1575</v>
      </c>
      <c r="E270" s="44" t="s">
        <v>1753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1575</v>
      </c>
      <c r="E271" s="44" t="s">
        <v>1753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1575</v>
      </c>
      <c r="E272" s="44" t="s">
        <v>1753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1575</v>
      </c>
      <c r="E273" s="44" t="s">
        <v>1753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1613</v>
      </c>
      <c r="E274" s="44" t="s">
        <v>1753</v>
      </c>
    </row>
    <row r="275" spans="1:5">
      <c r="A275" s="55" t="s">
        <v>1731</v>
      </c>
      <c r="B275" s="36" t="s">
        <v>803</v>
      </c>
      <c r="C275" s="45" t="s">
        <v>1732</v>
      </c>
      <c r="D275" s="44" t="s">
        <v>1613</v>
      </c>
      <c r="E275" s="44" t="s">
        <v>1753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1613</v>
      </c>
      <c r="E276" s="44" t="s">
        <v>1753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1624</v>
      </c>
      <c r="E277" s="44" t="s">
        <v>1753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1624</v>
      </c>
      <c r="E278" s="44" t="s">
        <v>1753</v>
      </c>
    </row>
    <row r="279" spans="1:5">
      <c r="A279" s="44" t="s">
        <v>1484</v>
      </c>
      <c r="B279" s="36" t="s">
        <v>1490</v>
      </c>
      <c r="C279" s="45" t="s">
        <v>1489</v>
      </c>
      <c r="D279" s="44" t="s">
        <v>1574</v>
      </c>
      <c r="E279" s="44" t="s">
        <v>1753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1624</v>
      </c>
      <c r="E280" s="44" t="s">
        <v>1753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1624</v>
      </c>
      <c r="E281" s="44" t="s">
        <v>1753</v>
      </c>
    </row>
    <row r="282" spans="1:5">
      <c r="A282" s="55" t="s">
        <v>1712</v>
      </c>
      <c r="B282" s="36" t="s">
        <v>1334</v>
      </c>
      <c r="C282" s="45" t="s">
        <v>1713</v>
      </c>
      <c r="D282" s="44" t="s">
        <v>1624</v>
      </c>
      <c r="E282" s="44" t="s">
        <v>1753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1624</v>
      </c>
      <c r="E283" s="44" t="s">
        <v>1753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1624</v>
      </c>
      <c r="E284" s="44" t="s">
        <v>1753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1624</v>
      </c>
      <c r="E285" s="44" t="s">
        <v>1753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1624</v>
      </c>
      <c r="E286" s="44" t="s">
        <v>1753</v>
      </c>
    </row>
    <row r="287" spans="1:5">
      <c r="A287" s="44" t="s">
        <v>1393</v>
      </c>
      <c r="B287" s="36" t="s">
        <v>1394</v>
      </c>
      <c r="C287" s="37" t="s">
        <v>1395</v>
      </c>
      <c r="D287" s="44" t="s">
        <v>1624</v>
      </c>
      <c r="E287" s="44" t="s">
        <v>1753</v>
      </c>
    </row>
    <row r="288" spans="1:5">
      <c r="A288" s="53" t="s">
        <v>1545</v>
      </c>
      <c r="B288" s="36" t="s">
        <v>1394</v>
      </c>
      <c r="C288" s="45" t="s">
        <v>1547</v>
      </c>
      <c r="D288" s="44" t="s">
        <v>1624</v>
      </c>
      <c r="E288" s="44" t="s">
        <v>1753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1624</v>
      </c>
      <c r="E289" s="44" t="s">
        <v>1753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1624</v>
      </c>
      <c r="E290" s="44" t="s">
        <v>1753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1624</v>
      </c>
      <c r="E291" s="44" t="s">
        <v>1753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1624</v>
      </c>
      <c r="E292" s="44" t="s">
        <v>1753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1624</v>
      </c>
      <c r="E293" s="44" t="s">
        <v>1753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1624</v>
      </c>
      <c r="E294" s="44" t="s">
        <v>1753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1624</v>
      </c>
      <c r="E295" s="44" t="s">
        <v>1753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1624</v>
      </c>
      <c r="E296" s="44" t="s">
        <v>1753</v>
      </c>
    </row>
    <row r="297" spans="1:5">
      <c r="A297" s="55" t="s">
        <v>1699</v>
      </c>
      <c r="B297" s="36" t="s">
        <v>484</v>
      </c>
      <c r="C297" s="45" t="s">
        <v>1700</v>
      </c>
      <c r="D297" s="44" t="s">
        <v>1624</v>
      </c>
      <c r="E297" s="44" t="s">
        <v>1753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1624</v>
      </c>
      <c r="E298" s="44" t="s">
        <v>1753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1624</v>
      </c>
      <c r="E299" s="44" t="s">
        <v>1753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1624</v>
      </c>
      <c r="E300" s="44" t="s">
        <v>1753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1624</v>
      </c>
      <c r="E301" s="44" t="s">
        <v>1753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1624</v>
      </c>
      <c r="E302" s="44" t="s">
        <v>1753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1624</v>
      </c>
      <c r="E303" s="44" t="s">
        <v>1753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1624</v>
      </c>
      <c r="E304" s="44" t="s">
        <v>1753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1624</v>
      </c>
      <c r="E305" s="44" t="s">
        <v>1753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1624</v>
      </c>
      <c r="E306" s="44" t="s">
        <v>1753</v>
      </c>
    </row>
    <row r="307" spans="1:5">
      <c r="A307" s="17" t="s">
        <v>1764</v>
      </c>
      <c r="B307" s="18" t="s">
        <v>487</v>
      </c>
      <c r="C307" s="45" t="s">
        <v>1765</v>
      </c>
      <c r="D307" s="44" t="s">
        <v>1624</v>
      </c>
      <c r="E307" s="44" t="s">
        <v>1753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1624</v>
      </c>
      <c r="E308" s="44" t="s">
        <v>1753</v>
      </c>
    </row>
    <row r="309" spans="1:5">
      <c r="A309" s="35" t="s">
        <v>1644</v>
      </c>
      <c r="B309" s="36" t="s">
        <v>1645</v>
      </c>
      <c r="C309" s="39" t="s">
        <v>1646</v>
      </c>
      <c r="D309" s="44" t="s">
        <v>1624</v>
      </c>
      <c r="E309" s="44" t="s">
        <v>1753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1624</v>
      </c>
      <c r="E310" s="44" t="s">
        <v>1753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1624</v>
      </c>
      <c r="E311" s="44" t="s">
        <v>1753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1624</v>
      </c>
      <c r="E312" s="44" t="s">
        <v>1753</v>
      </c>
    </row>
    <row r="313" spans="1:5">
      <c r="A313" s="35" t="s">
        <v>1650</v>
      </c>
      <c r="B313" s="36" t="s">
        <v>1651</v>
      </c>
      <c r="C313" s="39" t="s">
        <v>1652</v>
      </c>
      <c r="D313" s="44" t="s">
        <v>1624</v>
      </c>
      <c r="E313" s="44" t="s">
        <v>1753</v>
      </c>
    </row>
    <row r="314" spans="1:5">
      <c r="A314" s="35" t="s">
        <v>1647</v>
      </c>
      <c r="B314" s="36" t="s">
        <v>1648</v>
      </c>
      <c r="C314" s="39" t="s">
        <v>1649</v>
      </c>
      <c r="D314" s="44" t="s">
        <v>1624</v>
      </c>
      <c r="E314" s="44" t="s">
        <v>1753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1624</v>
      </c>
      <c r="E315" s="44" t="s">
        <v>1753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1624</v>
      </c>
      <c r="E316" s="44" t="s">
        <v>1753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1624</v>
      </c>
      <c r="E317" s="44" t="s">
        <v>1753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1624</v>
      </c>
      <c r="E318" s="44" t="s">
        <v>1753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1624</v>
      </c>
      <c r="E319" s="44" t="s">
        <v>1753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1624</v>
      </c>
      <c r="E320" s="44" t="s">
        <v>1753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1624</v>
      </c>
      <c r="E321" s="44" t="s">
        <v>1753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1624</v>
      </c>
      <c r="E322" s="44" t="s">
        <v>1753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1624</v>
      </c>
      <c r="E323" s="44" t="s">
        <v>1753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1624</v>
      </c>
      <c r="E324" s="44" t="s">
        <v>1753</v>
      </c>
    </row>
    <row r="325" spans="1:5">
      <c r="A325" s="45" t="s">
        <v>1674</v>
      </c>
      <c r="B325" s="36" t="s">
        <v>499</v>
      </c>
      <c r="C325" s="45" t="s">
        <v>1675</v>
      </c>
      <c r="D325" s="44" t="s">
        <v>1624</v>
      </c>
      <c r="E325" s="44" t="s">
        <v>1753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1624</v>
      </c>
      <c r="E326" s="44" t="s">
        <v>1753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1624</v>
      </c>
      <c r="E327" s="44" t="s">
        <v>1753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1624</v>
      </c>
      <c r="E328" s="44" t="s">
        <v>1753</v>
      </c>
    </row>
    <row r="329" spans="1:5">
      <c r="A329" s="44" t="s">
        <v>1396</v>
      </c>
      <c r="B329" s="36" t="s">
        <v>879</v>
      </c>
      <c r="C329" s="37" t="s">
        <v>1397</v>
      </c>
      <c r="D329" s="44" t="s">
        <v>1624</v>
      </c>
      <c r="E329" s="44" t="s">
        <v>1753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1624</v>
      </c>
      <c r="E330" s="44" t="s">
        <v>1753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1624</v>
      </c>
      <c r="E331" s="44" t="s">
        <v>1753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1624</v>
      </c>
      <c r="E332" s="44" t="s">
        <v>1753</v>
      </c>
    </row>
    <row r="333" spans="1:5">
      <c r="A333" s="35" t="s">
        <v>67</v>
      </c>
      <c r="B333" s="36" t="s">
        <v>517</v>
      </c>
      <c r="C333" s="37" t="s">
        <v>1551</v>
      </c>
      <c r="D333" s="44" t="s">
        <v>1614</v>
      </c>
      <c r="E333" s="44" t="s">
        <v>1753</v>
      </c>
    </row>
    <row r="334" spans="1:5">
      <c r="A334" s="55" t="s">
        <v>1686</v>
      </c>
      <c r="B334" s="36" t="s">
        <v>517</v>
      </c>
      <c r="C334" s="45" t="s">
        <v>1687</v>
      </c>
      <c r="D334" s="44" t="s">
        <v>1614</v>
      </c>
      <c r="E334" s="44" t="s">
        <v>1753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1614</v>
      </c>
      <c r="E335" s="44" t="s">
        <v>1753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1614</v>
      </c>
      <c r="E336" s="44" t="s">
        <v>1753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1614</v>
      </c>
      <c r="E337" s="44" t="s">
        <v>1753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1614</v>
      </c>
      <c r="E338" s="44" t="s">
        <v>1753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1625</v>
      </c>
      <c r="E339" s="44" t="s">
        <v>1753</v>
      </c>
    </row>
    <row r="340" spans="1:5">
      <c r="A340" s="45" t="s">
        <v>1671</v>
      </c>
      <c r="B340" s="36" t="s">
        <v>1672</v>
      </c>
      <c r="C340" s="45" t="s">
        <v>1673</v>
      </c>
      <c r="D340" s="44" t="s">
        <v>1625</v>
      </c>
      <c r="E340" s="44" t="s">
        <v>1753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1625</v>
      </c>
      <c r="E341" s="44" t="s">
        <v>1753</v>
      </c>
    </row>
    <row r="342" spans="1:5">
      <c r="A342" s="55" t="s">
        <v>1722</v>
      </c>
      <c r="B342" s="36" t="s">
        <v>1723</v>
      </c>
      <c r="C342" s="45" t="s">
        <v>1724</v>
      </c>
      <c r="D342" s="44" t="s">
        <v>1625</v>
      </c>
      <c r="E342" s="44" t="s">
        <v>1753</v>
      </c>
    </row>
    <row r="343" spans="1:5">
      <c r="A343" s="44" t="s">
        <v>1635</v>
      </c>
      <c r="B343" s="36" t="s">
        <v>1653</v>
      </c>
      <c r="C343" s="45" t="s">
        <v>1654</v>
      </c>
      <c r="D343" s="44" t="s">
        <v>1625</v>
      </c>
      <c r="E343" s="44" t="s">
        <v>1753</v>
      </c>
    </row>
    <row r="344" spans="1:5">
      <c r="A344" s="44" t="s">
        <v>1515</v>
      </c>
      <c r="B344" s="36" t="s">
        <v>1516</v>
      </c>
      <c r="C344" s="39" t="s">
        <v>1517</v>
      </c>
      <c r="D344" s="44" t="s">
        <v>1625</v>
      </c>
      <c r="E344" s="44" t="s">
        <v>1753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1625</v>
      </c>
      <c r="E345" s="44" t="s">
        <v>1753</v>
      </c>
    </row>
    <row r="346" spans="1:5">
      <c r="A346" s="55" t="s">
        <v>1716</v>
      </c>
      <c r="B346" s="36" t="s">
        <v>1717</v>
      </c>
      <c r="C346" s="45" t="s">
        <v>1718</v>
      </c>
      <c r="D346" s="44" t="s">
        <v>1625</v>
      </c>
      <c r="E346" s="44" t="s">
        <v>1753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1625</v>
      </c>
      <c r="E347" s="44" t="s">
        <v>1753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1625</v>
      </c>
      <c r="E348" s="44" t="s">
        <v>1753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1625</v>
      </c>
      <c r="E349" s="44" t="s">
        <v>1753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1625</v>
      </c>
      <c r="E350" s="44" t="s">
        <v>1753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1625</v>
      </c>
      <c r="E351" s="44" t="s">
        <v>1753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1625</v>
      </c>
      <c r="E352" s="44" t="s">
        <v>1753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1625</v>
      </c>
      <c r="E353" s="44" t="s">
        <v>1753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1625</v>
      </c>
      <c r="E354" s="44" t="s">
        <v>1753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1625</v>
      </c>
      <c r="E355" s="44" t="s">
        <v>1753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1625</v>
      </c>
      <c r="E356" s="44" t="s">
        <v>1753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1625</v>
      </c>
      <c r="E357" s="44" t="s">
        <v>1753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1625</v>
      </c>
      <c r="E358" s="44" t="s">
        <v>1753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1625</v>
      </c>
      <c r="E359" s="44" t="s">
        <v>1753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1625</v>
      </c>
      <c r="E360" s="44" t="s">
        <v>1753</v>
      </c>
    </row>
    <row r="361" spans="1:5">
      <c r="A361" s="55" t="s">
        <v>1701</v>
      </c>
      <c r="B361" s="36" t="s">
        <v>1702</v>
      </c>
      <c r="C361" s="45" t="s">
        <v>1703</v>
      </c>
      <c r="D361" s="44" t="s">
        <v>1625</v>
      </c>
      <c r="E361" s="44" t="s">
        <v>1753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1625</v>
      </c>
      <c r="E362" s="44" t="s">
        <v>1753</v>
      </c>
    </row>
    <row r="363" spans="1:5">
      <c r="A363" s="55" t="s">
        <v>1704</v>
      </c>
      <c r="B363" s="36" t="s">
        <v>1705</v>
      </c>
      <c r="C363" s="45" t="s">
        <v>1706</v>
      </c>
      <c r="D363" s="44" t="s">
        <v>1625</v>
      </c>
      <c r="E363" s="44" t="s">
        <v>1753</v>
      </c>
    </row>
    <row r="364" spans="1:5">
      <c r="A364" s="55" t="s">
        <v>1696</v>
      </c>
      <c r="B364" s="36" t="s">
        <v>1697</v>
      </c>
      <c r="C364" s="45" t="s">
        <v>1698</v>
      </c>
      <c r="D364" s="44" t="s">
        <v>1625</v>
      </c>
      <c r="E364" s="44" t="s">
        <v>1753</v>
      </c>
    </row>
    <row r="365" spans="1:5">
      <c r="A365" s="44" t="s">
        <v>1398</v>
      </c>
      <c r="B365" s="18" t="s">
        <v>1399</v>
      </c>
      <c r="C365" s="37" t="s">
        <v>1400</v>
      </c>
      <c r="D365" s="44" t="s">
        <v>1625</v>
      </c>
      <c r="E365" s="44" t="s">
        <v>1753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1625</v>
      </c>
      <c r="E366" s="44" t="s">
        <v>1753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1625</v>
      </c>
      <c r="E367" s="44" t="s">
        <v>1753</v>
      </c>
    </row>
    <row r="368" spans="1:5">
      <c r="A368" s="17" t="s">
        <v>1766</v>
      </c>
      <c r="B368" s="36" t="s">
        <v>1767</v>
      </c>
      <c r="C368" s="45" t="s">
        <v>1768</v>
      </c>
      <c r="D368" s="44" t="s">
        <v>1625</v>
      </c>
      <c r="E368" s="44" t="s">
        <v>1753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1625</v>
      </c>
      <c r="E369" s="44" t="s">
        <v>1753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1625</v>
      </c>
      <c r="E370" s="44" t="s">
        <v>1753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1625</v>
      </c>
      <c r="E371" s="44" t="s">
        <v>1753</v>
      </c>
    </row>
    <row r="372" spans="1:5">
      <c r="A372" s="44" t="s">
        <v>1634</v>
      </c>
      <c r="B372" s="18" t="s">
        <v>1656</v>
      </c>
      <c r="C372" s="45" t="s">
        <v>1655</v>
      </c>
      <c r="D372" s="44" t="s">
        <v>1625</v>
      </c>
      <c r="E372" s="44" t="s">
        <v>1753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1625</v>
      </c>
      <c r="E373" s="44" t="s">
        <v>1753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1625</v>
      </c>
      <c r="E374" s="44" t="s">
        <v>1753</v>
      </c>
    </row>
    <row r="375" spans="1:5">
      <c r="A375" s="44" t="s">
        <v>1401</v>
      </c>
      <c r="B375" s="18" t="s">
        <v>1402</v>
      </c>
      <c r="C375" s="37" t="s">
        <v>1403</v>
      </c>
      <c r="D375" s="44" t="s">
        <v>1625</v>
      </c>
      <c r="E375" s="44" t="s">
        <v>1753</v>
      </c>
    </row>
    <row r="376" spans="1:5">
      <c r="A376" s="55" t="s">
        <v>1683</v>
      </c>
      <c r="B376" s="36" t="s">
        <v>1684</v>
      </c>
      <c r="C376" s="45" t="s">
        <v>1685</v>
      </c>
      <c r="D376" s="44" t="s">
        <v>1625</v>
      </c>
      <c r="E376" s="44" t="s">
        <v>1753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1625</v>
      </c>
      <c r="E377" s="44" t="s">
        <v>1753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1625</v>
      </c>
      <c r="E378" s="44" t="s">
        <v>1753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1625</v>
      </c>
      <c r="E379" s="44" t="s">
        <v>1753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1625</v>
      </c>
      <c r="E380" s="44" t="s">
        <v>1753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1625</v>
      </c>
      <c r="E381" s="44" t="s">
        <v>1753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1625</v>
      </c>
      <c r="E382" s="44" t="s">
        <v>1753</v>
      </c>
    </row>
    <row r="383" spans="1:5">
      <c r="A383" s="44" t="s">
        <v>1404</v>
      </c>
      <c r="B383" s="36" t="s">
        <v>1405</v>
      </c>
      <c r="C383" s="37" t="s">
        <v>1406</v>
      </c>
      <c r="D383" s="44" t="s">
        <v>1625</v>
      </c>
      <c r="E383" s="44" t="s">
        <v>1753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1625</v>
      </c>
      <c r="E384" s="44" t="s">
        <v>1753</v>
      </c>
    </row>
    <row r="385" spans="1:5">
      <c r="A385" s="35" t="s">
        <v>1502</v>
      </c>
      <c r="B385" s="36" t="s">
        <v>1518</v>
      </c>
      <c r="C385" s="37" t="s">
        <v>1519</v>
      </c>
      <c r="D385" s="44" t="s">
        <v>1625</v>
      </c>
      <c r="E385" s="44" t="s">
        <v>1753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1625</v>
      </c>
      <c r="E386" s="44" t="s">
        <v>1753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1625</v>
      </c>
      <c r="E387" s="44" t="s">
        <v>1753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1574</v>
      </c>
      <c r="E388" s="44" t="s">
        <v>1753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1625</v>
      </c>
      <c r="E389" s="44" t="s">
        <v>1753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1625</v>
      </c>
      <c r="E390" s="44" t="s">
        <v>1753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1625</v>
      </c>
      <c r="E391" s="44" t="s">
        <v>1753</v>
      </c>
    </row>
    <row r="392" spans="1:5">
      <c r="A392" s="44" t="s">
        <v>1520</v>
      </c>
      <c r="B392" s="36" t="s">
        <v>668</v>
      </c>
      <c r="C392" s="45" t="s">
        <v>1521</v>
      </c>
      <c r="D392" s="44" t="s">
        <v>1625</v>
      </c>
      <c r="E392" s="44" t="s">
        <v>1753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1625</v>
      </c>
      <c r="E393" s="44" t="s">
        <v>1753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1625</v>
      </c>
      <c r="E394" s="44" t="s">
        <v>1753</v>
      </c>
    </row>
    <row r="395" spans="1:5">
      <c r="A395" s="44" t="s">
        <v>1407</v>
      </c>
      <c r="B395" s="36" t="s">
        <v>1408</v>
      </c>
      <c r="C395" s="37" t="s">
        <v>1409</v>
      </c>
      <c r="D395" s="44" t="s">
        <v>1625</v>
      </c>
      <c r="E395" s="44" t="s">
        <v>1753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1625</v>
      </c>
      <c r="E396" s="44" t="s">
        <v>1753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1625</v>
      </c>
      <c r="E397" s="44" t="s">
        <v>1753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1625</v>
      </c>
      <c r="E398" s="44" t="s">
        <v>1753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1625</v>
      </c>
      <c r="E399" s="44" t="s">
        <v>1753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1625</v>
      </c>
      <c r="E400" s="44" t="s">
        <v>1753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1625</v>
      </c>
      <c r="E401" s="44" t="s">
        <v>1753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1625</v>
      </c>
      <c r="E402" s="44" t="s">
        <v>1753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1625</v>
      </c>
      <c r="E403" s="44" t="s">
        <v>1753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1625</v>
      </c>
      <c r="E404" s="44" t="s">
        <v>1753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1625</v>
      </c>
      <c r="E405" s="44" t="s">
        <v>1753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1574</v>
      </c>
      <c r="E406" s="44" t="s">
        <v>1753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1625</v>
      </c>
      <c r="E407" s="44" t="s">
        <v>1753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1574</v>
      </c>
      <c r="E408" s="44" t="s">
        <v>1753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1625</v>
      </c>
      <c r="E409" s="44" t="s">
        <v>1753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1625</v>
      </c>
      <c r="E410" s="44" t="s">
        <v>1753</v>
      </c>
    </row>
    <row r="411" spans="1:5">
      <c r="A411" s="44" t="s">
        <v>1738</v>
      </c>
      <c r="B411" s="36" t="s">
        <v>1739</v>
      </c>
      <c r="C411" s="45" t="s">
        <v>1740</v>
      </c>
      <c r="D411" s="44" t="s">
        <v>1625</v>
      </c>
      <c r="E411" s="44" t="s">
        <v>1753</v>
      </c>
    </row>
    <row r="412" spans="1:5">
      <c r="A412" s="44" t="s">
        <v>1741</v>
      </c>
      <c r="B412" s="36" t="s">
        <v>1742</v>
      </c>
      <c r="C412" s="45" t="s">
        <v>1743</v>
      </c>
      <c r="D412" s="44" t="s">
        <v>1625</v>
      </c>
      <c r="E412" s="44" t="s">
        <v>1753</v>
      </c>
    </row>
    <row r="413" spans="1:5">
      <c r="A413" s="44" t="s">
        <v>1744</v>
      </c>
      <c r="B413" s="36" t="s">
        <v>1745</v>
      </c>
      <c r="C413" s="45" t="s">
        <v>1746</v>
      </c>
      <c r="D413" s="44" t="s">
        <v>1625</v>
      </c>
      <c r="E413" s="44" t="s">
        <v>1753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1574</v>
      </c>
      <c r="E414" s="44" t="s">
        <v>1753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1616</v>
      </c>
      <c r="E415" s="44" t="s">
        <v>1753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1616</v>
      </c>
      <c r="E416" s="44" t="s">
        <v>1753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1616</v>
      </c>
      <c r="E417" s="44" t="s">
        <v>1753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1616</v>
      </c>
      <c r="E418" s="44" t="s">
        <v>1753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1616</v>
      </c>
      <c r="E419" s="44" t="s">
        <v>1753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1616</v>
      </c>
      <c r="E420" s="44" t="s">
        <v>1753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1616</v>
      </c>
      <c r="E421" s="44" t="s">
        <v>1753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1616</v>
      </c>
      <c r="E422" s="44" t="s">
        <v>1753</v>
      </c>
    </row>
    <row r="423" spans="1:5">
      <c r="A423" s="44" t="s">
        <v>1477</v>
      </c>
      <c r="B423" s="36" t="s">
        <v>1558</v>
      </c>
      <c r="C423" s="39" t="s">
        <v>1559</v>
      </c>
      <c r="D423" s="44" t="s">
        <v>1571</v>
      </c>
      <c r="E423" s="44" t="s">
        <v>1752</v>
      </c>
    </row>
    <row r="424" spans="1:5">
      <c r="A424" s="44" t="s">
        <v>1478</v>
      </c>
      <c r="B424" s="36" t="s">
        <v>1560</v>
      </c>
      <c r="C424" s="45" t="s">
        <v>1561</v>
      </c>
      <c r="D424" s="44" t="s">
        <v>1571</v>
      </c>
      <c r="E424" s="44" t="s">
        <v>1752</v>
      </c>
    </row>
    <row r="425" spans="1:5">
      <c r="A425" s="44" t="s">
        <v>1479</v>
      </c>
      <c r="B425" s="36" t="s">
        <v>1562</v>
      </c>
      <c r="C425" s="39" t="s">
        <v>1563</v>
      </c>
      <c r="D425" s="44" t="s">
        <v>1571</v>
      </c>
      <c r="E425" s="44" t="s">
        <v>1752</v>
      </c>
    </row>
    <row r="426" spans="1:5">
      <c r="A426" s="44" t="s">
        <v>1480</v>
      </c>
      <c r="B426" s="36" t="s">
        <v>1564</v>
      </c>
      <c r="C426" s="39" t="s">
        <v>1565</v>
      </c>
      <c r="D426" s="44" t="s">
        <v>1571</v>
      </c>
      <c r="E426" s="44" t="s">
        <v>1752</v>
      </c>
    </row>
    <row r="427" spans="1:5">
      <c r="A427" s="44" t="s">
        <v>1481</v>
      </c>
      <c r="B427" s="36" t="s">
        <v>1566</v>
      </c>
      <c r="C427" s="39" t="s">
        <v>1522</v>
      </c>
      <c r="D427" s="44" t="s">
        <v>1571</v>
      </c>
      <c r="E427" s="44" t="s">
        <v>1752</v>
      </c>
    </row>
    <row r="428" spans="1:5">
      <c r="A428" s="44" t="s">
        <v>1482</v>
      </c>
      <c r="B428" s="36" t="s">
        <v>1567</v>
      </c>
      <c r="C428" s="45" t="s">
        <v>1568</v>
      </c>
      <c r="D428" s="44" t="s">
        <v>1571</v>
      </c>
      <c r="E428" s="44" t="s">
        <v>1752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1613</v>
      </c>
      <c r="E429" s="44" t="s">
        <v>1769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1613</v>
      </c>
      <c r="E430" s="44" t="s">
        <v>1769</v>
      </c>
    </row>
    <row r="431" spans="1:5">
      <c r="A431" s="44" t="s">
        <v>1523</v>
      </c>
      <c r="B431" s="18" t="s">
        <v>561</v>
      </c>
      <c r="C431" s="39" t="s">
        <v>1524</v>
      </c>
      <c r="D431" s="44" t="s">
        <v>1626</v>
      </c>
      <c r="E431" s="44" t="s">
        <v>1753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1626</v>
      </c>
      <c r="E432" s="44" t="s">
        <v>1753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1626</v>
      </c>
      <c r="E433" s="44" t="s">
        <v>1753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1626</v>
      </c>
      <c r="E434" s="44" t="s">
        <v>1753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1626</v>
      </c>
      <c r="E435" s="44" t="s">
        <v>1753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1626</v>
      </c>
      <c r="E436" s="44" t="s">
        <v>1753</v>
      </c>
    </row>
    <row r="437" spans="1:5">
      <c r="A437" s="44" t="s">
        <v>1410</v>
      </c>
      <c r="B437" s="18" t="s">
        <v>558</v>
      </c>
      <c r="C437" s="37" t="s">
        <v>1411</v>
      </c>
      <c r="D437" s="44" t="s">
        <v>1626</v>
      </c>
      <c r="E437" s="44" t="s">
        <v>1753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1626</v>
      </c>
      <c r="E438" s="44" t="s">
        <v>1753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1626</v>
      </c>
      <c r="E439" s="44" t="s">
        <v>1753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1626</v>
      </c>
      <c r="E440" s="44" t="s">
        <v>1753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1626</v>
      </c>
      <c r="E441" s="44" t="s">
        <v>1753</v>
      </c>
    </row>
    <row r="442" spans="1:5">
      <c r="A442" s="44" t="s">
        <v>1412</v>
      </c>
      <c r="B442" s="36" t="s">
        <v>555</v>
      </c>
      <c r="C442" s="37" t="s">
        <v>1413</v>
      </c>
      <c r="D442" s="44" t="s">
        <v>1626</v>
      </c>
      <c r="E442" s="44" t="s">
        <v>1753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1626</v>
      </c>
      <c r="E443" s="44" t="s">
        <v>1753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1626</v>
      </c>
      <c r="E444" s="44" t="s">
        <v>1753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1626</v>
      </c>
      <c r="E445" s="44" t="s">
        <v>1753</v>
      </c>
    </row>
    <row r="446" spans="1:5">
      <c r="A446" s="44" t="s">
        <v>1414</v>
      </c>
      <c r="B446" s="18" t="s">
        <v>558</v>
      </c>
      <c r="C446" s="37" t="s">
        <v>1415</v>
      </c>
      <c r="D446" s="44" t="s">
        <v>1626</v>
      </c>
      <c r="E446" s="44" t="s">
        <v>1753</v>
      </c>
    </row>
    <row r="447" spans="1:5">
      <c r="A447" s="44" t="s">
        <v>1525</v>
      </c>
      <c r="B447" s="18" t="s">
        <v>558</v>
      </c>
      <c r="C447" s="45" t="s">
        <v>1526</v>
      </c>
      <c r="D447" s="44" t="s">
        <v>1626</v>
      </c>
      <c r="E447" s="44" t="s">
        <v>1753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1626</v>
      </c>
      <c r="E448" s="44" t="s">
        <v>1753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1626</v>
      </c>
      <c r="E449" s="44" t="s">
        <v>1753</v>
      </c>
    </row>
    <row r="450" spans="1:5">
      <c r="A450" s="55" t="s">
        <v>1710</v>
      </c>
      <c r="B450" s="36" t="s">
        <v>560</v>
      </c>
      <c r="C450" s="45" t="s">
        <v>1711</v>
      </c>
      <c r="D450" s="44" t="s">
        <v>1626</v>
      </c>
      <c r="E450" s="44" t="s">
        <v>1753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1626</v>
      </c>
      <c r="E451" s="44" t="s">
        <v>1753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1626</v>
      </c>
      <c r="E452" s="44" t="s">
        <v>1753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1626</v>
      </c>
      <c r="E453" s="44" t="s">
        <v>1753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1626</v>
      </c>
      <c r="E454" s="44" t="s">
        <v>1753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1626</v>
      </c>
      <c r="E455" s="44" t="s">
        <v>1753</v>
      </c>
    </row>
    <row r="456" spans="1:5">
      <c r="A456" s="45" t="s">
        <v>1676</v>
      </c>
      <c r="B456" s="36" t="s">
        <v>550</v>
      </c>
      <c r="C456" s="45" t="s">
        <v>1677</v>
      </c>
      <c r="D456" s="44" t="s">
        <v>1626</v>
      </c>
      <c r="E456" s="44" t="s">
        <v>1753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1626</v>
      </c>
      <c r="E457" s="44" t="s">
        <v>1753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1626</v>
      </c>
      <c r="E458" s="44" t="s">
        <v>1753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1626</v>
      </c>
      <c r="E459" s="44" t="s">
        <v>1753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1626</v>
      </c>
      <c r="E460" s="44" t="s">
        <v>1753</v>
      </c>
    </row>
    <row r="461" spans="1:5">
      <c r="A461" s="37" t="s">
        <v>1719</v>
      </c>
      <c r="B461" s="36" t="s">
        <v>1720</v>
      </c>
      <c r="C461" s="45" t="s">
        <v>1721</v>
      </c>
      <c r="D461" s="44" t="s">
        <v>1626</v>
      </c>
      <c r="E461" s="44" t="s">
        <v>1753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1626</v>
      </c>
      <c r="E462" s="44" t="s">
        <v>1753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1626</v>
      </c>
      <c r="E463" s="44" t="s">
        <v>1753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1627</v>
      </c>
      <c r="E464" s="44" t="s">
        <v>1753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1627</v>
      </c>
      <c r="E465" s="44" t="s">
        <v>1753</v>
      </c>
    </row>
    <row r="466" spans="1:5">
      <c r="A466" s="55" t="s">
        <v>1714</v>
      </c>
      <c r="B466" s="36" t="s">
        <v>565</v>
      </c>
      <c r="C466" s="45" t="s">
        <v>1715</v>
      </c>
      <c r="D466" s="44" t="s">
        <v>1627</v>
      </c>
      <c r="E466" s="44" t="s">
        <v>1753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1627</v>
      </c>
      <c r="E467" s="44" t="s">
        <v>1753</v>
      </c>
    </row>
    <row r="468" spans="1:5">
      <c r="A468" s="44" t="s">
        <v>1339</v>
      </c>
      <c r="B468" s="36" t="s">
        <v>1348</v>
      </c>
      <c r="C468" s="37" t="s">
        <v>1349</v>
      </c>
      <c r="D468" s="44" t="s">
        <v>1627</v>
      </c>
      <c r="E468" s="44" t="s">
        <v>1753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1627</v>
      </c>
      <c r="E469" s="44" t="s">
        <v>1753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1627</v>
      </c>
      <c r="E470" s="44" t="s">
        <v>1753</v>
      </c>
    </row>
    <row r="471" spans="1:5">
      <c r="A471" s="44" t="s">
        <v>1775</v>
      </c>
      <c r="B471" s="36" t="s">
        <v>569</v>
      </c>
      <c r="C471" s="45" t="s">
        <v>1777</v>
      </c>
      <c r="D471" s="44" t="s">
        <v>1627</v>
      </c>
      <c r="E471" s="44" t="s">
        <v>1753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1627</v>
      </c>
      <c r="E472" s="44" t="s">
        <v>1753</v>
      </c>
    </row>
    <row r="473" spans="1:5">
      <c r="A473" s="55" t="s">
        <v>1681</v>
      </c>
      <c r="B473" s="36" t="s">
        <v>567</v>
      </c>
      <c r="C473" s="45" t="s">
        <v>1682</v>
      </c>
      <c r="D473" s="44" t="s">
        <v>1627</v>
      </c>
      <c r="E473" s="44" t="s">
        <v>1753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1627</v>
      </c>
      <c r="E474" s="44" t="s">
        <v>1753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1627</v>
      </c>
      <c r="E475" s="44" t="s">
        <v>1753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1627</v>
      </c>
      <c r="E476" s="44" t="s">
        <v>1753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1627</v>
      </c>
      <c r="E477" s="44" t="s">
        <v>1753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1627</v>
      </c>
      <c r="E478" s="44" t="s">
        <v>1753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1627</v>
      </c>
      <c r="E479" s="44" t="s">
        <v>1753</v>
      </c>
    </row>
    <row r="480" spans="1:5">
      <c r="A480" s="44" t="s">
        <v>1416</v>
      </c>
      <c r="B480" s="18" t="s">
        <v>572</v>
      </c>
      <c r="C480" s="37" t="s">
        <v>1417</v>
      </c>
      <c r="D480" s="44" t="s">
        <v>1627</v>
      </c>
      <c r="E480" s="44" t="s">
        <v>1753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1627</v>
      </c>
      <c r="E481" s="44" t="s">
        <v>1753</v>
      </c>
    </row>
    <row r="482" spans="1:5">
      <c r="A482" s="44" t="s">
        <v>1418</v>
      </c>
      <c r="B482" s="18" t="s">
        <v>572</v>
      </c>
      <c r="C482" s="37" t="s">
        <v>1419</v>
      </c>
      <c r="D482" s="44" t="s">
        <v>1627</v>
      </c>
      <c r="E482" s="44" t="s">
        <v>1753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1627</v>
      </c>
      <c r="E483" s="44" t="s">
        <v>1753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1627</v>
      </c>
      <c r="E484" s="44" t="s">
        <v>1753</v>
      </c>
    </row>
    <row r="485" spans="1:5">
      <c r="A485" s="44" t="s">
        <v>1420</v>
      </c>
      <c r="B485" s="36" t="s">
        <v>574</v>
      </c>
      <c r="C485" s="37" t="s">
        <v>1421</v>
      </c>
      <c r="D485" s="44" t="s">
        <v>1627</v>
      </c>
      <c r="E485" s="44" t="s">
        <v>1753</v>
      </c>
    </row>
    <row r="486" spans="1:5">
      <c r="A486" s="44" t="s">
        <v>1776</v>
      </c>
      <c r="B486" s="36" t="s">
        <v>574</v>
      </c>
      <c r="C486" s="45" t="s">
        <v>1778</v>
      </c>
      <c r="D486" s="44" t="s">
        <v>1627</v>
      </c>
      <c r="E486" s="44" t="s">
        <v>1753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1627</v>
      </c>
      <c r="E487" s="44" t="s">
        <v>1753</v>
      </c>
    </row>
    <row r="488" spans="1:5">
      <c r="A488" s="44" t="s">
        <v>1550</v>
      </c>
      <c r="B488" s="36" t="s">
        <v>575</v>
      </c>
      <c r="C488" s="39" t="s">
        <v>1569</v>
      </c>
      <c r="D488" s="44" t="s">
        <v>1627</v>
      </c>
      <c r="E488" s="44" t="s">
        <v>1753</v>
      </c>
    </row>
    <row r="489" spans="1:5">
      <c r="A489" s="44" t="s">
        <v>1527</v>
      </c>
      <c r="B489" s="36" t="s">
        <v>576</v>
      </c>
      <c r="C489" s="39" t="s">
        <v>1528</v>
      </c>
      <c r="D489" s="44" t="s">
        <v>1574</v>
      </c>
      <c r="E489" s="44" t="s">
        <v>1753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1574</v>
      </c>
      <c r="E490" s="44" t="s">
        <v>1753</v>
      </c>
    </row>
    <row r="491" spans="1:5">
      <c r="A491" s="37" t="s">
        <v>1501</v>
      </c>
      <c r="B491" s="36" t="s">
        <v>576</v>
      </c>
      <c r="C491" s="37" t="s">
        <v>1529</v>
      </c>
      <c r="D491" s="44" t="s">
        <v>1574</v>
      </c>
      <c r="E491" s="44" t="s">
        <v>1753</v>
      </c>
    </row>
    <row r="492" spans="1:5">
      <c r="A492" s="44" t="s">
        <v>1422</v>
      </c>
      <c r="B492" s="36" t="s">
        <v>1423</v>
      </c>
      <c r="C492" s="37" t="s">
        <v>1424</v>
      </c>
      <c r="D492" s="44" t="s">
        <v>1627</v>
      </c>
      <c r="E492" s="44" t="s">
        <v>1753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1574</v>
      </c>
      <c r="E493" s="44" t="s">
        <v>1753</v>
      </c>
    </row>
    <row r="494" spans="1:5">
      <c r="A494" s="35" t="s">
        <v>150</v>
      </c>
      <c r="B494" s="36" t="s">
        <v>1500</v>
      </c>
      <c r="C494" s="37" t="s">
        <v>1009</v>
      </c>
      <c r="D494" s="44" t="s">
        <v>1627</v>
      </c>
      <c r="E494" s="44" t="s">
        <v>1753</v>
      </c>
    </row>
    <row r="495" spans="1:5">
      <c r="A495" s="35" t="s">
        <v>1530</v>
      </c>
      <c r="B495" s="36" t="s">
        <v>1500</v>
      </c>
      <c r="C495" s="37" t="s">
        <v>1531</v>
      </c>
      <c r="D495" s="44" t="s">
        <v>1627</v>
      </c>
      <c r="E495" s="44" t="s">
        <v>1753</v>
      </c>
    </row>
    <row r="496" spans="1:5">
      <c r="A496" s="44" t="s">
        <v>1485</v>
      </c>
      <c r="B496" s="36" t="s">
        <v>1487</v>
      </c>
      <c r="C496" s="36" t="s">
        <v>1486</v>
      </c>
      <c r="D496" s="44" t="s">
        <v>1574</v>
      </c>
      <c r="E496" s="44" t="s">
        <v>1753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1616</v>
      </c>
      <c r="E497" s="44" t="s">
        <v>1753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1615</v>
      </c>
      <c r="E498" s="44" t="s">
        <v>1753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1615</v>
      </c>
      <c r="E499" s="44" t="s">
        <v>1753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1615</v>
      </c>
      <c r="E500" s="44" t="s">
        <v>1753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1615</v>
      </c>
      <c r="E501" s="44" t="s">
        <v>1753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1615</v>
      </c>
      <c r="E502" s="44" t="s">
        <v>1753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1615</v>
      </c>
      <c r="E503" s="44" t="s">
        <v>1753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1615</v>
      </c>
      <c r="E504" s="44" t="s">
        <v>1753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1615</v>
      </c>
      <c r="E505" s="44" t="s">
        <v>1753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1615</v>
      </c>
      <c r="E506" s="44" t="s">
        <v>1753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1615</v>
      </c>
      <c r="E507" s="44" t="s">
        <v>1753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1615</v>
      </c>
      <c r="E508" s="44" t="s">
        <v>1753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1615</v>
      </c>
      <c r="E509" s="44" t="s">
        <v>1753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1615</v>
      </c>
      <c r="E510" s="44" t="s">
        <v>1753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1615</v>
      </c>
      <c r="E511" s="44" t="s">
        <v>1753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1615</v>
      </c>
      <c r="E512" s="44" t="s">
        <v>1753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1615</v>
      </c>
      <c r="E513" s="44" t="s">
        <v>1753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1615</v>
      </c>
      <c r="E514" s="44" t="s">
        <v>1753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1615</v>
      </c>
      <c r="E515" s="44" t="s">
        <v>1753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1615</v>
      </c>
      <c r="E516" s="44" t="s">
        <v>1753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1615</v>
      </c>
      <c r="E517" s="44" t="s">
        <v>1753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1615</v>
      </c>
      <c r="E518" s="44" t="s">
        <v>1753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1615</v>
      </c>
      <c r="E519" s="44" t="s">
        <v>1753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1615</v>
      </c>
      <c r="E520" s="44" t="s">
        <v>1753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1615</v>
      </c>
      <c r="E521" s="44" t="s">
        <v>1753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1615</v>
      </c>
      <c r="E522" s="44" t="s">
        <v>1753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1616</v>
      </c>
      <c r="E523" s="44" t="s">
        <v>1753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1616</v>
      </c>
      <c r="E524" s="44" t="s">
        <v>1753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1613</v>
      </c>
      <c r="E525" s="44" t="s">
        <v>1753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1613</v>
      </c>
      <c r="E526" s="44" t="s">
        <v>1753</v>
      </c>
    </row>
    <row r="527" spans="1:5">
      <c r="A527" s="44" t="s">
        <v>1425</v>
      </c>
      <c r="B527" s="36" t="s">
        <v>1426</v>
      </c>
      <c r="C527" s="37" t="s">
        <v>1427</v>
      </c>
      <c r="D527" s="44" t="s">
        <v>1628</v>
      </c>
      <c r="E527" s="44" t="s">
        <v>1753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1628</v>
      </c>
      <c r="E528" s="44" t="s">
        <v>1753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1628</v>
      </c>
      <c r="E529" s="44" t="s">
        <v>1753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1628</v>
      </c>
      <c r="E530" s="44" t="s">
        <v>1753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1628</v>
      </c>
      <c r="E531" s="44" t="s">
        <v>1753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1628</v>
      </c>
      <c r="E532" s="44" t="s">
        <v>1753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1628</v>
      </c>
      <c r="E533" s="44" t="s">
        <v>1753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1628</v>
      </c>
      <c r="E534" s="44" t="s">
        <v>1753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1628</v>
      </c>
      <c r="E535" s="44" t="s">
        <v>1753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1628</v>
      </c>
      <c r="E536" s="44" t="s">
        <v>1753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1628</v>
      </c>
      <c r="E537" s="44" t="s">
        <v>1753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1628</v>
      </c>
      <c r="E538" s="44" t="s">
        <v>1753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1628</v>
      </c>
      <c r="E539" s="44" t="s">
        <v>1753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1628</v>
      </c>
      <c r="E540" s="44" t="s">
        <v>1753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1628</v>
      </c>
      <c r="E541" s="44" t="s">
        <v>1753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1628</v>
      </c>
      <c r="E542" s="44" t="s">
        <v>1753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1628</v>
      </c>
      <c r="E543" s="44" t="s">
        <v>1753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1628</v>
      </c>
      <c r="E544" s="44" t="s">
        <v>1753</v>
      </c>
    </row>
    <row r="545" spans="1:5">
      <c r="A545" s="44" t="s">
        <v>1532</v>
      </c>
      <c r="B545" s="18" t="s">
        <v>1533</v>
      </c>
      <c r="C545" s="39" t="s">
        <v>1534</v>
      </c>
      <c r="D545" s="44" t="s">
        <v>1628</v>
      </c>
      <c r="E545" s="44" t="s">
        <v>1753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1613</v>
      </c>
      <c r="E546" s="44" t="s">
        <v>1753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1613</v>
      </c>
      <c r="E547" s="44" t="s">
        <v>1753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1629</v>
      </c>
      <c r="E548" s="44" t="s">
        <v>1753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1617</v>
      </c>
      <c r="E549" s="44" t="s">
        <v>1753</v>
      </c>
    </row>
    <row r="550" spans="1:5">
      <c r="A550" s="55" t="s">
        <v>1707</v>
      </c>
      <c r="B550" s="36" t="s">
        <v>1708</v>
      </c>
      <c r="C550" s="45" t="s">
        <v>1709</v>
      </c>
      <c r="D550" s="44" t="s">
        <v>1629</v>
      </c>
      <c r="E550" s="44" t="s">
        <v>1753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1629</v>
      </c>
      <c r="E551" s="44" t="s">
        <v>1753</v>
      </c>
    </row>
    <row r="552" spans="1:5">
      <c r="A552" s="17" t="s">
        <v>1770</v>
      </c>
      <c r="B552" s="36" t="s">
        <v>1429</v>
      </c>
      <c r="C552" s="45" t="s">
        <v>1771</v>
      </c>
      <c r="D552" s="44" t="s">
        <v>1629</v>
      </c>
      <c r="E552" s="44" t="s">
        <v>1753</v>
      </c>
    </row>
    <row r="553" spans="1:5">
      <c r="A553" s="44" t="s">
        <v>1428</v>
      </c>
      <c r="B553" s="36" t="s">
        <v>1429</v>
      </c>
      <c r="C553" s="37" t="s">
        <v>1430</v>
      </c>
      <c r="D553" s="44" t="s">
        <v>1629</v>
      </c>
      <c r="E553" s="44" t="s">
        <v>1753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1629</v>
      </c>
      <c r="E554" s="44" t="s">
        <v>1753</v>
      </c>
    </row>
    <row r="555" spans="1:5">
      <c r="A555" s="44" t="s">
        <v>1431</v>
      </c>
      <c r="B555" s="18" t="s">
        <v>522</v>
      </c>
      <c r="C555" s="37" t="s">
        <v>1432</v>
      </c>
      <c r="D555" s="44" t="s">
        <v>1629</v>
      </c>
      <c r="E555" s="44" t="s">
        <v>1753</v>
      </c>
    </row>
    <row r="556" spans="1:5">
      <c r="A556" s="44" t="s">
        <v>1433</v>
      </c>
      <c r="B556" s="36" t="s">
        <v>1429</v>
      </c>
      <c r="C556" s="37" t="s">
        <v>1434</v>
      </c>
      <c r="D556" s="44" t="s">
        <v>1629</v>
      </c>
      <c r="E556" s="44" t="s">
        <v>1753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1629</v>
      </c>
      <c r="E557" s="44" t="s">
        <v>1753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1629</v>
      </c>
      <c r="E558" s="44" t="s">
        <v>1753</v>
      </c>
    </row>
    <row r="559" spans="1:5">
      <c r="A559" s="55" t="s">
        <v>1666</v>
      </c>
      <c r="B559" s="36" t="s">
        <v>528</v>
      </c>
      <c r="C559" s="45" t="s">
        <v>1667</v>
      </c>
      <c r="D559" s="44" t="s">
        <v>1629</v>
      </c>
      <c r="E559" s="44" t="s">
        <v>1753</v>
      </c>
    </row>
    <row r="560" spans="1:5">
      <c r="A560" s="37" t="s">
        <v>1548</v>
      </c>
      <c r="B560" s="36" t="s">
        <v>525</v>
      </c>
      <c r="C560" s="39" t="s">
        <v>1549</v>
      </c>
      <c r="D560" s="44" t="s">
        <v>1629</v>
      </c>
      <c r="E560" s="44" t="s">
        <v>1753</v>
      </c>
    </row>
    <row r="561" spans="1:5">
      <c r="A561" s="44" t="s">
        <v>1631</v>
      </c>
      <c r="B561" s="36" t="s">
        <v>1538</v>
      </c>
      <c r="C561" s="45" t="s">
        <v>1659</v>
      </c>
      <c r="D561" s="44" t="s">
        <v>1629</v>
      </c>
      <c r="E561" s="44" t="s">
        <v>1753</v>
      </c>
    </row>
    <row r="562" spans="1:5">
      <c r="A562" s="44" t="s">
        <v>1535</v>
      </c>
      <c r="B562" s="36" t="s">
        <v>525</v>
      </c>
      <c r="C562" s="45" t="s">
        <v>1536</v>
      </c>
      <c r="D562" s="44" t="s">
        <v>1629</v>
      </c>
      <c r="E562" s="44" t="s">
        <v>1753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1629</v>
      </c>
      <c r="E563" s="44" t="s">
        <v>1753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1629</v>
      </c>
      <c r="E564" s="44" t="s">
        <v>1753</v>
      </c>
    </row>
    <row r="565" spans="1:5">
      <c r="A565" s="44" t="s">
        <v>1537</v>
      </c>
      <c r="B565" s="18" t="s">
        <v>1538</v>
      </c>
      <c r="C565" s="45" t="s">
        <v>1539</v>
      </c>
      <c r="D565" s="44" t="s">
        <v>1629</v>
      </c>
      <c r="E565" s="44" t="s">
        <v>1753</v>
      </c>
    </row>
    <row r="566" spans="1:5">
      <c r="A566" s="54" t="s">
        <v>1470</v>
      </c>
      <c r="B566" s="36" t="s">
        <v>1472</v>
      </c>
      <c r="C566" s="37" t="s">
        <v>1471</v>
      </c>
      <c r="D566" s="44" t="s">
        <v>1629</v>
      </c>
      <c r="E566" s="44" t="s">
        <v>1753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1629</v>
      </c>
      <c r="E567" s="44" t="s">
        <v>1753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1629</v>
      </c>
      <c r="E568" s="44" t="s">
        <v>1753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1629</v>
      </c>
      <c r="E569" s="44" t="s">
        <v>1753</v>
      </c>
    </row>
    <row r="570" spans="1:5">
      <c r="A570" s="38" t="s">
        <v>1435</v>
      </c>
      <c r="B570" s="36" t="s">
        <v>529</v>
      </c>
      <c r="C570" s="37" t="s">
        <v>1498</v>
      </c>
      <c r="D570" s="44" t="s">
        <v>1629</v>
      </c>
      <c r="E570" s="44" t="s">
        <v>1753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1629</v>
      </c>
      <c r="E571" s="44" t="s">
        <v>1753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1629</v>
      </c>
      <c r="E572" s="44" t="s">
        <v>1753</v>
      </c>
    </row>
    <row r="573" spans="1:5">
      <c r="A573" s="44" t="s">
        <v>1436</v>
      </c>
      <c r="B573" s="36" t="s">
        <v>530</v>
      </c>
      <c r="C573" s="37" t="s">
        <v>1437</v>
      </c>
      <c r="D573" s="44" t="s">
        <v>1629</v>
      </c>
      <c r="E573" s="44" t="s">
        <v>1753</v>
      </c>
    </row>
    <row r="574" spans="1:5">
      <c r="A574" s="44" t="s">
        <v>1438</v>
      </c>
      <c r="B574" s="18" t="s">
        <v>531</v>
      </c>
      <c r="C574" s="37" t="s">
        <v>1439</v>
      </c>
      <c r="D574" s="44" t="s">
        <v>1629</v>
      </c>
      <c r="E574" s="44" t="s">
        <v>1753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1629</v>
      </c>
      <c r="E575" s="44" t="s">
        <v>1753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1629</v>
      </c>
      <c r="E576" s="44" t="s">
        <v>1753</v>
      </c>
    </row>
    <row r="577" spans="1:5">
      <c r="A577" s="38" t="s">
        <v>1440</v>
      </c>
      <c r="B577" s="36" t="s">
        <v>531</v>
      </c>
      <c r="C577" s="37" t="s">
        <v>1499</v>
      </c>
      <c r="D577" s="44" t="s">
        <v>1629</v>
      </c>
      <c r="E577" s="44" t="s">
        <v>1753</v>
      </c>
    </row>
    <row r="578" spans="1:5">
      <c r="A578" s="38" t="s">
        <v>1540</v>
      </c>
      <c r="B578" s="18" t="s">
        <v>532</v>
      </c>
      <c r="C578" s="37" t="s">
        <v>1541</v>
      </c>
      <c r="D578" s="44" t="s">
        <v>1629</v>
      </c>
      <c r="E578" s="44" t="s">
        <v>1753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1629</v>
      </c>
      <c r="E579" s="44" t="s">
        <v>1753</v>
      </c>
    </row>
    <row r="580" spans="1:5">
      <c r="A580" s="44" t="s">
        <v>1441</v>
      </c>
      <c r="B580" s="36" t="s">
        <v>533</v>
      </c>
      <c r="C580" s="37" t="s">
        <v>1442</v>
      </c>
      <c r="D580" s="44" t="s">
        <v>1629</v>
      </c>
      <c r="E580" s="44" t="s">
        <v>1753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1629</v>
      </c>
      <c r="E581" s="44" t="s">
        <v>1753</v>
      </c>
    </row>
    <row r="582" spans="1:5">
      <c r="A582" s="44" t="s">
        <v>1443</v>
      </c>
      <c r="B582" s="18" t="s">
        <v>534</v>
      </c>
      <c r="C582" s="37" t="s">
        <v>1444</v>
      </c>
      <c r="D582" s="44" t="s">
        <v>1629</v>
      </c>
      <c r="E582" s="44" t="s">
        <v>1753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1629</v>
      </c>
      <c r="E583" s="44" t="s">
        <v>1753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1629</v>
      </c>
      <c r="E584" s="44" t="s">
        <v>1753</v>
      </c>
    </row>
    <row r="585" spans="1:5">
      <c r="A585" s="44" t="s">
        <v>1445</v>
      </c>
      <c r="B585" s="18" t="s">
        <v>535</v>
      </c>
      <c r="C585" s="37" t="s">
        <v>1446</v>
      </c>
      <c r="D585" s="44" t="s">
        <v>1629</v>
      </c>
      <c r="E585" s="44" t="s">
        <v>1753</v>
      </c>
    </row>
    <row r="586" spans="1:5">
      <c r="A586" s="44" t="s">
        <v>1447</v>
      </c>
      <c r="B586" s="36" t="s">
        <v>1448</v>
      </c>
      <c r="C586" s="37" t="s">
        <v>1473</v>
      </c>
      <c r="D586" s="44" t="s">
        <v>1629</v>
      </c>
      <c r="E586" s="44" t="s">
        <v>1753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1629</v>
      </c>
      <c r="E587" s="44" t="s">
        <v>1753</v>
      </c>
    </row>
    <row r="588" spans="1:5">
      <c r="A588" s="44" t="s">
        <v>1449</v>
      </c>
      <c r="B588" s="36" t="s">
        <v>536</v>
      </c>
      <c r="C588" s="37" t="s">
        <v>1474</v>
      </c>
      <c r="D588" s="44" t="s">
        <v>1629</v>
      </c>
      <c r="E588" s="44" t="s">
        <v>1753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1629</v>
      </c>
      <c r="E589" s="44" t="s">
        <v>1753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1629</v>
      </c>
      <c r="E590" s="44" t="s">
        <v>1753</v>
      </c>
    </row>
    <row r="591" spans="1:5">
      <c r="A591" s="44" t="s">
        <v>1450</v>
      </c>
      <c r="B591" s="36" t="s">
        <v>1451</v>
      </c>
      <c r="C591" s="37" t="s">
        <v>1452</v>
      </c>
      <c r="D591" s="44" t="s">
        <v>1629</v>
      </c>
      <c r="E591" s="44" t="s">
        <v>1753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1629</v>
      </c>
      <c r="E592" s="44" t="s">
        <v>1753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1629</v>
      </c>
      <c r="E593" s="44" t="s">
        <v>1753</v>
      </c>
    </row>
    <row r="594" spans="1:5">
      <c r="A594" s="44" t="s">
        <v>1453</v>
      </c>
      <c r="B594" s="36" t="s">
        <v>527</v>
      </c>
      <c r="C594" s="37" t="s">
        <v>1454</v>
      </c>
      <c r="D594" s="44" t="s">
        <v>1629</v>
      </c>
      <c r="E594" s="44" t="s">
        <v>1753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1629</v>
      </c>
      <c r="E595" s="44" t="s">
        <v>1753</v>
      </c>
    </row>
    <row r="596" spans="1:5">
      <c r="A596" s="44" t="s">
        <v>1455</v>
      </c>
      <c r="B596" s="36" t="s">
        <v>1456</v>
      </c>
      <c r="C596" s="39" t="s">
        <v>1457</v>
      </c>
      <c r="D596" s="44" t="s">
        <v>1629</v>
      </c>
      <c r="E596" s="44" t="s">
        <v>1753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1629</v>
      </c>
      <c r="E597" s="44" t="s">
        <v>1753</v>
      </c>
    </row>
    <row r="598" spans="1:5">
      <c r="A598" s="44" t="s">
        <v>1458</v>
      </c>
      <c r="B598" s="18" t="s">
        <v>542</v>
      </c>
      <c r="C598" s="37" t="s">
        <v>1459</v>
      </c>
      <c r="D598" s="44" t="s">
        <v>1630</v>
      </c>
      <c r="E598" s="44" t="s">
        <v>1753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1630</v>
      </c>
      <c r="E599" s="44" t="s">
        <v>1753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1630</v>
      </c>
      <c r="E600" s="44" t="s">
        <v>1753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1630</v>
      </c>
      <c r="E601" s="44" t="s">
        <v>1753</v>
      </c>
    </row>
    <row r="602" spans="1:5">
      <c r="A602" s="44" t="s">
        <v>1460</v>
      </c>
      <c r="B602" s="18" t="s">
        <v>1461</v>
      </c>
      <c r="C602" s="37" t="s">
        <v>1462</v>
      </c>
      <c r="D602" s="44" t="s">
        <v>1630</v>
      </c>
      <c r="E602" s="44" t="s">
        <v>1753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1630</v>
      </c>
      <c r="E603" s="44" t="s">
        <v>1753</v>
      </c>
    </row>
    <row r="604" spans="1:5">
      <c r="A604" s="46" t="s">
        <v>1338</v>
      </c>
      <c r="B604" s="18" t="s">
        <v>1350</v>
      </c>
      <c r="C604" s="45" t="s">
        <v>1351</v>
      </c>
      <c r="D604" s="44" t="s">
        <v>1630</v>
      </c>
      <c r="E604" s="44" t="s">
        <v>1753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1630</v>
      </c>
      <c r="E605" s="44" t="s">
        <v>1753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1630</v>
      </c>
      <c r="E606" s="44" t="s">
        <v>1753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1630</v>
      </c>
      <c r="E607" s="44" t="s">
        <v>1753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1630</v>
      </c>
      <c r="E608" s="44" t="s">
        <v>1753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1630</v>
      </c>
      <c r="E609" s="44" t="s">
        <v>1753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1630</v>
      </c>
      <c r="E610" s="44" t="s">
        <v>1753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1630</v>
      </c>
      <c r="E611" s="44" t="s">
        <v>1753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1630</v>
      </c>
      <c r="E612" s="44" t="s">
        <v>1753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1630</v>
      </c>
      <c r="E613" s="44" t="s">
        <v>1753</v>
      </c>
    </row>
    <row r="614" spans="1:5">
      <c r="A614" s="44" t="s">
        <v>1463</v>
      </c>
      <c r="B614" s="18" t="s">
        <v>541</v>
      </c>
      <c r="C614" s="37" t="s">
        <v>1464</v>
      </c>
      <c r="D614" s="44" t="s">
        <v>1630</v>
      </c>
      <c r="E614" s="44" t="s">
        <v>1753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1630</v>
      </c>
      <c r="E615" s="44" t="s">
        <v>1753</v>
      </c>
    </row>
    <row r="616" spans="1:5">
      <c r="A616" s="44" t="s">
        <v>1465</v>
      </c>
      <c r="B616" s="18" t="s">
        <v>1466</v>
      </c>
      <c r="C616" s="37" t="s">
        <v>1467</v>
      </c>
      <c r="D616" s="44" t="s">
        <v>1630</v>
      </c>
      <c r="E616" s="44" t="s">
        <v>1753</v>
      </c>
    </row>
    <row r="617" spans="1:5">
      <c r="A617" s="45" t="s">
        <v>1664</v>
      </c>
      <c r="B617" s="36" t="s">
        <v>543</v>
      </c>
      <c r="C617" s="36" t="s">
        <v>1665</v>
      </c>
      <c r="D617" s="44" t="s">
        <v>1630</v>
      </c>
      <c r="E617" s="44" t="s">
        <v>1753</v>
      </c>
    </row>
    <row r="618" spans="1:5">
      <c r="A618" s="44" t="s">
        <v>1468</v>
      </c>
      <c r="B618" s="18" t="s">
        <v>544</v>
      </c>
      <c r="C618" s="37" t="s">
        <v>1469</v>
      </c>
      <c r="D618" s="44" t="s">
        <v>1630</v>
      </c>
      <c r="E618" s="44" t="s">
        <v>1753</v>
      </c>
    </row>
    <row r="619" spans="1:5">
      <c r="A619" s="17" t="s">
        <v>1772</v>
      </c>
      <c r="B619" s="18" t="s">
        <v>544</v>
      </c>
      <c r="C619" s="39" t="s">
        <v>1773</v>
      </c>
      <c r="D619" s="44" t="s">
        <v>1630</v>
      </c>
      <c r="E619" s="44" t="s">
        <v>1753</v>
      </c>
    </row>
    <row r="620" spans="1:5">
      <c r="A620" s="44" t="s">
        <v>1795</v>
      </c>
      <c r="B620" s="58" t="s">
        <v>1796</v>
      </c>
      <c r="C620" s="45" t="s">
        <v>1797</v>
      </c>
      <c r="D620" s="44" t="s">
        <v>1629</v>
      </c>
      <c r="E620" s="44" t="s">
        <v>1753</v>
      </c>
    </row>
    <row r="621" spans="1:5">
      <c r="A621" s="44" t="s">
        <v>1798</v>
      </c>
      <c r="B621" s="58" t="s">
        <v>1799</v>
      </c>
      <c r="C621" s="45" t="s">
        <v>1800</v>
      </c>
      <c r="D621" s="44" t="s">
        <v>1629</v>
      </c>
      <c r="E621" s="44" t="s">
        <v>1753</v>
      </c>
    </row>
    <row r="622" spans="1:5">
      <c r="A622" s="44" t="s">
        <v>1792</v>
      </c>
      <c r="B622" s="56" t="s">
        <v>1651</v>
      </c>
      <c r="C622" s="45" t="s">
        <v>1810</v>
      </c>
      <c r="D622" s="44" t="s">
        <v>1624</v>
      </c>
      <c r="E622" s="44" t="s">
        <v>1753</v>
      </c>
    </row>
    <row r="623" spans="1:5">
      <c r="A623" s="44" t="s">
        <v>1794</v>
      </c>
      <c r="B623" s="56" t="s">
        <v>1801</v>
      </c>
      <c r="C623" s="45" t="s">
        <v>1811</v>
      </c>
      <c r="D623" s="44" t="s">
        <v>1624</v>
      </c>
      <c r="E623" s="44" t="s">
        <v>1753</v>
      </c>
    </row>
    <row r="624" spans="1:5">
      <c r="A624" s="44" t="s">
        <v>1793</v>
      </c>
      <c r="B624" s="56" t="s">
        <v>1648</v>
      </c>
      <c r="C624" s="45" t="s">
        <v>1812</v>
      </c>
      <c r="D624" s="44" t="s">
        <v>1624</v>
      </c>
      <c r="E624" s="44" t="s">
        <v>1753</v>
      </c>
    </row>
    <row r="625" spans="1:5">
      <c r="A625" s="44" t="s">
        <v>1802</v>
      </c>
      <c r="B625" s="58" t="s">
        <v>1803</v>
      </c>
      <c r="C625" s="45" t="s">
        <v>1804</v>
      </c>
      <c r="D625" s="44" t="s">
        <v>1629</v>
      </c>
      <c r="E625" s="44" t="s">
        <v>1753</v>
      </c>
    </row>
    <row r="626" spans="1:5">
      <c r="A626" s="44" t="s">
        <v>1791</v>
      </c>
      <c r="B626" s="56" t="s">
        <v>1326</v>
      </c>
      <c r="C626" s="45" t="s">
        <v>1805</v>
      </c>
      <c r="D626" s="44" t="s">
        <v>1624</v>
      </c>
      <c r="E626" s="44" t="s">
        <v>1753</v>
      </c>
    </row>
    <row r="627" spans="1:5">
      <c r="A627" s="44" t="s">
        <v>1789</v>
      </c>
      <c r="B627" s="56" t="s">
        <v>755</v>
      </c>
      <c r="C627" s="57" t="s">
        <v>1806</v>
      </c>
      <c r="D627" s="44" t="s">
        <v>1618</v>
      </c>
      <c r="E627" s="44" t="s">
        <v>1753</v>
      </c>
    </row>
    <row r="628" spans="1:5">
      <c r="A628" s="44" t="s">
        <v>1790</v>
      </c>
      <c r="B628" s="56" t="s">
        <v>520</v>
      </c>
      <c r="C628" s="45" t="s">
        <v>1813</v>
      </c>
      <c r="D628" s="44" t="s">
        <v>1614</v>
      </c>
      <c r="E628" s="44" t="s">
        <v>1753</v>
      </c>
    </row>
    <row r="629" spans="1:5">
      <c r="A629" s="44" t="s">
        <v>1784</v>
      </c>
      <c r="B629" s="56" t="s">
        <v>1814</v>
      </c>
      <c r="C629" s="45" t="s">
        <v>1815</v>
      </c>
      <c r="D629" s="44" t="s">
        <v>1618</v>
      </c>
      <c r="E629" s="44" t="s">
        <v>1753</v>
      </c>
    </row>
    <row r="630" spans="1:5">
      <c r="A630" s="44" t="s">
        <v>1785</v>
      </c>
      <c r="B630" s="56" t="s">
        <v>739</v>
      </c>
      <c r="C630" s="45" t="s">
        <v>1816</v>
      </c>
      <c r="D630" s="44" t="s">
        <v>1618</v>
      </c>
      <c r="E630" s="44" t="s">
        <v>1753</v>
      </c>
    </row>
    <row r="631" spans="1:5">
      <c r="A631" s="44" t="s">
        <v>1786</v>
      </c>
      <c r="B631" s="56" t="s">
        <v>741</v>
      </c>
      <c r="C631" s="45" t="s">
        <v>1817</v>
      </c>
      <c r="D631" s="44" t="s">
        <v>1618</v>
      </c>
      <c r="E631" s="44" t="s">
        <v>1753</v>
      </c>
    </row>
    <row r="632" spans="1:5">
      <c r="A632" s="44" t="s">
        <v>1787</v>
      </c>
      <c r="B632" s="56" t="s">
        <v>1818</v>
      </c>
      <c r="C632" s="45" t="s">
        <v>1819</v>
      </c>
      <c r="D632" s="44" t="s">
        <v>1618</v>
      </c>
      <c r="E632" s="44" t="s">
        <v>1753</v>
      </c>
    </row>
    <row r="633" spans="1:5">
      <c r="A633" s="44" t="s">
        <v>1788</v>
      </c>
      <c r="B633" s="56" t="s">
        <v>725</v>
      </c>
      <c r="C633" s="45" t="s">
        <v>1820</v>
      </c>
      <c r="D633" s="44" t="s">
        <v>1618</v>
      </c>
      <c r="E633" s="44" t="s">
        <v>1753</v>
      </c>
    </row>
    <row r="634" spans="1:5">
      <c r="A634" s="44" t="s">
        <v>1807</v>
      </c>
      <c r="B634" t="s">
        <v>1821</v>
      </c>
      <c r="D634" s="44" t="s">
        <v>1615</v>
      </c>
      <c r="E634" s="44" t="s">
        <v>1753</v>
      </c>
    </row>
    <row r="635" spans="1:5">
      <c r="A635" s="44" t="s">
        <v>1808</v>
      </c>
      <c r="B635" s="56" t="s">
        <v>1822</v>
      </c>
      <c r="C635" s="45" t="s">
        <v>1823</v>
      </c>
      <c r="D635" s="44" t="s">
        <v>1615</v>
      </c>
      <c r="E635" s="44" t="s">
        <v>1753</v>
      </c>
    </row>
    <row r="636" spans="1:5">
      <c r="A636" s="44" t="s">
        <v>1809</v>
      </c>
      <c r="B636" s="56" t="s">
        <v>1824</v>
      </c>
      <c r="C636" s="45" t="s">
        <v>1825</v>
      </c>
      <c r="D636" s="44" t="s">
        <v>1615</v>
      </c>
      <c r="E636" s="44" t="s">
        <v>1753</v>
      </c>
    </row>
    <row r="637" spans="1:5">
      <c r="A637" s="44" t="s">
        <v>1841</v>
      </c>
      <c r="B637" t="s">
        <v>1843</v>
      </c>
      <c r="D637" s="44" t="s">
        <v>1615</v>
      </c>
      <c r="E637" s="44" t="s">
        <v>1753</v>
      </c>
    </row>
    <row r="638" spans="1:5">
      <c r="A638" s="44" t="s">
        <v>1842</v>
      </c>
      <c r="B638" t="s">
        <v>1843</v>
      </c>
      <c r="D638" s="44" t="s">
        <v>1615</v>
      </c>
      <c r="E638" s="44" t="s">
        <v>1753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2026-10-01T08:03:58Z</dcterms:modified>
</cp:coreProperties>
</file>