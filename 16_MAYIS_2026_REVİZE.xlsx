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11" documentId="8_{04D112BD-6BD0-48D2-BCD0-B02DB0158664}" xr6:coauthVersionLast="47" xr6:coauthVersionMax="47" xr10:uidLastSave="{1E56F22F-E184-4F77-AA99-649A87DC313D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2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6" i="1"/>
  <c r="N365" i="1"/>
  <c r="N364" i="1"/>
  <c r="N363" i="1"/>
  <c r="N361" i="1"/>
  <c r="N360" i="1"/>
  <c r="N359" i="1"/>
  <c r="N358" i="1"/>
  <c r="N357" i="1"/>
  <c r="N356" i="1"/>
  <c r="N355" i="1"/>
  <c r="N354" i="1"/>
  <c r="N352" i="1"/>
  <c r="N351" i="1"/>
  <c r="N350" i="1"/>
  <c r="N349" i="1"/>
  <c r="N348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5" i="1"/>
  <c r="N44" i="1"/>
  <c r="N43" i="1"/>
  <c r="N42" i="1"/>
  <c r="N41" i="1"/>
  <c r="N40" i="1"/>
  <c r="N39" i="1"/>
  <c r="AA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3" authorId="0" shapeId="0" xr:uid="{9C08368F-8292-4AD3-99AF-F4505729A1E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<sst xmlns="http://schemas.openxmlformats.org/spreadsheetml/2006/main" count="2433" uniqueCount="1618">
  <si>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</si>
  <si>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</si>
  <si>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</si>
  <si>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</si>
  <si>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</si>
  <si>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</si>
  <si>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</si>
  <si>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</si>
  <si>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</si>
  <si>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</si>
  <si>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</si>
  <si>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</si>
  <si>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</si>
  <si>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</si>
  <si>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</si>
  <si>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</si>
  <si>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</si>
  <si>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</si>
  <si>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</si>
  <si>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</si>
  <si>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</si>
  <si>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</si>
  <si>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</si>
  <si>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</si>
  <si>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</si>
  <si>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</si>
  <si>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</si>
  <si>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</si>
  <si>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</si>
  <si>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</si>
  <si>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</si>
  <si>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</si>
  <si>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</si>
  <si>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</si>
  <si>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</si>
  <si>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</si>
  <si>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</si>
  <si>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</si>
  <si>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</si>
  <si>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</si>
  <si>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</si>
  <si>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</si>
  <si>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</si>
  <si>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</si>
  <si>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</si>
  <si>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</si>
  <si>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</si>
  <si>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</si>
  <si>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</si>
  <si>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</si>
  <si>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</si>
  <si>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</si>
  <si>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</si>
  <si>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</si>
  <si>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</si>
  <si>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</si>
  <si>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</si>
  <si>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</si>
  <si>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</si>
  <si>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</si>
  <si>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</si>
  <si>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</si>
  <si>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</si>
  <si>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</si>
  <si>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</si>
  <si>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</si>
  <si>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</si>
  <si>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</si>
  <si>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</si>
  <si>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</si>
  <si>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</si>
  <si>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</si>
  <si>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</si>
  <si>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</si>
  <si>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</si>
  <si>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</si>
  <si>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</si>
  <si>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</si>
  <si>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</si>
  <si>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</si>
  <si>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</si>
  <si>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</si>
  <si>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</si>
  <si>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</si>
  <si>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</si>
  <si>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</si>
  <si>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</si>
  <si>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</si>
  <si>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</si>
  <si>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</si>
  <si>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</si>
  <si>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</si>
  <si>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</si>
  <si>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</si>
  <si>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</si>
  <si>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</si>
  <si>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</si>
  <si>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</si>
  <si>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</si>
  <si>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</si>
  <si>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</si>
  <si>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</si>
  <si>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</si>
  <si>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</si>
  <si>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</si>
  <si>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</si>
  <si>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</si>
  <si>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</si>
  <si>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</si>
  <si>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</si>
  <si>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</si>
  <si>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</si>
  <si>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</si>
  <si>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</si>
  <si>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</si>
  <si>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</si>
  <si>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</si>
  <si>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</si>
  <si>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</si>
  <si>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</si>
  <si>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</si>
  <si>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</si>
  <si>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</si>
  <si>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</si>
  <si>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</si>
  <si>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</si>
  <si>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</si>
  <si>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</si>
  <si>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</si>
  <si>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</si>
  <si>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</si>
  <si>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</si>
  <si>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</si>
  <si>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</si>
  <si>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</si>
  <si>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</si>
  <si>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</si>
  <si>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</si>
  <si>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</si>
  <si>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</si>
  <si>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</si>
  <si>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</si>
  <si>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</si>
  <si>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</si>
  <si>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</si>
  <si>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</si>
  <si>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</si>
  <si>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</si>
  <si>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</si>
  <si>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</si>
  <si>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</si>
  <si>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</si>
  <si>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</si>
  <si>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</si>
  <si>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</si>
  <si>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</si>
  <si>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</si>
  <si>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</si>
  <si>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</si>
  <si>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</si>
  <si>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</si>
  <si>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</si>
  <si>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</si>
  <si>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</si>
  <si>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</si>
  <si>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</si>
  <si>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</si>
  <si>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</si>
  <si>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</si>
  <si>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</si>
  <si>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</si>
  <si>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</si>
  <si>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</si>
  <si>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</si>
  <si>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</si>
  <si>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</si>
  <si>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</si>
  <si>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</si>
  <si>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</si>
  <si>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</si>
  <si>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</si>
  <si>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</si>
  <si>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</si>
  <si>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</si>
  <si>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</si>
  <si>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</si>
  <si>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</si>
  <si>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</si>
  <si>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</si>
  <si>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</si>
  <si>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</si>
  <si>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</si>
  <si>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</si>
  <si>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</si>
  <si>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</si>
  <si>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</si>
  <si>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</si>
  <si>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</si>
  <si>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</si>
  <si>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</si>
  <si>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</si>
  <si>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</si>
  <si>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</si>
  <si>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</si>
  <si>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</si>
  <si>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</si>
  <si>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</si>
  <si>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</si>
  <si>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</si>
  <si>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</si>
  <si>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</si>
  <si>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</si>
  <si>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</si>
  <si>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</si>
  <si>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</si>
  <si>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</si>
  <si>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</si>
  <si>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</si>
  <si>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</si>
  <si>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</si>
  <si>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</si>
  <si>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</si>
  <si>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</si>
  <si>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</si>
  <si>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</si>
  <si>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</si>
  <si>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</si>
  <si>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</si>
  <si>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</si>
  <si>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</si>
  <si>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</si>
  <si>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</si>
  <si>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</si>
  <si>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</si>
  <si>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</si>
  <si>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</si>
  <si>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</si>
  <si>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</si>
  <si>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</si>
  <si>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</si>
  <si>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</si>
  <si>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</si>
  <si>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</si>
  <si>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</si>
  <si>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</si>
  <si>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</si>
  <si>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</si>
  <si>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</si>
  <si>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</si>
  <si>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</si>
  <si>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</si>
  <si>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</si>
  <si>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</si>
  <si>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</si>
  <si>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</si>
  <si>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</si>
  <si>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</si>
  <si>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</si>
  <si>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</si>
  <si>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</si>
  <si>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</si>
  <si>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</si>
  <si>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</si>
  <si>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</si>
  <si>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</si>
  <si>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</si>
  <si>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</si>
  <si>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</si>
  <si>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</si>
  <si>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</si>
  <si>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</si>
  <si>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</si>
  <si>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</si>
  <si>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</si>
  <si>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</si>
  <si>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</si>
  <si>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</si>
  <si>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</si>
  <si>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</si>
  <si>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</si>
  <si>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</si>
  <si>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</si>
  <si>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</si>
  <si>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</si>
  <si>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</si>
  <si>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</si>
  <si>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</si>
  <si>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</si>
  <si>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</si>
  <si>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</si>
  <si>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</si>
  <si>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</si>
  <si>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</si>
  <si>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</si>
  <si>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</si>
  <si>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</si>
  <si>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</si>
  <si>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</si>
  <si>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</si>
  <si>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</si>
  <si>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</si>
  <si>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</si>
  <si>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</si>
  <si>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</si>
  <si>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</si>
  <si>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</si>
  <si>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</si>
  <si>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</si>
  <si>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</si>
  <si>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</si>
  <si>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</si>
  <si>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</si>
  <si>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</si>
  <si>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</si>
  <si>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</si>
  <si>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</si>
  <si>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</si>
  <si>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</si>
  <si>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</si>
  <si>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</si>
  <si>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</si>
  <si>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</si>
  <si>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</si>
  <si>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</si>
  <si>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</si>
  <si>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</si>
  <si>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</si>
  <si>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</si>
  <si>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</si>
  <si>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</si>
  <si>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</si>
  <si>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</si>
  <si>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</si>
  <si>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</si>
  <si>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</si>
  <si>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</si>
  <si>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</si>
  <si>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</si>
  <si>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</si>
  <si>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</si>
  <si>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</si>
  <si>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</si>
  <si>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</si>
  <si>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</si>
  <si>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</si>
  <si>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</si>
  <si>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</si>
  <si>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</si>
  <si>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</si>
  <si>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</si>
  <si>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</si>
  <si>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</si>
  <si>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</si>
  <si>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</si>
  <si>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</si>
  <si>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</si>
  <si>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</si>
  <si>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</si>
  <si>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</si>
  <si>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</si>
  <si>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</si>
  <si>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</si>
  <si>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</si>
  <si>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</si>
  <si>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</si>
  <si>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</si>
  <si>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</si>
  <si>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</si>
  <si>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</si>
  <si>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</si>
  <si>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</si>
  <si>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</si>
  <si>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</si>
  <si>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</si>
  <si>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</si>
  <si>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</si>
  <si>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</si>
  <si>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</si>
  <si>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</si>
  <si>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</si>
  <si>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</si>
  <si>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</si>
  <si>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</si>
  <si>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</si>
  <si>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</si>
  <si>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</si>
  <si>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</si>
  <si>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</si>
  <si>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</si>
  <si>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</si>
  <si>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</si>
  <si>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</si>
  <si>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</si>
  <si>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</si>
  <si>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</si>
  <si>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</si>
  <si>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</si>
  <si>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</si>
  <si>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</si>
  <si>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</si>
  <si>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</si>
  <si>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</si>
  <si>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</si>
  <si>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</si>
  <si>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</si>
  <si>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</si>
  <si>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</si>
  <si>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</si>
  <si>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</si>
  <si>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</si>
  <si>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</si>
  <si>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</si>
  <si>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</si>
  <si>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</si>
  <si>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</si>
  <si>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</si>
  <si>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</si>
  <si>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</si>
  <si>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</si>
  <si>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</si>
  <si>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</si>
  <si>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</si>
  <si>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</si>
  <si>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</si>
  <si>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</si>
  <si>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</si>
  <si>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</si>
  <si>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</si>
  <si>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</si>
  <si>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</si>
  <si>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</si>
  <si>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</si>
  <si>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</si>
  <si>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</si>
  <si>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</si>
  <si>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</si>
  <si>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</si>
  <si>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</si>
  <si>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</si>
  <si>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</si>
  <si>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</si>
  <si>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</si>
  <si>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</si>
  <si>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</si>
  <si>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</si>
  <si>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</si>
  <si>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</si>
  <si>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</si>
  <si>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</si>
  <si>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</si>
  <si>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</si>
  <si>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</si>
  <si>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</si>
  <si>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</si>
  <si>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</si>
  <si>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</si>
  <si>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</si>
  <si>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</si>
  <si>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</si>
  <si>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</si>
  <si>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</si>
  <si>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</si>
  <si>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</si>
  <si>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</si>
  <si>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</si>
  <si>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</si>
  <si>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</si>
  <si>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</si>
  <si>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</si>
  <si>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</si>
  <si>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</si>
  <si>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</si>
  <si>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</si>
  <si>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</si>
  <si>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</si>
  <si>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</si>
  <si>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</si>
  <si>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</si>
  <si>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</si>
  <si>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</si>
  <si>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</si>
  <si>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</si>
  <si>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</si>
  <si>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</si>
  <si>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</si>
  <si>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</si>
  <si>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</si>
  <si>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</si>
  <si>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</si>
  <si>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</si>
  <si>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</si>
  <si>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</si>
  <si>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</si>
  <si>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</si>
  <si>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</si>
  <si>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</si>
  <si>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</si>
  <si>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</si>
  <si>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</si>
  <si>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</si>
  <si>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</si>
  <si>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</si>
  <si>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</si>
  <si>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</si>
  <si>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</si>
  <si>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</si>
  <si>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</si>
  <si>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</si>
  <si>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</si>
  <si>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</si>
  <si>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</si>
  <si>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</si>
  <si>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</si>
  <si>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</si>
  <si>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</si>
  <si>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</si>
  <si>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</si>
  <si>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</si>
  <si>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</si>
  <si>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</si>
  <si>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</si>
  <si>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</si>
  <si>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</si>
  <si>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</si>
  <si>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</si>
  <si>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</si>
  <si>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</si>
  <si>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</si>
  <si>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</si>
  <si>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</si>
  <si>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</si>
  <si>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</si>
  <si>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</si>
  <si>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</si>
  <si>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</si>
  <si>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</si>
  <si>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</si>
  <si>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</si>
  <si>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</si>
  <si>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</si>
  <si>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</si>
  <si>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</si>
  <si>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</si>
  <si>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</si>
  <si>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</si>
  <si>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</si>
  <si>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</si>
  <si>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</si>
  <si>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</si>
  <si>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</si>
  <si>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</si>
  <si>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</si>
  <si>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</si>
  <si>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</si>
  <si>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</si>
  <si>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</si>
  <si>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</si>
  <si>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</si>
  <si>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</si>
  <si>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</si>
  <si>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</si>
  <si>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</si>
  <si>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</si>
  <si>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</si>
  <si>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</si>
  <si>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</si>
  <si>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</si>
  <si>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</si>
  <si>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</si>
  <si>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</si>
  <si>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</si>
  <si>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</si>
  <si>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</si>
  <si>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</si>
  <si>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</si>
  <si>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</si>
  <si>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</si>
  <si>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</si>
  <si>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</si>
  <si>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</si>
  <si>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</si>
  <si>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</si>
  <si>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</si>
  <si>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</si>
  <si>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</si>
  <si>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</si>
  <si>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</si>
  <si>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</si>
  <si>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</si>
  <si>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</si>
  <si>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</si>
  <si>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</si>
  <si>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</si>
  <si>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</si>
  <si>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</si>
  <si>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</si>
  <si>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</si>
  <si>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</si>
  <si>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</si>
  <si>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</si>
  <si>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</si>
  <si>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</si>
  <si>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</si>
  <si>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</si>
  <si>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</si>
  <si>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</si>
  <si>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</si>
  <si>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</si>
  <si>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</si>
  <si>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</si>
  <si>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</si>
  <si>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</si>
  <si>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</si>
  <si>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</si>
  <si>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</si>
  <si>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</si>
  <si>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</si>
  <si>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</si>
  <si>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</si>
  <si>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</si>
  <si>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</si>
  <si>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</si>
  <si>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</si>
  <si>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</si>
  <si>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</si>
  <si>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</si>
  <si>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</si>
  <si>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</si>
  <si>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</si>
  <si>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</si>
  <si>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</si>
  <si>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</si>
  <si>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</si>
  <si>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</si>
  <si>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</si>
  <si>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</si>
  <si>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</si>
  <si>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</si>
  <si>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</si>
  <si>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</si>
  <si>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</si>
  <si>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</si>
  <si>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</si>
  <si>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</si>
  <si>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</si>
  <si>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</si>
  <si>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</si>
  <si>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</si>
  <si>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</si>
  <si>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</si>
  <si>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</si>
  <si>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</si>
  <si>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</si>
  <si>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</si>
  <si>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</si>
  <si>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</si>
  <si>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</si>
  <si>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</si>
  <si>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</si>
  <si>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</si>
  <si>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</si>
  <si>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</si>
  <si>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</si>
  <si>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</si>
  <si>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</si>
  <si>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</si>
  <si>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</si>
  <si>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</si>
  <si>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</si>
  <si>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</si>
  <si>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</si>
  <si>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</si>
  <si>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</si>
  <si>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</si>
  <si>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</si>
  <si>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</si>
  <si>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</si>
  <si>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</si>
  <si>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</si>
  <si>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</si>
  <si>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</si>
  <si>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</si>
  <si>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</si>
  <si>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</si>
  <si>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</si>
  <si>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</si>
  <si>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</si>
  <si>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</si>
  <si>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</si>
  <si>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</si>
  <si>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</si>
  <si>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</si>
  <si>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</si>
  <si>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</si>
  <si>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</si>
  <si>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</si>
  <si>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</si>
  <si>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</si>
  <si>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</si>
  <si>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</si>
  <si>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</si>
  <si>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</si>
  <si>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</si>
  <si>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</si>
  <si>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</si>
  <si>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</si>
  <si>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</si>
  <si>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</si>
  <si>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</si>
  <si>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</si>
  <si>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</si>
  <si>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</si>
  <si>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</si>
  <si>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</si>
  <si>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</si>
  <si>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</si>
  <si>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</si>
  <si>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</si>
  <si>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</si>
  <si>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</si>
  <si>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</si>
  <si>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</si>
  <si>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</si>
  <si>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</si>
  <si>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</si>
  <si>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</si>
  <si>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</si>
  <si>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</si>
  <si>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</si>
  <si>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</si>
  <si>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</si>
  <si>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</si>
  <si>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</si>
  <si>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</si>
  <si>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</si>
  <si>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</si>
  <si>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</si>
  <si>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</si>
  <si>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</si>
  <si>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</si>
  <si>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</si>
  <si>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</si>
  <si>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</si>
  <si>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</si>
  <si>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</si>
  <si>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</si>
  <si>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</si>
  <si>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</si>
  <si>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</si>
  <si>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</si>
  <si>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</si>
  <si>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</si>
  <si>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</si>
  <si>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</si>
  <si>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</si>
  <si>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</si>
  <si>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</si>
  <si>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</si>
  <si>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</si>
  <si>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</si>
  <si>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</si>
  <si>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</si>
  <si>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</si>
  <si>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</si>
  <si>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</si>
  <si>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</si>
  <si>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</si>
  <si>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</si>
  <si>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</si>
  <si>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</si>
  <si>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</si>
  <si>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</si>
  <si>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</si>
  <si>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</si>
  <si>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</si>
  <si>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</si>
  <si>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</si>
  <si>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</si>
  <si>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</si>
  <si>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</si>
  <si>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</si>
  <si>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</si>
  <si>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</si>
  <si>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</si>
  <si>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</si>
  <si>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</si>
  <si>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</si>
  <si>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</si>
  <si>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</si>
  <si>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</si>
  <si>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</si>
  <si>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</si>
  <si>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</si>
  <si>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</si>
  <si>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</si>
  <si>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</si>
  <si>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</si>
  <si>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</si>
  <si>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</si>
  <si>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</si>
  <si>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</si>
  <si>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</si>
  <si>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</si>
  <si>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</si>
  <si>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</si>
  <si>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</si>
  <si>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</si>
  <si>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</si>
  <si>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</si>
  <si>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</si>
  <si>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</si>
  <si>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</si>
  <si>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</si>
  <si>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</si>
  <si>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</si>
  <si>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</si>
  <si>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</si>
  <si>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</si>
  <si>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</si>
  <si>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</si>
  <si>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</si>
  <si>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</si>
  <si>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</si>
  <si>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</si>
  <si>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</si>
  <si>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</si>
  <si>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</si>
  <si>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</si>
  <si>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</si>
  <si>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</si>
  <si>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</si>
  <si>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</si>
  <si>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</si>
  <si>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</si>
  <si>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</si>
  <si>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</si>
  <si>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</si>
  <si>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</si>
  <si>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</si>
  <si>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</si>
  <si>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</si>
  <si>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</si>
  <si>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</si>
  <si>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</si>
  <si>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</si>
  <si>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</si>
  <si>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</si>
  <si>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</si>
  <si>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</si>
  <si>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</si>
  <si>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</si>
  <si>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</si>
  <si>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</si>
  <si>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</si>
  <si>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</si>
  <si>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</si>
  <si>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</si>
  <si>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</si>
  <si>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</si>
  <si>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</si>
  <si>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</si>
  <si>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</si>
  <si>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</si>
  <si>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</si>
  <si>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</si>
  <si>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</si>
  <si>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</si>
  <si>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</si>
  <si>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</si>
  <si>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</si>
  <si>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</si>
  <si>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</si>
  <si>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</si>
  <si>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</si>
  <si>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</si>
  <si>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</si>
  <si>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</si>
  <si>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</si>
  <si>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</si>
  <si>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</si>
  <si>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</si>
  <si>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</si>
  <si>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</si>
  <si>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</si>
  <si>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</si>
  <si>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</si>
  <si>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</si>
  <si>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</si>
  <si>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</si>
  <si>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</si>
  <si>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</si>
  <si>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</si>
  <si>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</si>
  <si>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</si>
  <si>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</si>
  <si>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</si>
  <si>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</si>
  <si>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</si>
  <si>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</si>
  <si>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</si>
  <si>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</si>
  <si>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</si>
  <si>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</si>
  <si>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</si>
  <si>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</si>
  <si>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</si>
  <si>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</si>
  <si>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</si>
  <si>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</si>
  <si>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</si>
  <si>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</si>
  <si>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</si>
  <si>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</si>
  <si>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</si>
  <si>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</si>
  <si>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</si>
  <si>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</si>
  <si>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</si>
  <si>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</si>
  <si>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</si>
  <si>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</si>
  <si>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</si>
  <si>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</si>
  <si>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</si>
  <si>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</si>
  <si>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</si>
  <si>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</si>
  <si>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</si>
  <si>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</si>
  <si>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</si>
  <si>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</si>
  <si>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</si>
  <si>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</si>
  <si>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</si>
  <si>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</si>
  <si>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</si>
  <si>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</si>
  <si>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</si>
  <si>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</si>
  <si>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</si>
  <si>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</si>
  <si>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</si>
  <si>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</si>
  <si>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</si>
  <si>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</si>
  <si>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</si>
  <si>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</si>
  <si>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</si>
  <si>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</si>
  <si>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</si>
  <si>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</si>
  <si>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</si>
  <si>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</si>
  <si>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</si>
  <si>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</si>
  <si>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</si>
  <si>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</si>
  <si>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</si>
  <si>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</si>
  <si>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</si>
  <si>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</si>
  <si>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</si>
  <si>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</si>
  <si>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</si>
  <si>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</si>
  <si>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</si>
  <si>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</si>
  <si>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</si>
  <si>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</si>
  <si>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</si>
  <si>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</si>
  <si>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</si>
  <si>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</si>
  <si>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</si>
  <si>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</si>
  <si>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</si>
  <si>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</si>
  <si>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</si>
  <si>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</si>
  <si>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</si>
  <si>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</si>
  <si>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</si>
  <si>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</si>
  <si>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</si>
  <si>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</si>
  <si>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</si>
  <si>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</si>
  <si>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</si>
  <si>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</si>
  <si>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</si>
  <si>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</si>
  <si>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</si>
  <si>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</si>
  <si>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</si>
  <si>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</si>
  <si>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</si>
  <si>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</si>
  <si>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</si>
  <si>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</si>
  <si>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</si>
  <si>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</si>
  <si>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</si>
  <si>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</si>
  <si>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</si>
  <si>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</si>
  <si>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</si>
  <si>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</si>
  <si>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</si>
  <si>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</si>
  <si>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</si>
  <si>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</si>
  <si>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</si>
  <si>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</si>
  <si>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</si>
  <si>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</si>
  <si>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</si>
  <si>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</si>
  <si>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</si>
  <si>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</si>
  <si>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</si>
  <si>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</si>
  <si>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</si>
  <si>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</si>
  <si>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</si>
  <si>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</si>
  <si>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</si>
  <si>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</si>
  <si>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</si>
  <si>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</si>
  <si>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</si>
  <si>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</si>
  <si>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</si>
  <si>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</si>
  <si>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</si>
  <si>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</si>
  <si>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</si>
  <si>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</si>
  <si>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</si>
  <si>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</si>
  <si>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</si>
  <si>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</si>
  <si>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</si>
  <si>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</si>
  <si>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</si>
  <si>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</si>
  <si>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</si>
  <si>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</si>
  <si>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</si>
  <si>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</si>
  <si>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</si>
  <si>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</si>
  <si>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</si>
  <si>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</si>
  <si>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</si>
  <si>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</si>
  <si>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</si>
  <si>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</si>
  <si>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</si>
  <si>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</si>
  <si>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</si>
  <si>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</si>
  <si>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</si>
  <si>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</si>
  <si>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</si>
  <si>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</si>
  <si>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</si>
  <si>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</si>
  <si>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</si>
  <si>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</si>
  <si>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</si>
  <si>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</si>
  <si>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</si>
  <si>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</si>
  <si>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</si>
  <si>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</si>
  <si>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</si>
  <si>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</si>
  <si>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</si>
  <si>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</si>
  <si>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</si>
  <si>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</si>
  <si>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</si>
  <si>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</si>
  <si>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</si>
  <si>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</si>
  <si>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</si>
  <si>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</si>
  <si>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</si>
  <si>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</si>
  <si>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</si>
  <si>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</si>
  <si>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</si>
  <si>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</si>
  <si>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</si>
  <si>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</si>
  <si>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</si>
  <si>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</si>
  <si>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</si>
  <si>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</si>
  <si>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</si>
  <si>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</si>
  <si>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</si>
  <si>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</si>
  <si>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</si>
  <si>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</si>
  <si>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</si>
  <si>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</si>
  <si>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</si>
  <si>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</si>
  <si>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</si>
  <si>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</si>
  <si>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</si>
  <si>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</si>
  <si>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</si>
  <si>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</si>
  <si>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</si>
  <si>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</si>
  <si>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</si>
  <si>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</si>
  <si>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</si>
  <si>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</si>
  <si>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</si>
  <si>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</si>
  <si>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</si>
  <si>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</si>
  <si>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</si>
  <si>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</si>
  <si>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</si>
  <si>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</si>
  <si>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</si>
  <si>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</si>
  <si>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</si>
  <si>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</si>
  <si>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</si>
  <si>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</si>
  <si>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</si>
  <si>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</si>
  <si>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</si>
  <si>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</si>
  <si>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</si>
  <si>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</si>
  <si>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</si>
  <si>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</si>
  <si>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</si>
  <si>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</si>
  <si>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</si>
  <si>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</si>
  <si>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</si>
  <si>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</si>
  <si>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</si>
  <si>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</si>
  <si>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</si>
  <si>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</si>
  <si>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</si>
  <si>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</si>
  <si>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</si>
  <si>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</si>
  <si>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</si>
  <si>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</si>
  <si>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</si>
  <si>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</si>
  <si>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</si>
  <si>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</si>
  <si>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</si>
  <si>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</si>
  <si>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</si>
  <si>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</si>
  <si>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</si>
  <si>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</si>
  <si>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</si>
  <si>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</si>
  <si>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</si>
  <si>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</si>
  <si>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</si>
  <si>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</si>
  <si>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</si>
  <si>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</si>
  <si>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</si>
  <si>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</si>
  <si>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</si>
  <si>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</si>
  <si>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</si>
  <si>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</si>
  <si>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</si>
  <si>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</si>
  <si>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</si>
  <si>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</si>
  <si>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</si>
  <si>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</si>
  <si>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</si>
  <si>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</si>
  <si>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</si>
  <si>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</si>
  <si>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</si>
  <si>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</si>
  <si>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</si>
  <si>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</si>
  <si>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</si>
  <si>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</si>
  <si>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</si>
  <si>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</si>
  <si>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</si>
  <si>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</si>
  <si>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</si>
  <si>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</si>
  <si>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</si>
  <si>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</si>
  <si>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</si>
  <si>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</si>
  <si>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</si>
  <si>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</si>
  <si>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</si>
  <si>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</si>
  <si>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</si>
  <si>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</si>
  <si>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</si>
  <si>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</si>
  <si>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</si>
  <si>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</si>
  <si>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</si>
  <si>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</si>
  <si>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</si>
  <si>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</si>
  <si>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</si>
  <si>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</si>
  <si>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</si>
  <si>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</si>
  <si>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</si>
  <si>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</si>
  <si>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</si>
  <si>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</si>
  <si>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</si>
  <si>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</si>
  <si>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</si>
  <si>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</si>
  <si>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</si>
  <si>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</si>
  <si>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</si>
  <si>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</si>
  <si>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</si>
  <si>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</si>
  <si>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</si>
  <si>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</si>
  <si>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</si>
  <si>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</si>
  <si>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</si>
  <si>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</si>
  <si>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</si>
  <si>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</si>
  <si>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</si>
  <si>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</si>
  <si>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</si>
  <si>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</si>
  <si>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</si>
  <si>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</si>
  <si>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</si>
  <si>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</si>
  <si>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</si>
  <si>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</si>
  <si>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</si>
  <si>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</si>
  <si>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</si>
  <si>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</si>
  <si>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</si>
  <si>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</si>
  <si>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</si>
  <si>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</si>
  <si>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</si>
  <si>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</si>
  <si>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</si>
  <si>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</si>
  <si>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</si>
  <si>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</si>
  <si>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</si>
  <si>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</si>
  <si>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</si>
  <si>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</si>
  <si>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</si>
  <si>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</si>
  <si>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</si>
  <si>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</si>
  <si>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</si>
  <si>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</si>
  <si>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</si>
  <si>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</si>
  <si>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</si>
  <si>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</si>
  <si>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</si>
  <si>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</si>
  <si>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</si>
  <si>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</si>
  <si>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</si>
  <si>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</si>
  <si>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</si>
  <si>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</si>
  <si>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</si>
  <si>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</si>
  <si>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</si>
  <si>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</si>
  <si>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</si>
  <si>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</si>
  <si>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</si>
  <si>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</si>
  <si>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</si>
  <si>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</si>
  <si>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</si>
  <si>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</si>
  <si>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</si>
  <si>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</si>
  <si>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</si>
  <si>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</si>
  <si>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</si>
  <si>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</si>
  <si>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</si>
  <si>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</si>
  <si>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</si>
  <si>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</si>
  <si>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</si>
  <si>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</si>
  <si>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</si>
  <si>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</si>
  <si>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</si>
  <si>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</si>
  <si>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</si>
  <si>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</si>
  <si>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</si>
  <si>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</si>
  <si>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</si>
  <si>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</si>
  <si>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</si>
  <si>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</si>
  <si>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</si>
  <si>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</si>
  <si>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</si>
  <si>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</si>
  <si>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</si>
  <si>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</si>
  <si>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</si>
  <si>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</si>
  <si>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</si>
  <si>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</si>
  <si>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</si>
  <si>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</si>
  <si>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</si>
  <si>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</si>
  <si>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</si>
  <si>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</si>
  <si>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</si>
  <si>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</si>
  <si>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</si>
  <si>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</si>
  <si>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</si>
  <si>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</si>
  <si>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</si>
  <si>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</si>
  <si>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</si>
  <si>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</si>
  <si>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</si>
  <si>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</si>
  <si>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</si>
  <si>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</si>
  <si>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</si>
  <si>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</si>
  <si>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</si>
  <si>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</si>
  <si>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</si>
  <si>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</si>
  <si>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</si>
  <si>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</si>
  <si>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</si>
  <si>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</si>
  <si>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</si>
  <si>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</si>
  <si>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</si>
  <si>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</si>
  <si>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</si>
  <si>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</si>
  <si>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</si>
  <si>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</si>
  <si>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</si>
  <si>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</si>
  <si>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</si>
  <si>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</si>
  <si>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</si>
  <si>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</si>
  <si>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</si>
  <si>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</si>
  <si>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</si>
  <si>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</si>
  <si>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</si>
  <si>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</si>
  <si>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</si>
  <si>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</si>
  <si>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</si>
  <si>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</si>
  <si>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</si>
  <si>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</si>
  <si>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</si>
  <si>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</si>
  <si>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</si>
  <si>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</si>
  <si>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</si>
  <si>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</si>
  <si>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</si>
  <si>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</si>
  <si>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</si>
  <si>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</si>
  <si>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</si>
  <si>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</si>
  <si>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</si>
  <si>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</si>
  <si>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</si>
  <si>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</si>
  <si>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</si>
  <si>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</si>
  <si>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</si>
  <si>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</si>
  <si>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</si>
  <si>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</si>
  <si>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</si>
  <si>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</si>
  <si>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</si>
  <si>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</si>
  <si>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</si>
  <si>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</si>
  <si>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</si>
  <si>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</si>
  <si>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</si>
  <si>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</si>
  <si>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</si>
  <si>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</si>
  <si>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</si>
  <si>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</si>
  <si>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</si>
  <si>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</si>
  <si>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</si>
  <si>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</si>
  <si>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</si>
  <si>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</si>
  <si>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</si>
  <si>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</si>
  <si>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</si>
  <si>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</si>
  <si>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</si>
  <si>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</si>
  <si>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</si>
  <si>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</si>
  <si>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</si>
  <si>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</si>
  <si>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</si>
  <si>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</si>
  <si>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</si>
  <si>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</si>
  <si>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</si>
  <si>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</si>
  <si>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</si>
  <si>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</si>
  <si>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</si>
  <si>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</si>
  <si>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</si>
  <si>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</si>
  <si>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</si>
  <si>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</si>
  <si>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</si>
  <si>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</si>
  <si>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</si>
  <si>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</si>
  <si>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</si>
  <si>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</si>
  <si>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</si>
  <si>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</si>
  <si>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</si>
  <si>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</si>
  <si>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</si>
  <si>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</si>
  <si>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</si>
  <si>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</si>
  <si>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</si>
  <si>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</si>
  <si>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</si>
  <si>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</si>
  <si>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</si>
  <si>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</si>
  <si>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</si>
  <si>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</si>
  <si>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</si>
  <si>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</si>
  <si>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</si>
  <si>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</si>
  <si>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</si>
  <si>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</si>
  <si>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</si>
  <si>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</si>
  <si>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</si>
  <si>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</si>
  <si>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</si>
  <si>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</si>
  <si>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</si>
  <si>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</si>
  <si>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</si>
  <si>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</si>
  <si>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</si>
  <si>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</si>
  <si>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</si>
  <si>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</si>
  <si>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</si>
  <si>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</si>
  <si>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</si>
  <si>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</si>
  <si>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</si>
  <si>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</si>
  <si>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</si>
  <si>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</si>
  <si>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</si>
  <si>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</si>
  <si>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</si>
  <si>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</si>
  <si>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</si>
  <si>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</si>
  <si>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</si>
  <si>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</si>
  <si>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</si>
  <si>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</si>
  <si>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</si>
  <si>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</si>
  <si>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</si>
  <si>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</si>
  <si>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</si>
  <si>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</si>
  <si>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</si>
  <si>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</si>
  <si>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</si>
  <si>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</si>
  <si>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</si>
  <si>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</si>
  <si>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</si>
  <si>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</si>
  <si>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</si>
  <si>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</si>
  <si>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</si>
  <si>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</si>
  <si>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</si>
  <si>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</si>
  <si>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</si>
  <si>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</si>
  <si>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</si>
  <si>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</si>
  <si>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</si>
  <si>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</si>
  <si>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</si>
  <si>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</si>
  <si>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</si>
  <si>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</si>
  <si>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</si>
  <si>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</si>
  <si>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</si>
  <si>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</si>
  <si>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</si>
  <si>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</si>
  <si>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</si>
  <si>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</si>
  <si>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</si>
  <si>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</si>
  <si>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</si>
  <si>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</si>
  <si>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</si>
  <si>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</si>
  <si>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</si>
  <si>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</si>
  <si>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</si>
  <si>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</si>
  <si>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</si>
  <si>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</si>
  <si>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</si>
  <si>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</si>
  <si>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</si>
  <si>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</si>
  <si>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</si>
  <si>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</si>
  <si>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</si>
  <si>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</si>
  <si>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</si>
  <si>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</si>
  <si>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</si>
  <si>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</si>
  <si>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</si>
  <si>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</si>
  <si>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</si>
  <si>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</si>
  <si>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</si>
  <si>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</si>
  <si>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</si>
  <si>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</si>
  <si>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</si>
  <si>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</si>
  <si>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</si>
  <si>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</si>
  <si>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11 MAYIS BEKLEYEN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</si>
  <si>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</si>
  <si>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</si>
  <si>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</si>
  <si>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</si>
  <si>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</si>
  <si>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</si>
  <si>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</si>
  <si>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</si>
  <si>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</si>
  <si>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</si>
  <si>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</si>
  <si>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</si>
  <si>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</si>
  <si>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</si>
  <si>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</si>
  <si>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</si>
  <si>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16 MAYIS HOROZ</t>
  </si>
  <si>
    <t>31 MAYIS MONTAJ ZORUNLU</t>
  </si>
  <si>
    <t>1-31 MAYIS ARASI GEÇERLİ</t>
  </si>
  <si>
    <t>AÇIĞA SATIŞI YASAK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</si>
</sst>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164" fontId="15" fillId="11" borderId="0" xfId="1" applyNumberFormat="1" applyFont="1" applyFill="1"/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9"/>
  <sheetViews>
    <sheetView tabSelected="1" zoomScale="90" zoomScaleNormal="90" workbookViewId="0">
      <pane ySplit="1" topLeftCell="A451" activePane="bottomLeft" state="frozen"/>
      <selection pane="bottomLeft" activeCell="A470" sqref="A470"/>
    </sheetView>
  </sheetViews>
  <sheetFormatPr defaultColWidth="17.85546875" defaultRowHeight="17.25"/>
  <cols>
    <col min="1" max="1" width="16.42578125" style="142" customWidth="1"/>
    <col min="2" max="2" width="52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6.140625" style="40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1614</v>
      </c>
      <c r="D1" s="46" t="s">
        <v>1562</v>
      </c>
      <c r="E1" s="3" t="s">
        <v>1554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1547</v>
      </c>
      <c r="M1" s="5" t="s">
        <v>6</v>
      </c>
      <c r="N1" s="6" t="s">
        <v>7</v>
      </c>
      <c r="O1" s="133" t="s">
        <v>1597</v>
      </c>
      <c r="P1" s="175" t="s">
        <v>1559</v>
      </c>
      <c r="Q1" s="115" t="s">
        <v>1548</v>
      </c>
      <c r="R1" s="184" t="s">
        <v>1592</v>
      </c>
      <c r="S1" s="75" t="s">
        <v>8</v>
      </c>
      <c r="T1" s="44" t="s">
        <v>9</v>
      </c>
      <c r="U1" s="189" t="s">
        <v>1599</v>
      </c>
      <c r="V1" s="187" t="s">
        <v>1561</v>
      </c>
      <c r="W1" s="181" t="s">
        <v>1590</v>
      </c>
      <c r="X1" s="104" t="s">
        <v>466</v>
      </c>
      <c r="Y1" s="21" t="s">
        <v>1591</v>
      </c>
      <c r="Z1" s="7" t="s">
        <v>1595</v>
      </c>
      <c r="AA1" s="7" t="s">
        <v>1596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1593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1549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1549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1549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1593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17</v>
      </c>
      <c r="B10" s="51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12">
        <v>0</v>
      </c>
      <c r="V10" s="74"/>
      <c r="W10" s="74"/>
      <c r="X10" s="14">
        <v>250</v>
      </c>
    </row>
    <row r="11" spans="1:28">
      <c r="A11" s="22" t="s">
        <v>18</v>
      </c>
      <c r="B11" s="51" t="str">
        <f>IFERROR(HYPERLINK(VLOOKUP(A11,ÜRÜNLER!A:C,3,FALSE),VLOOKUP(A11,ÜRÜNLER!A:B,2,FALSE)),"")</f>
        <v>iQ500 Üstten Donduruculu Kulplu Buzdolabı, 75cm, Inox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2">
        <v>86823.059269679696</v>
      </c>
      <c r="V11" s="13">
        <v>17957.13321692613</v>
      </c>
      <c r="W11" s="13"/>
      <c r="X11" s="14"/>
    </row>
    <row r="12" spans="1:28">
      <c r="A12" s="22" t="s">
        <v>1551</v>
      </c>
      <c r="B12" s="51" t="str">
        <f>IFERROR(HYPERLINK(VLOOKUP(A12,ÜRÜNLER!A:C,3,FALSE),VLOOKUP(A12,ÜRÜNLER!A:B,2,FALSE)),"")</f>
        <v>iQ500 Üstten Donduruculu Kulplu Buzdolabı, 75cm, Beyaz</v>
      </c>
      <c r="C12" s="8">
        <v>10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10</v>
      </c>
      <c r="O12" s="135"/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2">
        <v>60681.803651162787</v>
      </c>
      <c r="V12" s="13"/>
      <c r="W12" s="13"/>
      <c r="X12" s="14"/>
    </row>
    <row r="13" spans="1:28">
      <c r="A13" s="22" t="s">
        <v>19</v>
      </c>
      <c r="B13" s="51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1593</v>
      </c>
      <c r="S13" s="15">
        <v>60000</v>
      </c>
      <c r="T13" s="12">
        <v>62400</v>
      </c>
      <c r="U13" s="12">
        <v>64800</v>
      </c>
      <c r="V13" s="13"/>
      <c r="W13" s="13"/>
      <c r="X13" s="14"/>
    </row>
    <row r="14" spans="1:28">
      <c r="A14" s="140" t="s">
        <v>20</v>
      </c>
      <c r="B14" s="51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7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2">
        <v>69316.016467731752</v>
      </c>
      <c r="V14" s="13">
        <v>10174.63100847265</v>
      </c>
      <c r="W14" s="13"/>
      <c r="X14" s="17"/>
    </row>
    <row r="15" spans="1:28">
      <c r="A15" s="140" t="s">
        <v>21</v>
      </c>
      <c r="B15" s="51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11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2">
        <v>64181.496729381251</v>
      </c>
      <c r="V15" s="13">
        <v>6746.6652317899279</v>
      </c>
      <c r="W15" s="13"/>
      <c r="X15" s="17"/>
    </row>
    <row r="16" spans="1:28">
      <c r="A16" s="140" t="s">
        <v>1325</v>
      </c>
      <c r="B16" s="51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1593</v>
      </c>
      <c r="S16" s="25">
        <v>75000</v>
      </c>
      <c r="T16" s="12">
        <v>78000</v>
      </c>
      <c r="U16" s="12">
        <v>81000</v>
      </c>
      <c r="V16" s="13"/>
      <c r="W16" s="13"/>
      <c r="X16" s="14">
        <v>250</v>
      </c>
    </row>
    <row r="17" spans="1:28">
      <c r="A17" s="22" t="s">
        <v>22</v>
      </c>
      <c r="B17" s="51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2">
        <v>100215.72313109436</v>
      </c>
      <c r="V17" s="13">
        <v>19655.225557354974</v>
      </c>
      <c r="W17" s="13"/>
      <c r="X17" s="14"/>
    </row>
    <row r="18" spans="1:28">
      <c r="A18" s="22" t="s">
        <v>25</v>
      </c>
      <c r="B18" s="51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2">
        <v>87201.744193642124</v>
      </c>
      <c r="V18" s="13">
        <v>13613.960599345839</v>
      </c>
      <c r="W18" s="13"/>
      <c r="X18" s="14"/>
    </row>
    <row r="19" spans="1:28" s="16" customFormat="1">
      <c r="A19" s="22" t="s">
        <v>26</v>
      </c>
      <c r="B19" s="51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1593</v>
      </c>
      <c r="S19" s="15">
        <v>55000</v>
      </c>
      <c r="T19" s="12">
        <v>57200</v>
      </c>
      <c r="U19" s="12">
        <v>59400</v>
      </c>
      <c r="V19" s="13"/>
      <c r="W19" s="13"/>
      <c r="X19" s="14">
        <v>250</v>
      </c>
      <c r="Y19"/>
      <c r="Z19"/>
      <c r="AA19"/>
      <c r="AB19"/>
    </row>
    <row r="20" spans="1:28">
      <c r="A20" s="140" t="s">
        <v>27</v>
      </c>
      <c r="B20" s="51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1593</v>
      </c>
      <c r="S20" s="15">
        <v>40000</v>
      </c>
      <c r="T20" s="12">
        <v>41600</v>
      </c>
      <c r="U20" s="12">
        <v>43200</v>
      </c>
      <c r="V20" s="13"/>
      <c r="W20" s="13"/>
      <c r="X20" s="14">
        <v>250</v>
      </c>
      <c r="Y20" s="16"/>
    </row>
    <row r="21" spans="1:28">
      <c r="A21" s="22" t="s">
        <v>28</v>
      </c>
      <c r="B21" s="51" t="str">
        <f>IFERROR(HYPERLINK(VLOOKUP(A21,ÜRÜNLER!A:C,3,FALSE),VLOOKUP(A21,ÜRÜNLER!A:B,2,FALSE)),"")</f>
        <v>iQ300 Alttan Donduruculu Kulpsuz Buzdolabı, 70cm, Inox</v>
      </c>
      <c r="C21" s="8">
        <v>102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111</v>
      </c>
      <c r="O21" s="135"/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2">
        <v>68547.191951281915</v>
      </c>
      <c r="V21" s="13">
        <v>11930.087293391967</v>
      </c>
      <c r="W21" s="13"/>
      <c r="Z21" s="27" t="s">
        <v>1594</v>
      </c>
    </row>
    <row r="22" spans="1:28">
      <c r="A22" s="22" t="s">
        <v>29</v>
      </c>
      <c r="B22" s="51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2">
        <v>58522.076860066263</v>
      </c>
      <c r="V22" s="13">
        <v>7884.4101043304327</v>
      </c>
      <c r="W22" s="13"/>
      <c r="Z22" s="14"/>
    </row>
    <row r="23" spans="1:28">
      <c r="A23" s="22" t="s">
        <v>30</v>
      </c>
      <c r="B23" s="51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2">
        <v>55376.311678526625</v>
      </c>
      <c r="V23" s="13">
        <v>6515.0603397210361</v>
      </c>
      <c r="W23" s="13"/>
      <c r="Z23" s="27" t="s">
        <v>1594</v>
      </c>
    </row>
    <row r="24" spans="1:28">
      <c r="A24" s="22" t="s">
        <v>31</v>
      </c>
      <c r="B24" s="51" t="str">
        <f>IFERROR(HYPERLINK(VLOOKUP(A24,ÜRÜNLER!A:C,3,FALSE),VLOOKUP(A24,ÜRÜNLER!A:B,2,FALSE)),"")</f>
        <v>iQ300 Alttan Donduruculu Kulpsuz Buzdolabı, 70cm, Beyaz</v>
      </c>
      <c r="C24" s="8">
        <v>1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4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2">
        <v>50540.449705259409</v>
      </c>
      <c r="V24" s="13">
        <v>6164.154550520122</v>
      </c>
      <c r="W24" s="13"/>
      <c r="Z24" s="27" t="s">
        <v>1594</v>
      </c>
    </row>
    <row r="25" spans="1:28">
      <c r="A25" s="139" t="s">
        <v>32</v>
      </c>
      <c r="B25" s="51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2">
        <v>62711.087751140709</v>
      </c>
      <c r="V25" s="13"/>
      <c r="W25" s="13"/>
      <c r="Z25" s="27" t="s">
        <v>1594</v>
      </c>
    </row>
    <row r="26" spans="1:28">
      <c r="A26" s="141" t="s">
        <v>33</v>
      </c>
      <c r="B26" s="51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1593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34</v>
      </c>
      <c r="B27" s="51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1593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141" t="s">
        <v>35</v>
      </c>
      <c r="B28" s="51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1593</v>
      </c>
      <c r="S28" s="19">
        <v>48000</v>
      </c>
      <c r="T28" s="12">
        <v>49920</v>
      </c>
      <c r="U28" s="12">
        <v>51840</v>
      </c>
      <c r="V28" s="13"/>
      <c r="W28" s="13"/>
      <c r="X28" s="106">
        <v>500</v>
      </c>
    </row>
    <row r="29" spans="1:28">
      <c r="A29" s="22" t="s">
        <v>36</v>
      </c>
      <c r="B29" s="51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1593</v>
      </c>
      <c r="S29" s="19">
        <v>48000</v>
      </c>
      <c r="T29" s="12">
        <v>49920</v>
      </c>
      <c r="U29" s="12">
        <v>51840</v>
      </c>
      <c r="V29" s="13"/>
      <c r="W29" s="13"/>
      <c r="X29" s="14"/>
    </row>
    <row r="30" spans="1:28">
      <c r="A30" s="22" t="s">
        <v>37</v>
      </c>
      <c r="B30" s="51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2">
        <v>72405.549121963253</v>
      </c>
      <c r="V30" s="13"/>
      <c r="W30" s="13"/>
      <c r="X30" s="101">
        <v>250</v>
      </c>
    </row>
    <row r="31" spans="1:28">
      <c r="A31" s="22" t="s">
        <v>38</v>
      </c>
      <c r="B31" s="51" t="str">
        <f>IFERROR(HYPERLINK(VLOOKUP(A31,ÜRÜNLER!A:C,3,FALSE),VLOOKUP(A31,ÜRÜNLER!A:B,2,FALSE)),"")</f>
        <v>iQ500 Alttan Donduruculu Kulplu Buzdolabı, 75cm, Inox</v>
      </c>
      <c r="C31" s="8">
        <v>27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33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2">
        <v>88292.488443619979</v>
      </c>
      <c r="V31" s="13">
        <v>18545.842170268705</v>
      </c>
      <c r="W31" s="13"/>
      <c r="X31" s="14"/>
      <c r="Y31" s="20"/>
    </row>
    <row r="32" spans="1:28" s="20" customFormat="1">
      <c r="A32" s="22" t="s">
        <v>39</v>
      </c>
      <c r="B32" s="51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14224.113521943873</v>
      </c>
      <c r="W32" s="13"/>
      <c r="X32" s="14"/>
      <c r="Y32"/>
    </row>
    <row r="33" spans="1:27">
      <c r="A33" s="139" t="s">
        <v>40</v>
      </c>
      <c r="B33" s="51" t="str">
        <f>IFERROR(HYPERLINK(VLOOKUP(A33,ÜRÜNLER!A:C,3,FALSE),VLOOKUP(A33,ÜRÜNLER!A:B,2,FALSE)),"")</f>
        <v>iQ500 Alttan Donduruculu Kulpsuz Buzdolabı, 75cm, darkSteel</v>
      </c>
      <c r="C33" s="8">
        <v>13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16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2">
        <v>97626.010882177434</v>
      </c>
      <c r="V33" s="13">
        <v>26079.964366780685</v>
      </c>
      <c r="W33" s="13"/>
      <c r="X33" s="14"/>
    </row>
    <row r="34" spans="1:27">
      <c r="A34" s="22" t="s">
        <v>41</v>
      </c>
      <c r="B34" s="51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35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2">
        <v>79798.880155364997</v>
      </c>
      <c r="V34" s="13">
        <v>16282.345620126092</v>
      </c>
      <c r="W34" s="13"/>
      <c r="X34" s="14"/>
    </row>
    <row r="35" spans="1:27">
      <c r="A35" s="22" t="s">
        <v>42</v>
      </c>
      <c r="B35" s="51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10684.307914929945</v>
      </c>
      <c r="W35" s="13"/>
      <c r="X35" s="14"/>
    </row>
    <row r="36" spans="1:27">
      <c r="A36" s="22" t="s">
        <v>43</v>
      </c>
      <c r="B36" s="51" t="str">
        <f>IFERROR(HYPERLINK(VLOOKUP(A36,ÜRÜNLER!A:C,3,FALSE),VLOOKUP(A36,ÜRÜNLER!A:B,2,FALSE)),"")</f>
        <v>iQ700 Alttan Donduruculu Kulplu Buzdolabı, 75cm, Inox</v>
      </c>
      <c r="C36" s="8">
        <v>41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47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13793.221153401188</v>
      </c>
      <c r="W36" s="13"/>
      <c r="X36" s="14"/>
    </row>
    <row r="37" spans="1:27">
      <c r="A37" s="22" t="s">
        <v>44</v>
      </c>
      <c r="B37" s="51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13760.885829698311</v>
      </c>
      <c r="W37" s="13"/>
      <c r="X37" s="14"/>
    </row>
    <row r="38" spans="1:27" s="20" customFormat="1">
      <c r="A38" s="21" t="s">
        <v>45</v>
      </c>
      <c r="B38" s="51" t="str">
        <f>IFERROR(HYPERLINK(VLOOKUP(A38,ÜRÜNLER!A:C,3,FALSE),VLOOKUP(A38,ÜRÜNLER!A:B,2,FALSE)),"")</f>
        <v>iQ500 Alttan Donduruculu Kulplu Buzdolabı, 86cm, Inox</v>
      </c>
      <c r="C38" s="8">
        <v>136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143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23794.07083062391</v>
      </c>
      <c r="X38" s="14"/>
      <c r="AA38" s="13">
        <f>S38-V38</f>
        <v>69253.901109631566</v>
      </c>
    </row>
    <row r="39" spans="1:27" s="20" customFormat="1">
      <c r="A39" s="22" t="s">
        <v>46</v>
      </c>
      <c r="B39" s="51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23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2">
        <v>88052.866183892213</v>
      </c>
      <c r="V39" s="13">
        <v>16653.114365923902</v>
      </c>
      <c r="X39" s="14"/>
      <c r="AA39" s="13">
        <v>70443</v>
      </c>
    </row>
    <row r="40" spans="1:27" s="20" customFormat="1">
      <c r="A40" s="22" t="s">
        <v>47</v>
      </c>
      <c r="B40" s="51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2">
        <v>78068.025694962416</v>
      </c>
      <c r="V40" s="13">
        <v>11124.999660928634</v>
      </c>
      <c r="W40" s="13"/>
      <c r="X40" s="14"/>
    </row>
    <row r="41" spans="1:27" s="20" customFormat="1">
      <c r="A41" s="139" t="s">
        <v>48</v>
      </c>
      <c r="B41" s="51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2">
        <v>118564.79111231348</v>
      </c>
      <c r="V41" s="13">
        <v>23504.284384894825</v>
      </c>
      <c r="W41" s="13"/>
      <c r="X41" s="14"/>
    </row>
    <row r="42" spans="1:27" s="20" customFormat="1">
      <c r="A42" s="22" t="s">
        <v>49</v>
      </c>
      <c r="B42" s="51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1593</v>
      </c>
      <c r="S42" s="19">
        <v>80000</v>
      </c>
      <c r="T42" s="12">
        <v>83200</v>
      </c>
      <c r="U42" s="12">
        <v>86400</v>
      </c>
      <c r="V42" s="13"/>
      <c r="W42" s="13"/>
      <c r="X42" s="14"/>
    </row>
    <row r="43" spans="1:27" s="20" customFormat="1">
      <c r="A43" s="22" t="s">
        <v>50</v>
      </c>
      <c r="B43" s="51" t="str">
        <f>IFERROR(HYPERLINK(VLOOKUP(A43,ÜRÜNLER!A:C,3,FALSE),VLOOKUP(A43,ÜRÜNLER!A:B,2,FALSE)),"")</f>
        <v>iQ700 Alttan Donduruculu Kulplu Buzdolabı, 86cm, Inox</v>
      </c>
      <c r="C43" s="8">
        <v>120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124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25508.241474254683</v>
      </c>
      <c r="W43" s="13"/>
      <c r="X43" s="14"/>
    </row>
    <row r="44" spans="1:27">
      <c r="A44" s="22" t="s">
        <v>51</v>
      </c>
      <c r="B44" s="51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20675.540143407608</v>
      </c>
      <c r="W44" s="13"/>
      <c r="X44" s="14"/>
    </row>
    <row r="45" spans="1:27" ht="29.25" customHeight="1">
      <c r="A45" s="56" t="s">
        <v>1499</v>
      </c>
      <c r="B45" s="51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1040</v>
      </c>
      <c r="O45" s="135">
        <f>SUM(O2:O44)</f>
        <v>309</v>
      </c>
      <c r="P45" s="10"/>
      <c r="Q45" s="9"/>
      <c r="R45" s="74"/>
      <c r="S45" s="14"/>
      <c r="T45" s="12"/>
      <c r="U45" s="12"/>
      <c r="V45" s="13"/>
      <c r="W45" s="13"/>
      <c r="X45" s="14"/>
    </row>
    <row r="46" spans="1:27">
      <c r="A46" s="22" t="s">
        <v>52</v>
      </c>
      <c r="B46" s="51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99</v>
      </c>
      <c r="O46" s="135"/>
      <c r="P46" s="10"/>
      <c r="Q46" s="118" t="s">
        <v>1549</v>
      </c>
      <c r="R46" s="52">
        <v>24592.564804472826</v>
      </c>
      <c r="S46" s="47">
        <v>25000</v>
      </c>
      <c r="T46" s="12">
        <v>26000</v>
      </c>
      <c r="U46" s="12">
        <v>27000</v>
      </c>
      <c r="V46" s="13">
        <v>2753.7218292662151</v>
      </c>
      <c r="W46" s="13"/>
      <c r="X46" s="14"/>
    </row>
    <row r="47" spans="1:27">
      <c r="A47" s="22" t="s">
        <v>53</v>
      </c>
      <c r="B47" s="51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1549</v>
      </c>
      <c r="R47" s="74" t="s">
        <v>1593</v>
      </c>
      <c r="S47" s="47">
        <v>18000</v>
      </c>
      <c r="T47" s="12">
        <v>18720</v>
      </c>
      <c r="U47" s="12">
        <v>19440</v>
      </c>
      <c r="V47" s="13"/>
      <c r="W47" s="13"/>
      <c r="X47" s="14">
        <v>250</v>
      </c>
    </row>
    <row r="48" spans="1:27">
      <c r="A48" s="140" t="s">
        <v>54</v>
      </c>
      <c r="B48" s="51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1549</v>
      </c>
      <c r="R48" s="52">
        <v>37824.325084093936</v>
      </c>
      <c r="S48" s="23">
        <v>38959.054836616757</v>
      </c>
      <c r="T48" s="12">
        <v>40517.417030081429</v>
      </c>
      <c r="U48" s="12">
        <v>42075.779223546095</v>
      </c>
      <c r="V48" s="13">
        <v>4574.3250840939363</v>
      </c>
      <c r="W48" s="13"/>
      <c r="Z48" s="27" t="s">
        <v>1594</v>
      </c>
    </row>
    <row r="49" spans="1:26">
      <c r="A49" s="140" t="s">
        <v>55</v>
      </c>
      <c r="B49" s="51" t="str">
        <f>IFERROR(HYPERLINK(VLOOKUP(A49,ÜRÜNLER!A:C,3,FALSE),VLOOKUP(A49,ÜRÜNLER!A:B,2,FALSE)),"")</f>
        <v>iQ300 Derin Dondurucu, 161x60cm, Statik, Beyaz</v>
      </c>
      <c r="C49" s="8">
        <v>97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100</v>
      </c>
      <c r="O49" s="135"/>
      <c r="P49" s="10"/>
      <c r="Q49" s="118" t="s">
        <v>1549</v>
      </c>
      <c r="R49" s="52">
        <v>25437.803391758665</v>
      </c>
      <c r="S49" s="47">
        <v>25500</v>
      </c>
      <c r="T49" s="12">
        <v>26520</v>
      </c>
      <c r="U49" s="12">
        <v>27540</v>
      </c>
      <c r="V49" s="13">
        <v>2405.7785983702342</v>
      </c>
      <c r="W49" s="13"/>
      <c r="Z49" s="14"/>
    </row>
    <row r="50" spans="1:26">
      <c r="A50" s="140" t="s">
        <v>56</v>
      </c>
      <c r="B50" s="51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1549</v>
      </c>
      <c r="R50" s="52">
        <v>31580.842639611688</v>
      </c>
      <c r="S50" s="23">
        <v>32528.26791880004</v>
      </c>
      <c r="T50" s="12">
        <v>33829.398635552039</v>
      </c>
      <c r="U50" s="12">
        <v>35130.529352304045</v>
      </c>
      <c r="V50" s="13">
        <v>2720.3054495290417</v>
      </c>
      <c r="W50" s="13"/>
      <c r="Z50" s="27" t="s">
        <v>1594</v>
      </c>
    </row>
    <row r="51" spans="1:26">
      <c r="A51" s="140" t="s">
        <v>57</v>
      </c>
      <c r="B51" s="51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1549</v>
      </c>
      <c r="R51" s="52">
        <v>28432.702244249125</v>
      </c>
      <c r="S51" s="23">
        <v>29285.683311576598</v>
      </c>
      <c r="T51" s="12">
        <v>30457.110644039662</v>
      </c>
      <c r="U51" s="12">
        <v>31628.537976502725</v>
      </c>
      <c r="V51" s="13">
        <v>2443.0328227615209</v>
      </c>
      <c r="W51" s="13"/>
      <c r="Z51" s="27" t="s">
        <v>1594</v>
      </c>
    </row>
    <row r="52" spans="1:26">
      <c r="A52" s="140" t="s">
        <v>1335</v>
      </c>
      <c r="B52" s="51" t="str">
        <f>IFERROR(HYPERLINK(VLOOKUP(A52,ÜRÜNLER!A:C,3,FALSE),VLOOKUP(A52,ÜRÜNLER!A:B,2,FALSE)),"")</f>
        <v>iQ300 Derin Dondurucu, 186x60cm, No-Frost, Inox</v>
      </c>
      <c r="C52" s="8">
        <v>20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20</v>
      </c>
      <c r="O52" s="135">
        <v>29</v>
      </c>
      <c r="P52" s="10"/>
      <c r="Q52" s="118" t="s">
        <v>1549</v>
      </c>
      <c r="R52" s="52">
        <v>32621.398982558141</v>
      </c>
      <c r="S52" s="23">
        <v>33600.040952034884</v>
      </c>
      <c r="T52" s="12">
        <v>34944.042590116282</v>
      </c>
      <c r="U52" s="12">
        <v>36288.044228197672</v>
      </c>
      <c r="V52" s="13"/>
      <c r="W52" s="13"/>
      <c r="X52" s="14"/>
    </row>
    <row r="53" spans="1:26">
      <c r="A53" s="87" t="s">
        <v>58</v>
      </c>
      <c r="B53" s="51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1549</v>
      </c>
      <c r="R53" s="74" t="s">
        <v>1593</v>
      </c>
      <c r="S53" s="23">
        <v>37000</v>
      </c>
      <c r="T53" s="12">
        <v>38480</v>
      </c>
      <c r="U53" s="12">
        <v>39960</v>
      </c>
      <c r="V53" s="13"/>
      <c r="W53" s="13"/>
      <c r="X53" s="14"/>
    </row>
    <row r="54" spans="1:26">
      <c r="A54" s="140" t="s">
        <v>59</v>
      </c>
      <c r="B54" s="51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1549</v>
      </c>
      <c r="R54" s="74" t="s">
        <v>1593</v>
      </c>
      <c r="S54" s="19">
        <v>30000</v>
      </c>
      <c r="T54" s="12">
        <v>31200</v>
      </c>
      <c r="U54" s="12">
        <v>32400</v>
      </c>
      <c r="V54" s="13"/>
      <c r="W54" s="13"/>
      <c r="X54" s="14">
        <v>500</v>
      </c>
    </row>
    <row r="55" spans="1:26">
      <c r="A55" s="87" t="s">
        <v>60</v>
      </c>
      <c r="B55" s="51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1549</v>
      </c>
      <c r="R55" s="52">
        <v>41328.219470344258</v>
      </c>
      <c r="S55" s="23">
        <v>45461.041417378685</v>
      </c>
      <c r="T55" s="12">
        <v>47279.483074073833</v>
      </c>
      <c r="U55" s="12">
        <v>49097.92473076898</v>
      </c>
      <c r="V55" s="13">
        <v>4651.7488821089646</v>
      </c>
      <c r="W55" s="13"/>
      <c r="Z55" s="27" t="s">
        <v>1594</v>
      </c>
    </row>
    <row r="56" spans="1:26" ht="30" customHeight="1">
      <c r="A56" s="56" t="s">
        <v>1500</v>
      </c>
      <c r="B56" s="51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549</v>
      </c>
      <c r="O56" s="135">
        <f>SUM(O46:O55)</f>
        <v>29</v>
      </c>
      <c r="P56" s="10"/>
      <c r="Q56" s="9"/>
      <c r="R56" s="74"/>
      <c r="S56" s="14"/>
      <c r="T56" s="12"/>
      <c r="U56" s="12"/>
      <c r="V56" s="13"/>
      <c r="W56" s="13"/>
      <c r="X56" s="14"/>
    </row>
    <row r="57" spans="1:26">
      <c r="A57" s="22" t="s">
        <v>61</v>
      </c>
      <c r="B57" s="51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18">
        <v>272619.18937608105</v>
      </c>
      <c r="T57" s="12">
        <v>283523.9569511243</v>
      </c>
      <c r="U57" s="12">
        <v>294428.72452616756</v>
      </c>
      <c r="V57" s="13"/>
      <c r="W57" s="13"/>
      <c r="X57" s="14">
        <v>500</v>
      </c>
    </row>
    <row r="58" spans="1:26">
      <c r="A58" s="22" t="s">
        <v>62</v>
      </c>
      <c r="B58" s="51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1593</v>
      </c>
      <c r="S58" s="18">
        <v>290000</v>
      </c>
      <c r="T58" s="12">
        <v>301600</v>
      </c>
      <c r="U58" s="12">
        <v>313200</v>
      </c>
      <c r="V58" s="13"/>
      <c r="W58" s="13"/>
      <c r="X58" s="14">
        <v>500</v>
      </c>
    </row>
    <row r="59" spans="1:26">
      <c r="A59" s="142" t="s">
        <v>63</v>
      </c>
      <c r="B59" s="51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1593</v>
      </c>
      <c r="S59" s="18">
        <v>300000</v>
      </c>
      <c r="T59" s="12">
        <v>312000</v>
      </c>
      <c r="U59" s="12">
        <v>324000</v>
      </c>
      <c r="V59" s="13"/>
      <c r="W59" s="13"/>
      <c r="X59" s="14">
        <v>500</v>
      </c>
    </row>
    <row r="60" spans="1:26">
      <c r="A60" s="22" t="s">
        <v>64</v>
      </c>
      <c r="B60" s="51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1593</v>
      </c>
      <c r="S60" s="18">
        <v>325000</v>
      </c>
      <c r="T60" s="12">
        <v>338000</v>
      </c>
      <c r="U60" s="12">
        <v>351000</v>
      </c>
      <c r="V60" s="13"/>
      <c r="W60" s="13"/>
      <c r="X60" s="106">
        <v>1000</v>
      </c>
    </row>
    <row r="61" spans="1:26">
      <c r="A61" s="142" t="s">
        <v>65</v>
      </c>
      <c r="B61" s="51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1593</v>
      </c>
      <c r="S61" s="19">
        <v>255000</v>
      </c>
      <c r="T61" s="12">
        <v>265200</v>
      </c>
      <c r="U61" s="12">
        <v>275400</v>
      </c>
      <c r="V61" s="13"/>
      <c r="W61" s="13"/>
      <c r="X61" s="106">
        <v>1000</v>
      </c>
    </row>
    <row r="62" spans="1:26">
      <c r="A62" s="142" t="s">
        <v>66</v>
      </c>
      <c r="B62" s="51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2">
        <v>338538.75126477302</v>
      </c>
      <c r="V62" s="13"/>
      <c r="W62" s="13"/>
      <c r="X62" s="14"/>
    </row>
    <row r="63" spans="1:26">
      <c r="A63" s="142" t="s">
        <v>67</v>
      </c>
      <c r="B63" s="51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2">
        <v>60251.204429591104</v>
      </c>
      <c r="V63" s="13"/>
      <c r="W63" s="13"/>
      <c r="X63" s="14"/>
    </row>
    <row r="64" spans="1:26">
      <c r="A64" s="142" t="s">
        <v>68</v>
      </c>
      <c r="B64" s="51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2">
        <v>87527.384164214105</v>
      </c>
      <c r="V64" s="13"/>
      <c r="W64" s="13"/>
      <c r="X64" s="14"/>
    </row>
    <row r="65" spans="1:26">
      <c r="A65" s="143" t="s">
        <v>69</v>
      </c>
      <c r="B65" s="51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2">
        <v>94869.612200029602</v>
      </c>
      <c r="V65" s="13"/>
      <c r="W65" s="13"/>
      <c r="X65" s="14"/>
    </row>
    <row r="66" spans="1:26">
      <c r="A66" s="142" t="s">
        <v>70</v>
      </c>
      <c r="B66" s="51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1593</v>
      </c>
      <c r="S66" s="19">
        <v>72499</v>
      </c>
      <c r="T66" s="12">
        <v>75398.960000000006</v>
      </c>
      <c r="U66" s="12">
        <v>78298.92</v>
      </c>
      <c r="V66" s="13"/>
      <c r="W66" s="13"/>
      <c r="X66" s="14">
        <v>500</v>
      </c>
    </row>
    <row r="67" spans="1:26">
      <c r="A67" s="22" t="s">
        <v>71</v>
      </c>
      <c r="B67" s="51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2">
        <v>90769.157872887445</v>
      </c>
      <c r="V67" s="13"/>
      <c r="W67" s="13"/>
      <c r="X67" s="14"/>
    </row>
    <row r="68" spans="1:26">
      <c r="A68" s="142" t="s">
        <v>72</v>
      </c>
      <c r="B68" s="51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2">
        <v>108340.54280883443</v>
      </c>
      <c r="V68" s="13"/>
      <c r="W68" s="13"/>
      <c r="X68" s="14"/>
    </row>
    <row r="69" spans="1:26">
      <c r="A69" s="142" t="s">
        <v>1489</v>
      </c>
      <c r="B69" s="51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18">
        <v>112429.63463934486</v>
      </c>
      <c r="T69" s="12">
        <v>116926.82002491866</v>
      </c>
      <c r="U69" s="12">
        <v>121424.00541049245</v>
      </c>
      <c r="V69" s="13"/>
      <c r="W69" s="13"/>
      <c r="X69" s="14"/>
    </row>
    <row r="70" spans="1:26" s="26" customFormat="1" ht="30">
      <c r="A70" s="56" t="s">
        <v>73</v>
      </c>
      <c r="B70" s="51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2"/>
      <c r="V70" s="13"/>
      <c r="W70" s="13"/>
      <c r="X70" s="25"/>
    </row>
    <row r="71" spans="1:26">
      <c r="A71" s="22" t="s">
        <v>76</v>
      </c>
      <c r="B71" s="51" t="str">
        <f>IFERROR(HYPERLINK(VLOOKUP(A71,ÜRÜNLER!A:C,3,FALSE),VLOOKUP(A71,ÜRÜNLER!A:B,2,FALSE)),"")</f>
        <v>iQ300 Çamaşır Makinesi, 9kg/1200devir, Beyaz</v>
      </c>
      <c r="C71" s="8">
        <v>65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0"/>
      <c r="M71" s="11">
        <v>1</v>
      </c>
      <c r="N71" s="134">
        <f t="shared" ref="N71:N99" si="3">M71+L71+K71+J71+I71+H71+G71+F71+E71+D71+C71</f>
        <v>74</v>
      </c>
      <c r="O71" s="135"/>
      <c r="P71" s="10"/>
      <c r="Q71" s="119"/>
      <c r="R71" s="52">
        <v>30359.538520147162</v>
      </c>
      <c r="S71" s="53">
        <v>29448.752364542746</v>
      </c>
      <c r="T71" s="12">
        <v>30626.702459124455</v>
      </c>
      <c r="U71" s="12">
        <v>31804.652553706168</v>
      </c>
      <c r="V71" s="13">
        <v>1374.6547992169253</v>
      </c>
      <c r="W71" s="13"/>
      <c r="X71" s="27"/>
    </row>
    <row r="72" spans="1:26">
      <c r="A72" s="22" t="s">
        <v>77</v>
      </c>
      <c r="B72" s="51" t="str">
        <f>IFERROR(HYPERLINK(VLOOKUP(A72,ÜRÜNLER!A:C,3,FALSE),VLOOKUP(A72,ÜRÜNLER!A:B,2,FALSE)),"")</f>
        <v>iQ500 Çamaşır Makinesi, 9kg/1200devir, Beyaz</v>
      </c>
      <c r="C72" s="8">
        <v>23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0"/>
      <c r="M72" s="11"/>
      <c r="N72" s="134">
        <f t="shared" si="3"/>
        <v>25</v>
      </c>
      <c r="O72" s="135">
        <v>3</v>
      </c>
      <c r="P72" s="10"/>
      <c r="Q72" s="118"/>
      <c r="R72" s="52">
        <v>37224.919473005168</v>
      </c>
      <c r="S72" s="25">
        <v>37224.919473005168</v>
      </c>
      <c r="T72" s="12">
        <v>38713.916251925373</v>
      </c>
      <c r="U72" s="12">
        <v>40202.913030845579</v>
      </c>
      <c r="V72" s="13">
        <v>1614.4543567260919</v>
      </c>
      <c r="W72" s="13"/>
      <c r="Z72" s="27" t="s">
        <v>1594</v>
      </c>
    </row>
    <row r="73" spans="1:26">
      <c r="A73" s="88" t="s">
        <v>78</v>
      </c>
      <c r="B73" s="51" t="str">
        <f>IFERROR(HYPERLINK(VLOOKUP(A73,ÜRÜNLER!A:C,3,FALSE),VLOOKUP(A73,ÜRÜNLER!A:B,2,FALSE)),"")</f>
        <v>iQ500 Çamaşır Makinesi, 9kg/1200devir, Gümüş</v>
      </c>
      <c r="C73" s="8">
        <v>13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0"/>
      <c r="M73" s="11">
        <v>1</v>
      </c>
      <c r="N73" s="134">
        <f t="shared" si="3"/>
        <v>16</v>
      </c>
      <c r="O73" s="135">
        <v>1</v>
      </c>
      <c r="P73" s="10"/>
      <c r="Q73" s="119"/>
      <c r="R73" s="52">
        <v>39866.402307730656</v>
      </c>
      <c r="S73" s="53">
        <v>38670.410238498735</v>
      </c>
      <c r="T73" s="19">
        <v>40217.226648038682</v>
      </c>
      <c r="U73" s="12">
        <v>41764.04305757863</v>
      </c>
      <c r="V73" s="13">
        <v>2424.5418426143806</v>
      </c>
      <c r="W73" s="13"/>
      <c r="X73" s="14"/>
    </row>
    <row r="74" spans="1:26">
      <c r="A74" s="22" t="s">
        <v>79</v>
      </c>
      <c r="B74" s="51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34">
        <f t="shared" si="3"/>
        <v>1</v>
      </c>
      <c r="O74" s="135"/>
      <c r="P74" s="10"/>
      <c r="Q74" s="118"/>
      <c r="R74" s="74" t="s">
        <v>1593</v>
      </c>
      <c r="S74" s="15">
        <v>31000</v>
      </c>
      <c r="T74" s="12">
        <v>32240</v>
      </c>
      <c r="U74" s="12">
        <v>33480</v>
      </c>
      <c r="V74" s="13"/>
      <c r="W74" s="13"/>
      <c r="X74" s="106">
        <v>500</v>
      </c>
    </row>
    <row r="75" spans="1:26">
      <c r="A75" s="139" t="s">
        <v>80</v>
      </c>
      <c r="B75" s="51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>
        <v>1</v>
      </c>
      <c r="K75" s="10"/>
      <c r="L75" s="10"/>
      <c r="M75" s="11">
        <v>1</v>
      </c>
      <c r="N75" s="134">
        <f t="shared" si="3"/>
        <v>3</v>
      </c>
      <c r="O75" s="135"/>
      <c r="P75" s="10"/>
      <c r="Q75" s="118"/>
      <c r="R75" s="74" t="s">
        <v>1593</v>
      </c>
      <c r="S75" s="15">
        <v>31000</v>
      </c>
      <c r="T75" s="12">
        <v>32240</v>
      </c>
      <c r="U75" s="12">
        <v>33480</v>
      </c>
      <c r="V75" s="13"/>
      <c r="W75" s="18">
        <v>4166.6400000000003</v>
      </c>
      <c r="X75" s="106">
        <v>500</v>
      </c>
    </row>
    <row r="76" spans="1:26">
      <c r="A76" s="22" t="s">
        <v>81</v>
      </c>
      <c r="B76" s="51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0"/>
      <c r="M76" s="11">
        <v>1</v>
      </c>
      <c r="N76" s="134">
        <f t="shared" si="3"/>
        <v>3</v>
      </c>
      <c r="O76" s="135">
        <v>2</v>
      </c>
      <c r="P76" s="10"/>
      <c r="Q76" s="118"/>
      <c r="R76" s="52">
        <v>48454.851287338432</v>
      </c>
      <c r="S76" s="25">
        <v>48454.851287338432</v>
      </c>
      <c r="T76" s="12">
        <v>50393.045338831966</v>
      </c>
      <c r="U76" s="12">
        <v>52331.239390325507</v>
      </c>
      <c r="V76" s="13"/>
      <c r="W76" s="13"/>
      <c r="X76" s="14"/>
    </row>
    <row r="77" spans="1:26">
      <c r="A77" s="22" t="s">
        <v>1475</v>
      </c>
      <c r="B77" s="51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0"/>
      <c r="M77" s="11"/>
      <c r="N77" s="134">
        <f t="shared" si="3"/>
        <v>1</v>
      </c>
      <c r="O77" s="135"/>
      <c r="P77" s="10"/>
      <c r="Q77" s="118"/>
      <c r="R77" s="74" t="s">
        <v>1593</v>
      </c>
      <c r="S77" s="53">
        <v>46000</v>
      </c>
      <c r="T77" s="12">
        <v>47840</v>
      </c>
      <c r="U77" s="12">
        <v>49680</v>
      </c>
      <c r="V77" s="13"/>
      <c r="W77" s="13"/>
      <c r="X77" s="14"/>
    </row>
    <row r="78" spans="1:26">
      <c r="A78" s="22" t="s">
        <v>82</v>
      </c>
      <c r="B78" s="51" t="str">
        <f>IFERROR(HYPERLINK(VLOOKUP(A78,ÜRÜNLER!A:C,3,FALSE),VLOOKUP(A78,ÜRÜNLER!A:B,2,FALSE)),"")</f>
        <v>iQ500 Çamaşır Makinesi, 9kg/1400devir, Beyaz</v>
      </c>
      <c r="C78" s="8">
        <v>15</v>
      </c>
      <c r="D78" s="8"/>
      <c r="E78" s="9"/>
      <c r="F78" s="9"/>
      <c r="G78" s="10"/>
      <c r="H78" s="10"/>
      <c r="I78" s="11"/>
      <c r="J78" s="11">
        <v>1</v>
      </c>
      <c r="K78" s="10"/>
      <c r="L78" s="10"/>
      <c r="M78" s="11"/>
      <c r="N78" s="134">
        <f t="shared" si="3"/>
        <v>16</v>
      </c>
      <c r="O78" s="135"/>
      <c r="P78" s="10"/>
      <c r="Q78" s="118"/>
      <c r="R78" s="52">
        <v>40815.965271312692</v>
      </c>
      <c r="S78" s="53">
        <v>39591.486313173315</v>
      </c>
      <c r="T78" s="12">
        <v>41175.145765700247</v>
      </c>
      <c r="U78" s="12">
        <v>42758.805218227179</v>
      </c>
      <c r="V78" s="13">
        <v>3252.0117829406008</v>
      </c>
      <c r="W78" s="13"/>
      <c r="X78" s="14"/>
    </row>
    <row r="79" spans="1:26" s="28" customFormat="1">
      <c r="A79" s="22" t="s">
        <v>83</v>
      </c>
      <c r="B79" s="51" t="str">
        <f>IFERROR(HYPERLINK(VLOOKUP(A79,ÜRÜNLER!A:C,3,FALSE),VLOOKUP(A79,ÜRÜNLER!A:B,2,FALSE)),"")</f>
        <v>iQ300 Çamaşır Makinesi, 10kg/1200devir, Beyaz</v>
      </c>
      <c r="C79" s="8">
        <v>27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34">
        <f t="shared" si="3"/>
        <v>30</v>
      </c>
      <c r="O79" s="135"/>
      <c r="P79" s="10"/>
      <c r="Q79" s="118"/>
      <c r="R79" s="74" t="s">
        <v>1593</v>
      </c>
      <c r="S79" s="47">
        <v>35883</v>
      </c>
      <c r="T79" s="12">
        <v>37318.32</v>
      </c>
      <c r="U79" s="12">
        <v>38753.64</v>
      </c>
      <c r="V79" s="76">
        <v>5883.4143158993975</v>
      </c>
      <c r="W79" s="13"/>
      <c r="X79" s="27"/>
      <c r="Y79"/>
    </row>
    <row r="80" spans="1:26" s="28" customFormat="1">
      <c r="A80" s="22" t="s">
        <v>1440</v>
      </c>
      <c r="B80" s="51" t="str">
        <f>IFERROR(HYPERLINK(VLOOKUP(A80,ÜRÜNLER!A:C,3,FALSE),VLOOKUP(A80,ÜRÜNLER!A:B,2,FALSE)),"")</f>
        <v>iQ300 Çamaşır Makinesi, 10kg/1200devir, Beyaz</v>
      </c>
      <c r="C80" s="8">
        <v>14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34">
        <f t="shared" si="3"/>
        <v>14</v>
      </c>
      <c r="O80" s="135">
        <v>20</v>
      </c>
      <c r="P80" s="10"/>
      <c r="Q80" s="118"/>
      <c r="R80" s="52">
        <v>34090.952564120402</v>
      </c>
      <c r="S80" s="25">
        <v>34090.952564120402</v>
      </c>
      <c r="T80" s="12">
        <v>35454.590666685217</v>
      </c>
      <c r="U80" s="12">
        <v>36818.228769250032</v>
      </c>
      <c r="V80" s="13">
        <v>3575.836285050631</v>
      </c>
      <c r="W80" s="13"/>
      <c r="X80" s="27"/>
      <c r="Y80"/>
    </row>
    <row r="81" spans="1:26" s="28" customFormat="1">
      <c r="A81" s="88" t="s">
        <v>1545</v>
      </c>
      <c r="B81" s="51" t="str">
        <f>IFERROR(HYPERLINK(VLOOKUP(A81,ÜRÜNLER!A:C,3,FALSE),VLOOKUP(A81,ÜRÜNLER!A:B,2,FALSE)),"")</f>
        <v>iQ500 Çamaşır Makinesi, 10kg/1200devir, Gümüş</v>
      </c>
      <c r="C81" s="8">
        <v>7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7</v>
      </c>
      <c r="O81" s="135">
        <v>2</v>
      </c>
      <c r="P81" s="10"/>
      <c r="Q81" s="118"/>
      <c r="R81" s="52">
        <v>40527.282115833987</v>
      </c>
      <c r="S81" s="25">
        <v>38597</v>
      </c>
      <c r="T81" s="12">
        <v>40140.879999999997</v>
      </c>
      <c r="U81" s="12">
        <v>41684.76</v>
      </c>
      <c r="V81" s="13">
        <v>1058.6774646711929</v>
      </c>
      <c r="W81" s="13"/>
      <c r="X81" s="27"/>
      <c r="Y81"/>
    </row>
    <row r="82" spans="1:26">
      <c r="A82" s="140" t="s">
        <v>84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0"/>
      <c r="M82" s="11"/>
      <c r="N82" s="134">
        <f t="shared" si="3"/>
        <v>1</v>
      </c>
      <c r="O82" s="135"/>
      <c r="P82" s="10"/>
      <c r="Q82" s="118"/>
      <c r="R82" s="74" t="s">
        <v>1593</v>
      </c>
      <c r="S82" s="19">
        <v>27000</v>
      </c>
      <c r="T82" s="12">
        <v>28080</v>
      </c>
      <c r="U82" s="12">
        <v>29160</v>
      </c>
      <c r="V82" s="13"/>
      <c r="W82" s="13"/>
      <c r="X82" s="106">
        <v>500</v>
      </c>
    </row>
    <row r="83" spans="1:26">
      <c r="A83" s="140" t="s">
        <v>85</v>
      </c>
      <c r="B83" s="51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0"/>
      <c r="M83" s="11">
        <v>1</v>
      </c>
      <c r="N83" s="134">
        <f t="shared" si="3"/>
        <v>6</v>
      </c>
      <c r="O83" s="135"/>
      <c r="P83" s="10"/>
      <c r="Q83" s="118"/>
      <c r="R83" s="74" t="s">
        <v>1593</v>
      </c>
      <c r="S83" s="15">
        <v>35000</v>
      </c>
      <c r="T83" s="12">
        <v>36400</v>
      </c>
      <c r="U83" s="12">
        <v>37800</v>
      </c>
      <c r="V83" s="13"/>
      <c r="W83" s="13"/>
      <c r="X83" s="106">
        <v>500</v>
      </c>
    </row>
    <row r="84" spans="1:26">
      <c r="A84" s="88" t="s">
        <v>86</v>
      </c>
      <c r="B84" s="51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0"/>
      <c r="M84" s="11"/>
      <c r="N84" s="134">
        <f t="shared" si="3"/>
        <v>2</v>
      </c>
      <c r="O84" s="135"/>
      <c r="P84" s="10"/>
      <c r="Q84" s="118"/>
      <c r="R84" s="74" t="s">
        <v>1593</v>
      </c>
      <c r="S84" s="15">
        <v>35000</v>
      </c>
      <c r="T84" s="12">
        <v>36400</v>
      </c>
      <c r="U84" s="12">
        <v>37800</v>
      </c>
      <c r="V84" s="13"/>
      <c r="W84" s="18">
        <v>4049.59</v>
      </c>
      <c r="X84" s="106">
        <v>500</v>
      </c>
    </row>
    <row r="85" spans="1:26">
      <c r="A85" s="89" t="s">
        <v>87</v>
      </c>
      <c r="B85" s="51" t="str">
        <f>IFERROR(HYPERLINK(VLOOKUP(A85,ÜRÜNLER!A:C,3,FALSE),VLOOKUP(A85,ÜRÜNLER!A:B,2,FALSE)),"")</f>
        <v>iQ500 Çamaşır Makinesi, 10kg/1200devir, Beyaz</v>
      </c>
      <c r="C85" s="8">
        <v>16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17</v>
      </c>
      <c r="O85" s="135"/>
      <c r="P85" s="10"/>
      <c r="Q85" s="118"/>
      <c r="R85" s="74" t="s">
        <v>1593</v>
      </c>
      <c r="S85" s="18">
        <v>37000</v>
      </c>
      <c r="T85" s="12">
        <v>38480</v>
      </c>
      <c r="U85" s="12">
        <v>39960</v>
      </c>
      <c r="V85" s="13">
        <v>602.68935310101369</v>
      </c>
      <c r="W85" s="13"/>
      <c r="X85" s="14"/>
    </row>
    <row r="86" spans="1:26">
      <c r="A86" s="88" t="s">
        <v>88</v>
      </c>
      <c r="B86" s="51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34">
        <f t="shared" si="3"/>
        <v>1</v>
      </c>
      <c r="O86" s="135"/>
      <c r="P86" s="10"/>
      <c r="Q86" s="118"/>
      <c r="R86" s="74" t="s">
        <v>1593</v>
      </c>
      <c r="S86" s="18">
        <v>39000</v>
      </c>
      <c r="T86" s="12">
        <v>40560</v>
      </c>
      <c r="U86" s="12">
        <v>42120</v>
      </c>
      <c r="V86" s="13">
        <v>1309.4864005058337</v>
      </c>
      <c r="W86" s="13"/>
      <c r="X86" s="14"/>
    </row>
    <row r="87" spans="1:26">
      <c r="A87" s="22" t="s">
        <v>89</v>
      </c>
      <c r="B87" s="51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>
        <v>1</v>
      </c>
      <c r="J87" s="11"/>
      <c r="K87" s="10">
        <v>1</v>
      </c>
      <c r="L87" s="10"/>
      <c r="M87" s="11"/>
      <c r="N87" s="134">
        <f t="shared" si="3"/>
        <v>2</v>
      </c>
      <c r="O87" s="135"/>
      <c r="P87" s="10"/>
      <c r="Q87" s="118"/>
      <c r="R87" s="74" t="s">
        <v>1593</v>
      </c>
      <c r="S87" s="15">
        <v>35000</v>
      </c>
      <c r="T87" s="12">
        <v>36400</v>
      </c>
      <c r="U87" s="12">
        <v>37800</v>
      </c>
      <c r="V87" s="13"/>
      <c r="W87" s="13"/>
      <c r="X87" s="14">
        <v>250</v>
      </c>
    </row>
    <row r="88" spans="1:26">
      <c r="A88" s="22" t="s">
        <v>90</v>
      </c>
      <c r="B88" s="51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0"/>
      <c r="M88" s="11"/>
      <c r="N88" s="134">
        <f t="shared" si="3"/>
        <v>6</v>
      </c>
      <c r="O88" s="135">
        <v>1</v>
      </c>
      <c r="P88" s="10">
        <v>4</v>
      </c>
      <c r="Q88" s="118"/>
      <c r="R88" s="74" t="s">
        <v>1593</v>
      </c>
      <c r="S88" s="18">
        <v>75000</v>
      </c>
      <c r="T88" s="12">
        <v>78000</v>
      </c>
      <c r="U88" s="12">
        <v>81000</v>
      </c>
      <c r="V88" s="13"/>
      <c r="W88" s="13"/>
      <c r="Z88" s="14" t="s">
        <v>1598</v>
      </c>
    </row>
    <row r="89" spans="1:26">
      <c r="A89" s="88" t="s">
        <v>91</v>
      </c>
      <c r="B89" s="51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0"/>
      <c r="M89" s="11">
        <v>1</v>
      </c>
      <c r="N89" s="134">
        <f t="shared" si="3"/>
        <v>2</v>
      </c>
      <c r="O89" s="135">
        <v>1</v>
      </c>
      <c r="P89" s="10">
        <v>15</v>
      </c>
      <c r="Q89" s="118"/>
      <c r="R89" s="74" t="s">
        <v>1593</v>
      </c>
      <c r="S89" s="107">
        <v>70000</v>
      </c>
      <c r="T89" s="12">
        <v>72800</v>
      </c>
      <c r="U89" s="12">
        <v>75600</v>
      </c>
      <c r="V89" s="13"/>
      <c r="W89" s="13"/>
      <c r="X89" s="14"/>
    </row>
    <row r="90" spans="1:26">
      <c r="A90" s="144" t="s">
        <v>1445</v>
      </c>
      <c r="B90" s="51" t="str">
        <f>IFERROR(HYPERLINK(VLOOKUP(A90,ÜRÜNLER!A:C,3,FALSE),VLOOKUP(A90,ÜRÜNLER!A:B,2,FALSE)),"")</f>
        <v>iQ500 Çamaşır Makinesi, 10kg/1200devir, Beyaz</v>
      </c>
      <c r="C90" s="8">
        <v>25</v>
      </c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34">
        <f t="shared" si="3"/>
        <v>26</v>
      </c>
      <c r="O90" s="135"/>
      <c r="P90" s="10"/>
      <c r="Q90" s="118"/>
      <c r="R90" s="52">
        <v>38936.926581450993</v>
      </c>
      <c r="S90" s="53">
        <v>37768.818784007461</v>
      </c>
      <c r="T90" s="12">
        <v>39279.571535367759</v>
      </c>
      <c r="U90" s="12">
        <v>40790.324286728057</v>
      </c>
      <c r="V90" s="13">
        <v>339.25216284633643</v>
      </c>
      <c r="W90" s="13"/>
      <c r="X90" s="14"/>
    </row>
    <row r="91" spans="1:26">
      <c r="A91" s="144" t="s">
        <v>1452</v>
      </c>
      <c r="B91" s="51" t="str">
        <f>IFERROR(HYPERLINK(VLOOKUP(A91,ÜRÜNLER!A:C,3,FALSE),VLOOKUP(A91,ÜRÜNLER!A:B,2,FALSE)),"")</f>
        <v>iQ500 Çamaşır Makinesi, 10kg/1400devir, i-dos, Beyaz</v>
      </c>
      <c r="C91" s="8">
        <v>14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34">
        <f t="shared" si="3"/>
        <v>14</v>
      </c>
      <c r="O91" s="135">
        <v>6</v>
      </c>
      <c r="P91" s="10"/>
      <c r="Q91" s="118"/>
      <c r="R91" s="52">
        <v>39429.576749749642</v>
      </c>
      <c r="S91" s="53">
        <v>38246.689447257151</v>
      </c>
      <c r="T91" s="12">
        <v>39776.557025147435</v>
      </c>
      <c r="U91" s="12">
        <v>41306.424603037725</v>
      </c>
      <c r="V91" s="13"/>
      <c r="W91" s="13"/>
      <c r="X91" s="14"/>
    </row>
    <row r="92" spans="1:26">
      <c r="A92" s="144" t="s">
        <v>1454</v>
      </c>
      <c r="B92" s="51" t="str">
        <f>IFERROR(HYPERLINK(VLOOKUP(A92,ÜRÜNLER!A:C,3,FALSE),VLOOKUP(A92,ÜRÜNLER!A:B,2,FALSE)),"")</f>
        <v>iQ500 Çamaşır Makinesi, 11kg/1400devir, i-dos, Beyaz</v>
      </c>
      <c r="C92" s="8">
        <v>2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2</v>
      </c>
      <c r="O92" s="135">
        <v>9</v>
      </c>
      <c r="P92" s="10"/>
      <c r="Q92" s="118"/>
      <c r="R92" s="52">
        <v>40307.741042617126</v>
      </c>
      <c r="S92" s="53">
        <v>39098.508811338615</v>
      </c>
      <c r="T92" s="12">
        <v>40662.44916379216</v>
      </c>
      <c r="U92" s="12">
        <v>42226.389516245705</v>
      </c>
      <c r="V92" s="13"/>
      <c r="W92" s="13"/>
      <c r="X92" s="14"/>
    </row>
    <row r="93" spans="1:26">
      <c r="A93" s="140" t="s">
        <v>92</v>
      </c>
      <c r="B93" s="51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0"/>
      <c r="M93" s="11"/>
      <c r="N93" s="134">
        <f t="shared" si="3"/>
        <v>2</v>
      </c>
      <c r="O93" s="135"/>
      <c r="P93" s="10"/>
      <c r="Q93" s="118"/>
      <c r="R93" s="74" t="s">
        <v>1593</v>
      </c>
      <c r="S93" s="18">
        <v>37000</v>
      </c>
      <c r="T93" s="12">
        <v>38480</v>
      </c>
      <c r="U93" s="12">
        <v>39960</v>
      </c>
      <c r="V93" s="13"/>
      <c r="W93" s="13"/>
      <c r="X93" s="14"/>
    </row>
    <row r="94" spans="1:26">
      <c r="A94" s="140" t="s">
        <v>93</v>
      </c>
      <c r="B94" s="51" t="str">
        <f>IFERROR(HYPERLINK(VLOOKUP(A94,ÜRÜNLER!A:C,3,FALSE),VLOOKUP(A94,ÜRÜNLER!A:B,2,FALSE)),"")</f>
        <v>iQ500 Çamaşır Makinesi, 11kg/1400devir, Beyaz</v>
      </c>
      <c r="C94" s="8">
        <v>30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34">
        <f t="shared" si="3"/>
        <v>35</v>
      </c>
      <c r="O94" s="135"/>
      <c r="P94" s="10"/>
      <c r="Q94" s="118"/>
      <c r="R94" s="52">
        <v>39207.489362533786</v>
      </c>
      <c r="S94" s="53">
        <v>38031.264681657776</v>
      </c>
      <c r="T94" s="12">
        <v>39552.515268924086</v>
      </c>
      <c r="U94" s="12">
        <v>41073.765856190395</v>
      </c>
      <c r="V94" s="13"/>
      <c r="W94" s="13"/>
      <c r="X94" s="14"/>
    </row>
    <row r="95" spans="1:26">
      <c r="A95" s="139" t="s">
        <v>94</v>
      </c>
      <c r="B95" s="51" t="str">
        <f>IFERROR(HYPERLINK(VLOOKUP(A95,ÜRÜNLER!A:C,3,FALSE),VLOOKUP(A95,ÜRÜNLER!A:B,2,FALSE)),"")</f>
        <v>iQ500 Çamaşır Makinesi, 11kg/1400devir, Antrasit/Dark</v>
      </c>
      <c r="C95" s="8">
        <v>28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0"/>
      <c r="M95" s="11">
        <v>1</v>
      </c>
      <c r="N95" s="134">
        <f t="shared" si="3"/>
        <v>31</v>
      </c>
      <c r="O95" s="135">
        <v>64</v>
      </c>
      <c r="P95" s="10"/>
      <c r="Q95" s="118"/>
      <c r="R95" s="52">
        <v>43182.697649421279</v>
      </c>
      <c r="S95" s="53">
        <v>41887.216719938639</v>
      </c>
      <c r="T95" s="12">
        <v>43562.705388736184</v>
      </c>
      <c r="U95" s="12">
        <v>45238.194057533728</v>
      </c>
      <c r="V95" s="13"/>
      <c r="W95" s="13"/>
      <c r="X95" s="14"/>
    </row>
    <row r="96" spans="1:26">
      <c r="A96" s="22" t="s">
        <v>95</v>
      </c>
      <c r="B96" s="51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0"/>
      <c r="M96" s="11"/>
      <c r="N96" s="134">
        <f t="shared" si="3"/>
        <v>2</v>
      </c>
      <c r="O96" s="135"/>
      <c r="P96" s="10"/>
      <c r="Q96" s="120" t="s">
        <v>1549</v>
      </c>
      <c r="R96" s="74" t="s">
        <v>1593</v>
      </c>
      <c r="S96" s="19">
        <v>27000</v>
      </c>
      <c r="T96" s="12">
        <v>28080</v>
      </c>
      <c r="U96" s="12">
        <v>29160</v>
      </c>
      <c r="V96" s="13"/>
      <c r="W96" s="13"/>
      <c r="X96" s="106">
        <v>500</v>
      </c>
    </row>
    <row r="97" spans="1:26">
      <c r="A97" s="140" t="s">
        <v>96</v>
      </c>
      <c r="B97" s="51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2</v>
      </c>
      <c r="J97" s="11"/>
      <c r="K97" s="10">
        <v>1</v>
      </c>
      <c r="L97" s="10"/>
      <c r="M97" s="11"/>
      <c r="N97" s="134">
        <f t="shared" si="3"/>
        <v>3</v>
      </c>
      <c r="O97" s="135"/>
      <c r="P97" s="10"/>
      <c r="Q97" s="118"/>
      <c r="R97" s="74" t="s">
        <v>1593</v>
      </c>
      <c r="S97" s="19">
        <v>33000</v>
      </c>
      <c r="T97" s="12">
        <v>34320</v>
      </c>
      <c r="U97" s="12">
        <v>35640</v>
      </c>
      <c r="V97" s="13"/>
      <c r="W97" s="13"/>
      <c r="X97" s="106">
        <v>500</v>
      </c>
    </row>
    <row r="98" spans="1:26">
      <c r="A98" s="140" t="s">
        <v>97</v>
      </c>
      <c r="B98" s="51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34">
        <f t="shared" si="3"/>
        <v>1</v>
      </c>
      <c r="O98" s="135"/>
      <c r="P98" s="10"/>
      <c r="Q98" s="118"/>
      <c r="R98" s="74" t="s">
        <v>1593</v>
      </c>
      <c r="S98" s="19">
        <v>37000</v>
      </c>
      <c r="T98" s="12">
        <v>38480</v>
      </c>
      <c r="U98" s="12">
        <v>39960</v>
      </c>
      <c r="V98" s="13"/>
      <c r="W98" s="13"/>
      <c r="X98" s="106">
        <v>500</v>
      </c>
    </row>
    <row r="99" spans="1:26">
      <c r="A99" s="140" t="s">
        <v>98</v>
      </c>
      <c r="B99" s="51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3</v>
      </c>
      <c r="O99" s="135"/>
      <c r="P99" s="10"/>
      <c r="Q99" s="118"/>
      <c r="R99" s="52">
        <v>76859.439835869358</v>
      </c>
      <c r="S99" s="25">
        <v>76859.439835869358</v>
      </c>
      <c r="T99" s="12">
        <v>79933.817429304137</v>
      </c>
      <c r="U99" s="12">
        <v>83008.195022738902</v>
      </c>
      <c r="V99" s="13"/>
      <c r="W99" s="13"/>
      <c r="X99" s="14"/>
    </row>
    <row r="100" spans="1:26" ht="30">
      <c r="A100" s="102" t="s">
        <v>99</v>
      </c>
      <c r="B100" s="51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34">
        <f>SUM(N71:N99)</f>
        <v>346</v>
      </c>
      <c r="O100" s="135"/>
      <c r="P100" s="10"/>
      <c r="R100" s="74"/>
      <c r="S100" s="14"/>
      <c r="T100" s="12"/>
      <c r="U100" s="12"/>
      <c r="V100" s="13"/>
      <c r="W100" s="13"/>
      <c r="X100" s="14"/>
    </row>
    <row r="101" spans="1:26">
      <c r="A101" s="22" t="s">
        <v>103</v>
      </c>
      <c r="B101" s="51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2</v>
      </c>
      <c r="J101" s="11"/>
      <c r="K101" s="10"/>
      <c r="L101" s="10"/>
      <c r="M101" s="11"/>
      <c r="N101" s="134">
        <f t="shared" ref="N101:N113" si="4">M101+L101+K101+J101+I101+H101+G101+F101+E101+D101+C101</f>
        <v>2</v>
      </c>
      <c r="O101" s="135"/>
      <c r="P101" s="10"/>
      <c r="Q101" s="118"/>
      <c r="R101" s="74" t="s">
        <v>1593</v>
      </c>
      <c r="S101" s="90">
        <v>35000</v>
      </c>
      <c r="T101" s="12">
        <v>36400</v>
      </c>
      <c r="U101" s="12">
        <v>37800</v>
      </c>
      <c r="V101" s="13">
        <v>999.75486505273147</v>
      </c>
      <c r="W101" s="13"/>
      <c r="X101" s="106">
        <v>500</v>
      </c>
    </row>
    <row r="102" spans="1:26">
      <c r="A102" s="78" t="s">
        <v>1315</v>
      </c>
      <c r="B102" s="51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>
        <v>1</v>
      </c>
      <c r="J102" s="11">
        <v>1</v>
      </c>
      <c r="K102" s="10">
        <v>1</v>
      </c>
      <c r="L102" s="10"/>
      <c r="M102" s="11"/>
      <c r="N102" s="134">
        <f t="shared" si="4"/>
        <v>3</v>
      </c>
      <c r="O102" s="135"/>
      <c r="P102" s="10"/>
      <c r="Q102" s="118"/>
      <c r="R102" s="74" t="s">
        <v>1593</v>
      </c>
      <c r="S102" s="90">
        <v>36000</v>
      </c>
      <c r="T102" s="12">
        <v>37440</v>
      </c>
      <c r="U102" s="12">
        <v>38880</v>
      </c>
      <c r="V102" s="13"/>
      <c r="W102" s="13"/>
      <c r="X102" s="106">
        <v>500</v>
      </c>
    </row>
    <row r="103" spans="1:26">
      <c r="A103" s="22" t="s">
        <v>104</v>
      </c>
      <c r="B103" s="51" t="str">
        <f>IFERROR(HYPERLINK(VLOOKUP(A103,ÜRÜNLER!A:C,3,FALSE),VLOOKUP(A103,ÜRÜNLER!A:B,2,FALSE)),"")</f>
        <v>iQ300 Isı Pompalı Kurutma Makinesi, 9kg, Beyaz</v>
      </c>
      <c r="C103" s="8">
        <v>23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2</v>
      </c>
      <c r="L103" s="10"/>
      <c r="M103" s="11">
        <v>1</v>
      </c>
      <c r="N103" s="134">
        <f t="shared" si="4"/>
        <v>28</v>
      </c>
      <c r="O103" s="135">
        <v>460</v>
      </c>
      <c r="P103" s="10">
        <v>15</v>
      </c>
      <c r="Q103" s="118"/>
      <c r="R103" s="52">
        <v>39552.883298190849</v>
      </c>
      <c r="S103" s="53">
        <v>38366.296799245123</v>
      </c>
      <c r="T103" s="12">
        <v>39900.94867121493</v>
      </c>
      <c r="U103" s="12">
        <v>41435.60054318473</v>
      </c>
      <c r="V103" s="13">
        <v>3323.813530748987</v>
      </c>
      <c r="W103" s="13"/>
      <c r="X103" s="14"/>
    </row>
    <row r="104" spans="1:26">
      <c r="A104" s="145" t="s">
        <v>100</v>
      </c>
      <c r="B104" s="51" t="str">
        <f>IFERROR(HYPERLINK(VLOOKUP(A104,ÜRÜNLER!A:C,3,FALSE),VLOOKUP(A104,ÜRÜNLER!A:B,2,FALSE)),"")</f>
        <v>iQ500 Isı Pompalı Kurutma Makinesi, 9kg, Beyaz</v>
      </c>
      <c r="C104" s="8">
        <v>25</v>
      </c>
      <c r="D104" s="8"/>
      <c r="E104" s="9"/>
      <c r="F104" s="9"/>
      <c r="G104" s="10"/>
      <c r="H104" s="10"/>
      <c r="I104" s="11"/>
      <c r="J104" s="11">
        <v>1</v>
      </c>
      <c r="K104" s="10"/>
      <c r="L104" s="10"/>
      <c r="M104" s="11"/>
      <c r="N104" s="134">
        <f t="shared" si="4"/>
        <v>26</v>
      </c>
      <c r="O104" s="135">
        <v>51</v>
      </c>
      <c r="P104" s="10"/>
      <c r="Q104" s="118"/>
      <c r="R104" s="52">
        <v>43183.847091032105</v>
      </c>
      <c r="S104" s="25">
        <v>43183.847091032105</v>
      </c>
      <c r="T104" s="12">
        <v>44911.200974673389</v>
      </c>
      <c r="U104" s="12">
        <v>46638.554858314674</v>
      </c>
      <c r="V104" s="13">
        <v>3324.5447654507084</v>
      </c>
      <c r="W104" s="13"/>
      <c r="Z104" s="27" t="s">
        <v>1594</v>
      </c>
    </row>
    <row r="105" spans="1:26">
      <c r="A105" s="78" t="s">
        <v>1343</v>
      </c>
      <c r="B105" s="51" t="str">
        <f>IFERROR(HYPERLINK(VLOOKUP(A105,ÜRÜNLER!A:C,3,FALSE),VLOOKUP(A105,ÜRÜNLER!A:B,2,FALSE)),"")</f>
        <v>iQ500 Isı Pompalı Kurutma Makinesi, 9kg, Gümüş</v>
      </c>
      <c r="C105" s="8">
        <v>20</v>
      </c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/>
      <c r="N105" s="134">
        <f t="shared" si="4"/>
        <v>21</v>
      </c>
      <c r="O105" s="135">
        <v>213</v>
      </c>
      <c r="P105" s="10"/>
      <c r="Q105" s="118"/>
      <c r="R105" s="52">
        <v>43404.733782129748</v>
      </c>
      <c r="S105" s="25">
        <v>43404.733782129748</v>
      </c>
      <c r="T105" s="12">
        <v>45140.923133414937</v>
      </c>
      <c r="U105" s="12">
        <v>46877.112484700127</v>
      </c>
      <c r="V105" s="13">
        <v>721.01285189718328</v>
      </c>
      <c r="W105" s="13"/>
      <c r="Z105" s="27" t="s">
        <v>1594</v>
      </c>
    </row>
    <row r="106" spans="1:26">
      <c r="A106" s="146" t="s">
        <v>101</v>
      </c>
      <c r="B106" s="51" t="str">
        <f>IFERROR(HYPERLINK(VLOOKUP(A106,ÜRÜNLER!A:C,3,FALSE),VLOOKUP(A106,ÜRÜNLER!A:B,2,FALSE)),"")</f>
        <v>iQ500 Isı Pompalı Kurutma Makinesi, 9kg, Beyaz</v>
      </c>
      <c r="C106" s="8">
        <v>36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>
        <v>1</v>
      </c>
      <c r="N106" s="134">
        <f t="shared" si="4"/>
        <v>38</v>
      </c>
      <c r="O106" s="135">
        <v>111</v>
      </c>
      <c r="P106" s="10"/>
      <c r="Q106" s="118"/>
      <c r="R106" s="52">
        <v>46206.703389937567</v>
      </c>
      <c r="S106" s="53">
        <v>44820.502288239441</v>
      </c>
      <c r="T106" s="12">
        <v>46613.322379769015</v>
      </c>
      <c r="U106" s="12">
        <v>48406.142471298597</v>
      </c>
      <c r="V106" s="13">
        <v>3767.1685062166362</v>
      </c>
      <c r="W106" s="13"/>
      <c r="X106" s="29"/>
    </row>
    <row r="107" spans="1:26">
      <c r="A107" s="22" t="s">
        <v>105</v>
      </c>
      <c r="B107" s="51" t="str">
        <f>IFERROR(HYPERLINK(VLOOKUP(A107,ÜRÜNLER!A:C,3,FALSE),VLOOKUP(A107,ÜRÜNLER!A:B,2,FALSE)),"")</f>
        <v>iQ500 Isı Pompalı Kurutma Makinesi, 9kg, SelfClean, Beyaz</v>
      </c>
      <c r="C107" s="8">
        <v>57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34">
        <f t="shared" si="4"/>
        <v>62</v>
      </c>
      <c r="O107" s="135"/>
      <c r="P107" s="10"/>
      <c r="Q107" s="118"/>
      <c r="R107" s="74" t="s">
        <v>1593</v>
      </c>
      <c r="S107" s="18">
        <v>36000</v>
      </c>
      <c r="T107" s="12">
        <v>37440</v>
      </c>
      <c r="U107" s="12">
        <v>38880</v>
      </c>
      <c r="V107" s="13"/>
      <c r="W107" s="13"/>
      <c r="X107" s="80">
        <v>250</v>
      </c>
    </row>
    <row r="108" spans="1:26">
      <c r="A108" s="22" t="s">
        <v>106</v>
      </c>
      <c r="B108" s="51" t="str">
        <f>IFERROR(HYPERLINK(VLOOKUP(A108,ÜRÜNLER!A:C,3,FALSE),VLOOKUP(A108,ÜRÜNLER!A:B,2,FALSE)),"")</f>
        <v>iQ700 Isı Pompalı Kurutma Makinesi, 9kg, Beyaz</v>
      </c>
      <c r="C108" s="8">
        <v>138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0"/>
      <c r="M108" s="11"/>
      <c r="N108" s="134">
        <f t="shared" si="4"/>
        <v>141</v>
      </c>
      <c r="O108" s="135">
        <v>18</v>
      </c>
      <c r="P108" s="10"/>
      <c r="Q108" s="118"/>
      <c r="R108" s="52">
        <v>61286.692413916055</v>
      </c>
      <c r="S108" s="47">
        <v>58835.224717359415</v>
      </c>
      <c r="T108" s="12">
        <v>61188.633706053792</v>
      </c>
      <c r="U108" s="12">
        <v>63542.042694748168</v>
      </c>
      <c r="V108" s="13">
        <v>1013.4365999625588</v>
      </c>
      <c r="W108" s="13"/>
      <c r="X108" s="14"/>
    </row>
    <row r="109" spans="1:26">
      <c r="A109" s="78" t="s">
        <v>107</v>
      </c>
      <c r="B109" s="51" t="str">
        <f>IFERROR(HYPERLINK(VLOOKUP(A109,ÜRÜNLER!A:C,3,FALSE),VLOOKUP(A109,ÜRÜNLER!A:B,2,FALSE)),"")</f>
        <v>iQ700 Isı Pompalı Kurutma Makinesi, 9kg, Gümüş</v>
      </c>
      <c r="C109" s="8">
        <v>92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34">
        <f t="shared" si="4"/>
        <v>95</v>
      </c>
      <c r="O109" s="135">
        <v>26</v>
      </c>
      <c r="P109" s="10"/>
      <c r="Q109" s="118"/>
      <c r="R109" s="52">
        <v>62304.674762486175</v>
      </c>
      <c r="S109" s="47">
        <v>59812.487771986729</v>
      </c>
      <c r="T109" s="12">
        <v>62204.987282866197</v>
      </c>
      <c r="U109" s="12">
        <v>64597.486793745666</v>
      </c>
      <c r="V109" s="13">
        <v>1038.3956927187319</v>
      </c>
      <c r="W109" s="13"/>
      <c r="X109" s="14"/>
    </row>
    <row r="110" spans="1:26">
      <c r="A110" s="22" t="s">
        <v>472</v>
      </c>
      <c r="B110" s="51" t="str">
        <f>IFERROR(HYPERLINK(VLOOKUP(A110,ÜRÜNLER!A:C,3,FALSE),VLOOKUP(A110,ÜRÜNLER!A:B,2,FALSE)),"")</f>
        <v>iQ300 Isı Pompalı Kurutma Makinesi, 10kg, Beyaz</v>
      </c>
      <c r="C110" s="8">
        <v>174</v>
      </c>
      <c r="D110" s="8"/>
      <c r="E110" s="9"/>
      <c r="F110" s="9"/>
      <c r="G110" s="10"/>
      <c r="H110" s="10"/>
      <c r="I110" s="11"/>
      <c r="J110" s="11"/>
      <c r="K110" s="10"/>
      <c r="L110" s="10"/>
      <c r="M110" s="11">
        <v>1</v>
      </c>
      <c r="N110" s="134">
        <f t="shared" si="4"/>
        <v>175</v>
      </c>
      <c r="O110" s="135">
        <v>149</v>
      </c>
      <c r="P110" s="10"/>
      <c r="Q110" s="118"/>
      <c r="R110" s="52">
        <v>42717.122969696531</v>
      </c>
      <c r="S110" s="47">
        <v>41008.43805090867</v>
      </c>
      <c r="T110" s="12">
        <v>42648.775572945015</v>
      </c>
      <c r="U110" s="12">
        <v>44289.113094981367</v>
      </c>
      <c r="V110" s="13">
        <v>2898.5183185337378</v>
      </c>
      <c r="W110" s="13"/>
      <c r="X110" s="12"/>
    </row>
    <row r="111" spans="1:26">
      <c r="A111" s="139" t="s">
        <v>1312</v>
      </c>
      <c r="B111" s="51" t="str">
        <f>IFERROR(HYPERLINK(VLOOKUP(A111,ÜRÜNLER!A:C,3,FALSE),VLOOKUP(A111,ÜRÜNLER!A:B,2,FALSE)),"")</f>
        <v>iQ500 Isı Pompalı Kurutma Makinesi, 10kg, Antrasit/Dark</v>
      </c>
      <c r="C111" s="8">
        <v>96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0"/>
      <c r="M111" s="11">
        <v>1</v>
      </c>
      <c r="N111" s="134">
        <f t="shared" si="4"/>
        <v>99</v>
      </c>
      <c r="O111" s="135">
        <v>101</v>
      </c>
      <c r="P111" s="10"/>
      <c r="Q111" s="118"/>
      <c r="R111" s="52">
        <v>45281.496328029381</v>
      </c>
      <c r="S111" s="47">
        <v>43470.236474908204</v>
      </c>
      <c r="T111" s="12">
        <v>45209.045933904534</v>
      </c>
      <c r="U111" s="12">
        <v>46947.855392900863</v>
      </c>
      <c r="V111" s="13">
        <v>750.10097919217515</v>
      </c>
      <c r="W111" s="13"/>
      <c r="X111" s="12"/>
    </row>
    <row r="112" spans="1:26">
      <c r="A112" s="22" t="s">
        <v>109</v>
      </c>
      <c r="B112" s="51" t="str">
        <f>IFERROR(HYPERLINK(VLOOKUP(A112,ÜRÜNLER!A:C,3,FALSE),VLOOKUP(A112,ÜRÜNLER!A:B,2,FALSE)),"")</f>
        <v>iQ500 Isı Pompalı Kurutma Makinesi, 10kg, Beyaz</v>
      </c>
      <c r="C112" s="8">
        <v>19</v>
      </c>
      <c r="D112" s="8"/>
      <c r="E112" s="9"/>
      <c r="F112" s="9"/>
      <c r="G112" s="10"/>
      <c r="H112" s="10"/>
      <c r="I112" s="11"/>
      <c r="J112" s="11">
        <v>1</v>
      </c>
      <c r="K112" s="10"/>
      <c r="L112" s="10"/>
      <c r="M112" s="11"/>
      <c r="N112" s="134">
        <f t="shared" si="4"/>
        <v>20</v>
      </c>
      <c r="O112" s="135">
        <v>37</v>
      </c>
      <c r="P112" s="10"/>
      <c r="Q112" s="118"/>
      <c r="R112" s="52">
        <v>45280.150347878327</v>
      </c>
      <c r="S112" s="53">
        <v>43921.74583744198</v>
      </c>
      <c r="T112" s="12">
        <v>45678.61567093966</v>
      </c>
      <c r="U112" s="12">
        <v>47435.48550443734</v>
      </c>
      <c r="V112" s="13">
        <v>1823.1736036922812</v>
      </c>
      <c r="W112" s="13"/>
      <c r="X112" s="14"/>
    </row>
    <row r="113" spans="1:24">
      <c r="A113" s="22" t="s">
        <v>102</v>
      </c>
      <c r="B113" s="51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0"/>
      <c r="M113" s="11">
        <v>1</v>
      </c>
      <c r="N113" s="134">
        <f t="shared" si="4"/>
        <v>4</v>
      </c>
      <c r="O113" s="135"/>
      <c r="P113" s="10">
        <v>1</v>
      </c>
      <c r="Q113" s="118"/>
      <c r="R113" s="74" t="s">
        <v>1593</v>
      </c>
      <c r="S113" s="90">
        <v>34000</v>
      </c>
      <c r="T113" s="12">
        <v>35360</v>
      </c>
      <c r="U113" s="12">
        <v>36720</v>
      </c>
      <c r="V113" s="13">
        <v>1688.3520936309287</v>
      </c>
      <c r="W113" s="13"/>
      <c r="X113" s="80">
        <v>500</v>
      </c>
    </row>
    <row r="114" spans="1:24" s="26" customFormat="1" ht="29.25" customHeight="1">
      <c r="A114" s="129" t="s">
        <v>110</v>
      </c>
      <c r="B114" s="51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0"/>
      <c r="M114" s="11"/>
      <c r="N114" s="134">
        <f>SUM(N101:N113)</f>
        <v>714</v>
      </c>
      <c r="O114" s="135"/>
      <c r="P114" s="10"/>
      <c r="Q114" s="118"/>
      <c r="R114" s="74"/>
      <c r="S114" s="25"/>
      <c r="T114" s="12"/>
      <c r="U114" s="12"/>
      <c r="V114" s="13"/>
      <c r="W114" s="13"/>
      <c r="X114" s="25"/>
    </row>
    <row r="115" spans="1:24">
      <c r="A115" s="22" t="s">
        <v>113</v>
      </c>
      <c r="B115" s="51" t="str">
        <f>IFERROR(HYPERLINK(VLOOKUP(A115,ÜRÜNLER!A:C,3,FALSE),VLOOKUP(A115,ÜRÜNLER!A:B,2,FALSE)),"")</f>
        <v>iQ500 Solo Bulaşık Makinesi, autoOpen dry, glassZone, Inox</v>
      </c>
      <c r="C115" s="8">
        <v>55</v>
      </c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 t="shared" ref="N115:N139" si="5">M115+L115+K115+J115+I115+H115+G115+F115+E115+D115+C115</f>
        <v>55</v>
      </c>
      <c r="O115" s="135"/>
      <c r="P115" s="10"/>
      <c r="Q115" s="118"/>
      <c r="R115" s="52">
        <v>34870.887438360529</v>
      </c>
      <c r="S115" s="53">
        <v>33824.760815209716</v>
      </c>
      <c r="T115" s="12">
        <v>35177.751247818102</v>
      </c>
      <c r="U115" s="12">
        <v>36530.741680426494</v>
      </c>
      <c r="V115" s="13"/>
      <c r="W115" s="13"/>
      <c r="X115" s="14"/>
    </row>
    <row r="116" spans="1:24">
      <c r="A116" s="147" t="s">
        <v>114</v>
      </c>
      <c r="B116" s="51" t="str">
        <f>IFERROR(HYPERLINK(VLOOKUP(A116,ÜRÜNLER!A:C,3,FALSE),VLOOKUP(A116,ÜRÜNLER!A:B,2,FALSE)),"")</f>
        <v>iQ500 Solo Bulaşık Makinesi, autoOpen dry, glassZone, darkSteel</v>
      </c>
      <c r="C116" s="8">
        <v>75</v>
      </c>
      <c r="D116" s="8"/>
      <c r="E116" s="9"/>
      <c r="F116" s="9"/>
      <c r="G116" s="10"/>
      <c r="H116" s="10"/>
      <c r="I116" s="11">
        <v>1</v>
      </c>
      <c r="J116" s="11"/>
      <c r="K116" s="10"/>
      <c r="L116" s="10"/>
      <c r="M116" s="11">
        <v>1</v>
      </c>
      <c r="N116" s="134">
        <f t="shared" si="5"/>
        <v>77</v>
      </c>
      <c r="O116" s="135"/>
      <c r="P116" s="10"/>
      <c r="Q116" s="118"/>
      <c r="R116" s="52">
        <v>36598.639411676661</v>
      </c>
      <c r="S116" s="53">
        <v>35500.680229326361</v>
      </c>
      <c r="T116" s="12">
        <v>36920.707438499412</v>
      </c>
      <c r="U116" s="12">
        <v>38340.734647672471</v>
      </c>
      <c r="V116" s="13"/>
      <c r="W116" s="13"/>
      <c r="X116" s="14"/>
    </row>
    <row r="117" spans="1:24">
      <c r="A117" s="22" t="s">
        <v>112</v>
      </c>
      <c r="B117" s="51" t="str">
        <f>IFERROR(HYPERLINK(VLOOKUP(A117,ÜRÜNLER!A:C,3,FALSE),VLOOKUP(A117,ÜRÜNLER!A:B,2,FALSE)),"")</f>
        <v>iQ500 Solo Bulaşık Makinesi, autoOpen dry, glassZone, Beyaz</v>
      </c>
      <c r="C117" s="8">
        <v>72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4">
        <f t="shared" si="5"/>
        <v>72</v>
      </c>
      <c r="O117" s="135">
        <v>56</v>
      </c>
      <c r="P117" s="10"/>
      <c r="Q117" s="118"/>
      <c r="R117" s="52">
        <v>33143.160274625188</v>
      </c>
      <c r="S117" s="25">
        <v>33143.160274625188</v>
      </c>
      <c r="T117" s="12">
        <v>34468.886685610196</v>
      </c>
      <c r="U117" s="12">
        <v>35794.613096595203</v>
      </c>
      <c r="V117" s="13"/>
      <c r="W117" s="13"/>
      <c r="X117" s="14"/>
    </row>
    <row r="118" spans="1:24">
      <c r="A118" s="22" t="s">
        <v>115</v>
      </c>
      <c r="B118" s="51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0"/>
      <c r="M118" s="11">
        <v>1</v>
      </c>
      <c r="N118" s="134">
        <f t="shared" si="5"/>
        <v>84</v>
      </c>
      <c r="O118" s="135"/>
      <c r="P118" s="10"/>
      <c r="Q118" s="122" t="s">
        <v>1549</v>
      </c>
      <c r="R118" s="52">
        <v>26912.422161822386</v>
      </c>
      <c r="S118" s="77">
        <v>26500</v>
      </c>
      <c r="T118" s="12">
        <v>27560</v>
      </c>
      <c r="U118" s="12">
        <v>28620</v>
      </c>
      <c r="V118" s="13">
        <v>4431.0268129851756</v>
      </c>
      <c r="W118" s="13"/>
      <c r="X118" s="14"/>
    </row>
    <row r="119" spans="1:24">
      <c r="A119" s="22" t="s">
        <v>116</v>
      </c>
      <c r="B119" s="51" t="str">
        <f>IFERROR(HYPERLINK(VLOOKUP(A119,ÜRÜNLER!A:C,3,FALSE),VLOOKUP(A119,ÜRÜNLER!A:B,2,FALSE)),"")</f>
        <v>iQ100 Solo Bulaşık Makinesi, Beyaz</v>
      </c>
      <c r="C119" s="8">
        <v>43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0"/>
      <c r="M119" s="11"/>
      <c r="N119" s="134">
        <f t="shared" si="5"/>
        <v>47</v>
      </c>
      <c r="O119" s="135"/>
      <c r="P119" s="10"/>
      <c r="Q119" s="122" t="s">
        <v>1549</v>
      </c>
      <c r="R119" s="52">
        <v>25739.691797415708</v>
      </c>
      <c r="S119" s="25">
        <v>26000</v>
      </c>
      <c r="T119" s="12">
        <v>27040</v>
      </c>
      <c r="U119" s="12">
        <v>28080</v>
      </c>
      <c r="V119" s="13">
        <v>5382.7150532296619</v>
      </c>
      <c r="W119" s="13"/>
      <c r="X119" s="14"/>
    </row>
    <row r="120" spans="1:24">
      <c r="A120" s="30" t="s">
        <v>126</v>
      </c>
      <c r="B120" s="51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>
        <v>2</v>
      </c>
      <c r="J120" s="11"/>
      <c r="K120" s="10"/>
      <c r="L120" s="10"/>
      <c r="M120" s="11"/>
      <c r="N120" s="134">
        <f t="shared" si="5"/>
        <v>2</v>
      </c>
      <c r="O120" s="135"/>
      <c r="P120" s="10"/>
      <c r="Q120" s="118"/>
      <c r="R120" s="74" t="s">
        <v>1593</v>
      </c>
      <c r="S120" s="130">
        <v>29000</v>
      </c>
      <c r="T120" s="12">
        <v>30160</v>
      </c>
      <c r="U120" s="12">
        <v>31320</v>
      </c>
      <c r="V120" s="13"/>
      <c r="W120" s="18">
        <v>7673.54</v>
      </c>
      <c r="X120" s="106">
        <v>500</v>
      </c>
    </row>
    <row r="121" spans="1:24">
      <c r="A121" s="22" t="s">
        <v>127</v>
      </c>
      <c r="B121" s="51" t="str">
        <f>IFERROR(HYPERLINK(VLOOKUP(A121,ÜRÜNLER!A:C,3,FALSE),VLOOKUP(A121,ÜRÜNLER!A:B,2,FALSE)),"")</f>
        <v>iQ500 Solo Bulaşık Makinesi, autoOpen dry, Beyaz</v>
      </c>
      <c r="C121" s="8">
        <v>8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4">
        <f t="shared" si="5"/>
        <v>12</v>
      </c>
      <c r="O121" s="135"/>
      <c r="P121" s="10"/>
      <c r="Q121" s="118"/>
      <c r="R121" s="74" t="s">
        <v>1593</v>
      </c>
      <c r="S121" s="48">
        <v>32000</v>
      </c>
      <c r="T121" s="12">
        <v>33280</v>
      </c>
      <c r="U121" s="12">
        <v>34560</v>
      </c>
      <c r="V121" s="13"/>
      <c r="W121" s="18">
        <v>7385.22</v>
      </c>
      <c r="X121" s="106">
        <v>500</v>
      </c>
    </row>
    <row r="122" spans="1:24">
      <c r="A122" s="22" t="s">
        <v>117</v>
      </c>
      <c r="B122" s="51" t="str">
        <f>IFERROR(HYPERLINK(VLOOKUP(A122,ÜRÜNLER!A:C,3,FALSE),VLOOKUP(A122,ÜRÜNLER!A:B,2,FALSE)),"")</f>
        <v>iQ300 Solo Bulaşık Makinesi, autoOpen dry, Beyaz</v>
      </c>
      <c r="C122" s="8">
        <v>37</v>
      </c>
      <c r="D122" s="8"/>
      <c r="E122" s="9"/>
      <c r="F122" s="9"/>
      <c r="G122" s="10"/>
      <c r="H122" s="10"/>
      <c r="I122" s="11"/>
      <c r="J122" s="11"/>
      <c r="K122" s="10"/>
      <c r="L122" s="10"/>
      <c r="M122" s="11"/>
      <c r="N122" s="134">
        <f t="shared" si="5"/>
        <v>37</v>
      </c>
      <c r="O122" s="135">
        <v>26</v>
      </c>
      <c r="P122" s="10"/>
      <c r="Q122" s="118"/>
      <c r="R122" s="52">
        <v>32345.602571936837</v>
      </c>
      <c r="S122" s="53">
        <v>31375.234494778731</v>
      </c>
      <c r="T122" s="12">
        <v>32630.243874569882</v>
      </c>
      <c r="U122" s="12">
        <v>33885.253254361029</v>
      </c>
      <c r="V122" s="13">
        <v>8244.4397812391617</v>
      </c>
      <c r="W122" s="13"/>
      <c r="X122" s="14"/>
    </row>
    <row r="123" spans="1:24">
      <c r="A123" s="147" t="s">
        <v>118</v>
      </c>
      <c r="B123" s="51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0"/>
      <c r="M123" s="11"/>
      <c r="N123" s="134">
        <f t="shared" si="5"/>
        <v>2</v>
      </c>
      <c r="O123" s="135"/>
      <c r="P123" s="10"/>
      <c r="Q123" s="118"/>
      <c r="R123" s="74" t="s">
        <v>1593</v>
      </c>
      <c r="S123" s="45">
        <v>43883.733034453959</v>
      </c>
      <c r="T123" s="12">
        <v>45639.082355832114</v>
      </c>
      <c r="U123" s="12">
        <v>47394.431677210276</v>
      </c>
      <c r="V123" s="13">
        <v>4566.6405558881088</v>
      </c>
      <c r="W123" s="13"/>
      <c r="X123" s="14">
        <v>250</v>
      </c>
    </row>
    <row r="124" spans="1:24">
      <c r="A124" s="30" t="s">
        <v>119</v>
      </c>
      <c r="B124" s="51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0"/>
      <c r="M124" s="11"/>
      <c r="N124" s="134">
        <f t="shared" si="5"/>
        <v>1</v>
      </c>
      <c r="O124" s="135"/>
      <c r="P124" s="10"/>
      <c r="Q124" s="118"/>
      <c r="R124" s="74" t="s">
        <v>1593</v>
      </c>
      <c r="S124" s="45">
        <v>43000</v>
      </c>
      <c r="T124" s="12">
        <v>44720</v>
      </c>
      <c r="U124" s="12">
        <v>46440</v>
      </c>
      <c r="V124" s="13">
        <v>4566.6375537932909</v>
      </c>
      <c r="W124" s="13"/>
      <c r="X124" s="106">
        <v>500</v>
      </c>
    </row>
    <row r="125" spans="1:24">
      <c r="A125" s="79" t="s">
        <v>120</v>
      </c>
      <c r="B125" s="51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0"/>
      <c r="M125" s="11"/>
      <c r="N125" s="134">
        <f t="shared" si="5"/>
        <v>8</v>
      </c>
      <c r="O125" s="135">
        <v>1</v>
      </c>
      <c r="P125" s="10"/>
      <c r="Q125" s="118"/>
      <c r="R125" s="52">
        <v>45858.498018909566</v>
      </c>
      <c r="S125" s="53">
        <v>44482.743078342282</v>
      </c>
      <c r="T125" s="12">
        <v>46262.052801475977</v>
      </c>
      <c r="U125" s="12">
        <v>48041.362524609664</v>
      </c>
      <c r="V125" s="13">
        <v>4566.6375537932909</v>
      </c>
      <c r="W125" s="13"/>
      <c r="X125" s="14"/>
    </row>
    <row r="126" spans="1:24">
      <c r="A126" s="139" t="s">
        <v>121</v>
      </c>
      <c r="B126" s="51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0"/>
      <c r="M126" s="11">
        <v>1</v>
      </c>
      <c r="N126" s="134">
        <f t="shared" si="5"/>
        <v>4</v>
      </c>
      <c r="O126" s="135"/>
      <c r="P126" s="10"/>
      <c r="Q126" s="118"/>
      <c r="R126" s="74" t="s">
        <v>1593</v>
      </c>
      <c r="S126" s="45">
        <v>33250</v>
      </c>
      <c r="T126" s="12">
        <v>34580</v>
      </c>
      <c r="U126" s="12">
        <v>35910</v>
      </c>
      <c r="V126" s="13">
        <v>3410.9552171663272</v>
      </c>
      <c r="W126" s="13"/>
      <c r="X126" s="14"/>
    </row>
    <row r="127" spans="1:24">
      <c r="A127" s="30" t="s">
        <v>122</v>
      </c>
      <c r="B127" s="51" t="str">
        <f>IFERROR(HYPERLINK(VLOOKUP(A127,ÜRÜNLER!A:C,3,FALSE),VLOOKUP(A127,ÜRÜNLER!A:B,2,FALSE)),"")</f>
        <v>iQ300 Solo Bulaşık Makinesi, Inox</v>
      </c>
      <c r="C127" s="8">
        <v>40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2</v>
      </c>
      <c r="L127" s="10"/>
      <c r="M127" s="11"/>
      <c r="N127" s="134">
        <f t="shared" si="5"/>
        <v>44</v>
      </c>
      <c r="O127" s="135">
        <v>53</v>
      </c>
      <c r="P127" s="10"/>
      <c r="Q127" s="119"/>
      <c r="R127" s="52">
        <v>33869.608742468881</v>
      </c>
      <c r="S127" s="53">
        <v>32853.520480194813</v>
      </c>
      <c r="T127" s="12">
        <v>34167.661299402607</v>
      </c>
      <c r="U127" s="12">
        <v>35481.802118610402</v>
      </c>
      <c r="V127" s="13">
        <v>8474.2599052595797</v>
      </c>
      <c r="W127" s="13"/>
      <c r="X127" s="14"/>
    </row>
    <row r="128" spans="1:24">
      <c r="A128" s="30" t="s">
        <v>124</v>
      </c>
      <c r="B128" s="51" t="str">
        <f>IFERROR(HYPERLINK(VLOOKUP(A128,ÜRÜNLER!A:C,3,FALSE),VLOOKUP(A128,ÜRÜNLER!A:B,2,FALSE)),"")</f>
        <v>iQ300 Solo Bulaşık Makinesi, Beyaz</v>
      </c>
      <c r="C128" s="8">
        <v>113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0"/>
      <c r="M128" s="11">
        <v>1</v>
      </c>
      <c r="N128" s="134">
        <f t="shared" si="5"/>
        <v>118</v>
      </c>
      <c r="O128" s="135">
        <v>1</v>
      </c>
      <c r="P128" s="10"/>
      <c r="Q128" s="119"/>
      <c r="R128" s="52">
        <v>31727.44101962983</v>
      </c>
      <c r="S128" s="53">
        <v>30775.617789040934</v>
      </c>
      <c r="T128" s="12">
        <v>32006.642500602571</v>
      </c>
      <c r="U128" s="12">
        <v>33237.667212164211</v>
      </c>
      <c r="V128" s="13">
        <v>8513.4875312577387</v>
      </c>
      <c r="W128" s="13"/>
      <c r="X128" s="14"/>
    </row>
    <row r="129" spans="1:26">
      <c r="A129" s="30" t="s">
        <v>123</v>
      </c>
      <c r="B129" s="51" t="str">
        <f>IFERROR(HYPERLINK(VLOOKUP(A129,ÜRÜNLER!A:C,3,FALSE),VLOOKUP(A129,ÜRÜNLER!A:B,2,FALSE)),"")</f>
        <v>iQ300 Solo Bulaşık Makinesi, Üstten Sepetli, Inox</v>
      </c>
      <c r="C129" s="8">
        <v>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/>
      <c r="M129" s="11"/>
      <c r="N129" s="134">
        <f t="shared" si="5"/>
        <v>4</v>
      </c>
      <c r="O129" s="135">
        <v>24</v>
      </c>
      <c r="P129" s="10"/>
      <c r="Q129" s="118"/>
      <c r="R129" s="52">
        <v>34092.320440763455</v>
      </c>
      <c r="S129" s="53">
        <v>33069.550827540552</v>
      </c>
      <c r="T129" s="12">
        <v>34392.332860642171</v>
      </c>
      <c r="U129" s="12">
        <v>35715.114893743797</v>
      </c>
      <c r="V129" s="13">
        <v>4619.0646268099663</v>
      </c>
      <c r="W129" s="13"/>
      <c r="X129" s="14"/>
    </row>
    <row r="130" spans="1:26">
      <c r="A130" s="22" t="s">
        <v>125</v>
      </c>
      <c r="B130" s="51" t="str">
        <f>IFERROR(HYPERLINK(VLOOKUP(A130,ÜRÜNLER!A:C,3,FALSE),VLOOKUP(A130,ÜRÜNLER!A:B,2,FALSE)),"")</f>
        <v>iQ300 Solo Bulaşık Makinesi, Üstten Sepetli, Beyaz</v>
      </c>
      <c r="C130" s="8">
        <v>11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0"/>
      <c r="M130" s="11"/>
      <c r="N130" s="134">
        <f t="shared" si="5"/>
        <v>15</v>
      </c>
      <c r="O130" s="135"/>
      <c r="P130" s="10"/>
      <c r="Q130" s="118"/>
      <c r="R130" s="52">
        <v>31969.828311913185</v>
      </c>
      <c r="S130" s="53">
        <v>31010.733462555789</v>
      </c>
      <c r="T130" s="12">
        <v>32251.162801058021</v>
      </c>
      <c r="U130" s="12">
        <v>33491.592139560249</v>
      </c>
      <c r="V130" s="13">
        <v>4718.6655212155092</v>
      </c>
      <c r="W130" s="13"/>
      <c r="X130" s="14"/>
    </row>
    <row r="131" spans="1:26">
      <c r="A131" s="22" t="s">
        <v>128</v>
      </c>
      <c r="B131" s="51" t="str">
        <f>IFERROR(HYPERLINK(VLOOKUP(A131,ÜRÜNLER!A:C,3,FALSE),VLOOKUP(A131,ÜRÜNLER!A:B,2,FALSE)),"")</f>
        <v>iQ500 Solo Bulaşık Makinesi, autoOpen dry, Inox</v>
      </c>
      <c r="C131" s="8">
        <v>4</v>
      </c>
      <c r="D131" s="8"/>
      <c r="E131" s="9"/>
      <c r="F131" s="9"/>
      <c r="G131" s="10"/>
      <c r="H131" s="10"/>
      <c r="I131" s="11"/>
      <c r="J131" s="11">
        <v>1</v>
      </c>
      <c r="K131" s="10"/>
      <c r="L131" s="10"/>
      <c r="M131" s="11"/>
      <c r="N131" s="134">
        <f t="shared" si="5"/>
        <v>5</v>
      </c>
      <c r="O131" s="135">
        <v>14</v>
      </c>
      <c r="P131" s="10"/>
      <c r="Q131" s="118"/>
      <c r="R131" s="52">
        <v>36784.46537578087</v>
      </c>
      <c r="S131" s="25">
        <v>36784.46537578087</v>
      </c>
      <c r="T131" s="12">
        <v>38255.843990812107</v>
      </c>
      <c r="U131" s="12">
        <v>39727.222605843337</v>
      </c>
      <c r="V131" s="13">
        <v>2948.4188641529618</v>
      </c>
      <c r="W131" s="13"/>
      <c r="Z131" s="27" t="s">
        <v>1594</v>
      </c>
    </row>
    <row r="132" spans="1:26">
      <c r="A132" s="22" t="s">
        <v>111</v>
      </c>
      <c r="B132" s="51" t="str">
        <f>IFERROR(HYPERLINK(VLOOKUP(A132,ÜRÜNLER!A:C,3,FALSE),VLOOKUP(A132,ÜRÜNLER!A:B,2,FALSE)),"")</f>
        <v>iQ500 Solo Bulaşık Makinesi, autoOpen dry, Üstten Sepetli, Inox</v>
      </c>
      <c r="C132" s="8">
        <v>17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34">
        <f t="shared" si="5"/>
        <v>17</v>
      </c>
      <c r="O132" s="135"/>
      <c r="P132" s="10"/>
      <c r="Q132" s="118"/>
      <c r="R132" s="52">
        <v>37152.326204304736</v>
      </c>
      <c r="S132" s="25">
        <v>37152.326204304736</v>
      </c>
      <c r="T132" s="12">
        <v>38638.419252476924</v>
      </c>
      <c r="U132" s="12">
        <v>40124.512300649112</v>
      </c>
      <c r="V132" s="13"/>
      <c r="W132" s="13"/>
      <c r="Z132" s="27" t="s">
        <v>1594</v>
      </c>
    </row>
    <row r="133" spans="1:26">
      <c r="A133" s="30" t="s">
        <v>130</v>
      </c>
      <c r="B133" s="51" t="str">
        <f>IFERROR(HYPERLINK(VLOOKUP(A133,ÜRÜNLER!A:C,3,FALSE),VLOOKUP(A133,ÜRÜNLER!A:B,2,FALSE)),"")</f>
        <v>iQ500 Solo Bulaşık Makinesi, autoOpen dry, Üstten Sepetli, Inox</v>
      </c>
      <c r="C133" s="8"/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0"/>
      <c r="M133" s="11"/>
      <c r="N133" s="134">
        <f t="shared" si="5"/>
        <v>3</v>
      </c>
      <c r="O133" s="135">
        <v>11</v>
      </c>
      <c r="P133" s="10"/>
      <c r="Q133" s="118"/>
      <c r="R133" s="52">
        <v>44038.825961696479</v>
      </c>
      <c r="S133" s="25">
        <v>42142.417188226296</v>
      </c>
      <c r="T133" s="12">
        <v>43828.113875755349</v>
      </c>
      <c r="U133" s="12">
        <v>45513.810563284402</v>
      </c>
      <c r="V133" s="13">
        <v>451.43658116550074</v>
      </c>
      <c r="W133" s="13"/>
      <c r="X133" s="14"/>
    </row>
    <row r="134" spans="1:26">
      <c r="A134" s="30" t="s">
        <v>131</v>
      </c>
      <c r="B134" s="51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0"/>
      <c r="M134" s="11">
        <v>1</v>
      </c>
      <c r="N134" s="134">
        <f t="shared" si="5"/>
        <v>2</v>
      </c>
      <c r="O134" s="135"/>
      <c r="P134" s="10"/>
      <c r="Q134" s="118"/>
      <c r="R134" s="74" t="s">
        <v>1593</v>
      </c>
      <c r="S134" s="48">
        <v>41000</v>
      </c>
      <c r="T134" s="12">
        <v>42640</v>
      </c>
      <c r="U134" s="12">
        <v>44280</v>
      </c>
      <c r="V134" s="13"/>
      <c r="W134" s="13"/>
      <c r="X134" s="131">
        <v>500</v>
      </c>
    </row>
    <row r="135" spans="1:26">
      <c r="A135" s="22" t="s">
        <v>134</v>
      </c>
      <c r="B135" s="51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0"/>
      <c r="M135" s="11"/>
      <c r="N135" s="134">
        <f t="shared" si="5"/>
        <v>8</v>
      </c>
      <c r="O135" s="135"/>
      <c r="P135" s="10"/>
      <c r="Q135" s="118"/>
      <c r="R135" s="52">
        <v>48790.291878140393</v>
      </c>
      <c r="S135" s="53">
        <v>47326.583121796182</v>
      </c>
      <c r="T135" s="12">
        <v>49219.646446668026</v>
      </c>
      <c r="U135" s="12">
        <v>51112.709771539878</v>
      </c>
      <c r="V135" s="13"/>
      <c r="W135" s="13"/>
      <c r="X135" s="14"/>
    </row>
    <row r="136" spans="1:26">
      <c r="A136" s="22" t="s">
        <v>129</v>
      </c>
      <c r="B136" s="51" t="str">
        <f>IFERROR(HYPERLINK(VLOOKUP(A136,ÜRÜNLER!A:C,3,FALSE),VLOOKUP(A136,ÜRÜNLER!A:B,2,FALSE)),"")</f>
        <v>iQ500 Solo Bulaşık Makinesi, autoOpen dry, Beyaz</v>
      </c>
      <c r="C136" s="8">
        <v>8</v>
      </c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/>
      <c r="N136" s="134">
        <f t="shared" si="5"/>
        <v>9</v>
      </c>
      <c r="O136" s="135"/>
      <c r="P136" s="10"/>
      <c r="Q136" s="118"/>
      <c r="R136" s="52">
        <v>35182.844355966678</v>
      </c>
      <c r="S136" s="25">
        <v>35182.844355966678</v>
      </c>
      <c r="T136" s="12">
        <v>36590.158130205346</v>
      </c>
      <c r="U136" s="12">
        <v>37997.471904444013</v>
      </c>
      <c r="V136" s="13">
        <v>3275.8676117806281</v>
      </c>
      <c r="W136" s="13"/>
      <c r="Z136" s="27" t="s">
        <v>1594</v>
      </c>
    </row>
    <row r="137" spans="1:26">
      <c r="A137" s="22" t="s">
        <v>132</v>
      </c>
      <c r="B137" s="51" t="str">
        <f>IFERROR(HYPERLINK(VLOOKUP(A137,ÜRÜNLER!A:C,3,FALSE),VLOOKUP(A137,ÜRÜNLER!A:B,2,FALSE)),"")</f>
        <v>iQ500 Solo Bulaşık Makinesi, autoOpen dry, Üstten Sepetli, Beyaz</v>
      </c>
      <c r="C137" s="8">
        <v>1</v>
      </c>
      <c r="D137" s="8"/>
      <c r="E137" s="9"/>
      <c r="F137" s="9">
        <v>1</v>
      </c>
      <c r="G137" s="10"/>
      <c r="H137" s="10"/>
      <c r="I137" s="11"/>
      <c r="J137" s="11"/>
      <c r="K137" s="10"/>
      <c r="L137" s="10"/>
      <c r="M137" s="11"/>
      <c r="N137" s="134">
        <f t="shared" si="5"/>
        <v>2</v>
      </c>
      <c r="O137" s="135"/>
      <c r="P137" s="10"/>
      <c r="Q137" s="118"/>
      <c r="R137" s="74" t="s">
        <v>1593</v>
      </c>
      <c r="S137" s="48">
        <v>33000</v>
      </c>
      <c r="T137" s="12">
        <v>34320</v>
      </c>
      <c r="U137" s="12">
        <v>35640</v>
      </c>
      <c r="V137" s="13">
        <v>757.87973791275726</v>
      </c>
      <c r="W137" s="13"/>
      <c r="X137" s="17"/>
    </row>
    <row r="138" spans="1:26">
      <c r="A138" s="22" t="s">
        <v>133</v>
      </c>
      <c r="B138" s="51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0"/>
      <c r="M138" s="11"/>
      <c r="N138" s="134">
        <f t="shared" si="5"/>
        <v>1</v>
      </c>
      <c r="O138" s="135"/>
      <c r="P138" s="10"/>
      <c r="Q138" s="118"/>
      <c r="R138" s="74" t="s">
        <v>1593</v>
      </c>
      <c r="S138" s="47">
        <v>33000</v>
      </c>
      <c r="T138" s="12">
        <v>34320</v>
      </c>
      <c r="U138" s="12">
        <v>35640</v>
      </c>
      <c r="V138" s="13"/>
      <c r="W138" s="13"/>
      <c r="X138" s="131">
        <v>500</v>
      </c>
    </row>
    <row r="139" spans="1:26">
      <c r="A139" s="30" t="s">
        <v>135</v>
      </c>
      <c r="B139" s="51" t="str">
        <f>IFERROR(HYPERLINK(VLOOKUP(A139,ÜRÜNLER!A:C,3,FALSE),VLOOKUP(A139,ÜRÜNLER!A:B,2,FALSE)),"")</f>
        <v>iQ700 Solo Bulaşık Makinesi, Zeolith dry, glassZone, Inox</v>
      </c>
      <c r="C139" s="8">
        <v>40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0"/>
      <c r="M139" s="11">
        <v>1</v>
      </c>
      <c r="N139" s="134">
        <f t="shared" si="5"/>
        <v>45</v>
      </c>
      <c r="O139" s="135">
        <v>24</v>
      </c>
      <c r="P139" s="10"/>
      <c r="Q139" s="119"/>
      <c r="R139" s="52">
        <v>52646.952042371733</v>
      </c>
      <c r="S139" s="53">
        <v>51067.543481100583</v>
      </c>
      <c r="T139" s="12">
        <v>53110.245220344608</v>
      </c>
      <c r="U139" s="12">
        <v>55152.946959588633</v>
      </c>
      <c r="V139" s="13"/>
      <c r="W139" s="13"/>
      <c r="X139" s="17"/>
    </row>
    <row r="140" spans="1:26" s="32" customFormat="1" ht="34.5" customHeight="1">
      <c r="A140" s="31" t="s">
        <v>1552</v>
      </c>
      <c r="B140" s="51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0"/>
      <c r="M140" s="11"/>
      <c r="N140" s="134">
        <f>SUM(N115:N139)</f>
        <v>674</v>
      </c>
      <c r="O140" s="135"/>
      <c r="P140" s="10"/>
      <c r="Q140" s="118"/>
      <c r="R140" s="74"/>
      <c r="S140" s="14"/>
      <c r="T140" s="12"/>
      <c r="U140" s="12"/>
      <c r="V140" s="13"/>
      <c r="W140" s="13"/>
      <c r="X140" s="14"/>
    </row>
    <row r="141" spans="1:26">
      <c r="A141" s="143" t="s">
        <v>473</v>
      </c>
      <c r="B141" s="51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3</v>
      </c>
      <c r="D141" s="8"/>
      <c r="E141" s="9"/>
      <c r="F141" s="9"/>
      <c r="G141" s="10"/>
      <c r="H141" s="10"/>
      <c r="I141" s="11">
        <v>1</v>
      </c>
      <c r="J141" s="11"/>
      <c r="K141" s="10"/>
      <c r="L141" s="10"/>
      <c r="M141" s="11"/>
      <c r="N141" s="134">
        <f t="shared" ref="N141:N158" si="6">M141+L141+K141+J141+I141+H141+G141+F141+E141+D141+C141</f>
        <v>4</v>
      </c>
      <c r="O141" s="135">
        <v>4</v>
      </c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3" t="s">
        <v>474</v>
      </c>
      <c r="B142" s="51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4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4">
        <f t="shared" si="6"/>
        <v>4</v>
      </c>
      <c r="O142" s="135"/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2">
        <v>42679.628783999993</v>
      </c>
      <c r="V142" s="13"/>
      <c r="W142" s="13"/>
      <c r="X142" s="14"/>
    </row>
    <row r="143" spans="1:26">
      <c r="A143" s="142" t="s">
        <v>138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4">
        <f t="shared" si="6"/>
        <v>1</v>
      </c>
      <c r="O143" s="135"/>
      <c r="P143" s="10"/>
      <c r="Q143" s="118"/>
      <c r="R143" s="74" t="s">
        <v>1593</v>
      </c>
      <c r="S143" s="19">
        <v>20000</v>
      </c>
      <c r="T143" s="12">
        <v>20800</v>
      </c>
      <c r="U143" s="12">
        <v>21600</v>
      </c>
      <c r="V143" s="13"/>
      <c r="W143" s="13"/>
      <c r="X143" s="106">
        <v>500</v>
      </c>
    </row>
    <row r="144" spans="1:26">
      <c r="A144" s="142" t="s">
        <v>137</v>
      </c>
      <c r="B144" s="51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0"/>
      <c r="M144" s="11"/>
      <c r="N144" s="134">
        <f t="shared" si="6"/>
        <v>2</v>
      </c>
      <c r="O144" s="135"/>
      <c r="P144" s="10"/>
      <c r="Q144" s="118"/>
      <c r="R144" s="74" t="s">
        <v>1593</v>
      </c>
      <c r="S144" s="19">
        <v>20000</v>
      </c>
      <c r="T144" s="12">
        <v>20800</v>
      </c>
      <c r="U144" s="12">
        <v>21600</v>
      </c>
      <c r="V144" s="13"/>
      <c r="W144" s="18">
        <v>2164.92</v>
      </c>
      <c r="X144" s="14">
        <v>250</v>
      </c>
    </row>
    <row r="145" spans="1:24">
      <c r="A145" s="142" t="s">
        <v>141</v>
      </c>
      <c r="B145" s="51" t="str">
        <f>IFERROR(HYPERLINK(VLOOKUP(A145,ÜRÜNLER!A:C,3,FALSE),VLOOKUP(A145,ÜRÜNLER!A:B,2,FALSE)),"")</f>
        <v>iQ300 Yarı Ankastre Bulaşık Makinesi, Siyah/Inox</v>
      </c>
      <c r="C145" s="8">
        <v>8</v>
      </c>
      <c r="D145" s="8"/>
      <c r="E145" s="9"/>
      <c r="F145" s="9"/>
      <c r="G145" s="10"/>
      <c r="H145" s="10"/>
      <c r="I145" s="11"/>
      <c r="J145" s="11"/>
      <c r="K145" s="10"/>
      <c r="L145" s="10"/>
      <c r="M145" s="11">
        <v>1</v>
      </c>
      <c r="N145" s="134">
        <f t="shared" si="6"/>
        <v>9</v>
      </c>
      <c r="O145" s="135">
        <v>11</v>
      </c>
      <c r="P145" s="10"/>
      <c r="Q145" s="118"/>
      <c r="R145" s="52">
        <v>30018.164384574291</v>
      </c>
      <c r="S145" s="25">
        <v>30018.164384574291</v>
      </c>
      <c r="T145" s="12">
        <v>31218.890959957262</v>
      </c>
      <c r="U145" s="12">
        <v>32419.617535340236</v>
      </c>
      <c r="V145" s="13"/>
      <c r="W145" s="13"/>
      <c r="X145" s="14"/>
    </row>
    <row r="146" spans="1:24">
      <c r="A146" s="21" t="s">
        <v>139</v>
      </c>
      <c r="B146" s="51" t="str">
        <f>IFERROR(HYPERLINK(VLOOKUP(A146,ÜRÜNLER!A:C,3,FALSE),VLOOKUP(A146,ÜRÜNLER!A:B,2,FALSE)),"")</f>
        <v>iQ500 Yarı Ankastre Bulaşık Makinesi, Üstten Sepetli, Inox</v>
      </c>
      <c r="C146" s="8">
        <v>11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0"/>
      <c r="M146" s="11"/>
      <c r="N146" s="134">
        <f t="shared" si="6"/>
        <v>14</v>
      </c>
      <c r="O146" s="135">
        <v>5</v>
      </c>
      <c r="P146" s="10"/>
      <c r="Q146" s="118"/>
      <c r="R146" s="52">
        <v>31433.189462472423</v>
      </c>
      <c r="S146" s="53">
        <v>30490.193778598252</v>
      </c>
      <c r="T146" s="12">
        <v>31709.801529742181</v>
      </c>
      <c r="U146" s="12">
        <v>32929.40928088611</v>
      </c>
      <c r="V146" s="13"/>
      <c r="W146" s="13"/>
      <c r="X146" s="14"/>
    </row>
    <row r="147" spans="1:24">
      <c r="A147" s="142" t="s">
        <v>140</v>
      </c>
      <c r="B147" s="51" t="str">
        <f>IFERROR(HYPERLINK(VLOOKUP(A147,ÜRÜNLER!A:C,3,FALSE),VLOOKUP(A147,ÜRÜNLER!A:B,2,FALSE)),"")</f>
        <v>iQ300 Yarı Ankastre Bulaşık Makinesi, Beyaz/Inox</v>
      </c>
      <c r="C147" s="8">
        <v>4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0"/>
      <c r="M147" s="11"/>
      <c r="N147" s="134">
        <f t="shared" si="6"/>
        <v>6</v>
      </c>
      <c r="O147" s="135"/>
      <c r="P147" s="10"/>
      <c r="Q147" s="118"/>
      <c r="R147" s="74" t="s">
        <v>1593</v>
      </c>
      <c r="S147" s="45">
        <v>27756.046587678491</v>
      </c>
      <c r="T147" s="12">
        <v>28866.288451185632</v>
      </c>
      <c r="U147" s="12">
        <v>29976.530314692769</v>
      </c>
      <c r="V147" s="13"/>
      <c r="W147" s="13"/>
      <c r="X147" s="14"/>
    </row>
    <row r="148" spans="1:24">
      <c r="A148" s="148" t="s">
        <v>143</v>
      </c>
      <c r="B148" s="51" t="str">
        <f>IFERROR(HYPERLINK(VLOOKUP(A148,ÜRÜNLER!A:C,3,FALSE),VLOOKUP(A148,ÜRÜNLER!A:B,2,FALSE)),"")</f>
        <v>iQ500 Yarı Ankastre Bulaşık Makinesi, autoOpen dry, Siyah/Inox</v>
      </c>
      <c r="C148" s="8">
        <v>9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0"/>
      <c r="M148" s="11"/>
      <c r="N148" s="134">
        <f t="shared" si="6"/>
        <v>12</v>
      </c>
      <c r="O148" s="135"/>
      <c r="P148" s="10"/>
      <c r="Q148" s="118"/>
      <c r="R148" s="52">
        <v>49177.972938448722</v>
      </c>
      <c r="S148" s="25">
        <v>49177.972938448722</v>
      </c>
      <c r="T148" s="12">
        <v>51145.09185598667</v>
      </c>
      <c r="U148" s="12">
        <v>53112.210773524617</v>
      </c>
      <c r="V148" s="13"/>
      <c r="W148" s="13"/>
      <c r="X148" s="14"/>
    </row>
    <row r="149" spans="1:24">
      <c r="A149" s="142" t="s">
        <v>144</v>
      </c>
      <c r="B149" s="51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0"/>
      <c r="M149" s="11"/>
      <c r="N149" s="134">
        <f t="shared" si="6"/>
        <v>2</v>
      </c>
      <c r="O149" s="135"/>
      <c r="P149" s="10"/>
      <c r="Q149" s="118"/>
      <c r="R149" s="74" t="s">
        <v>1593</v>
      </c>
      <c r="S149" s="130">
        <v>50000</v>
      </c>
      <c r="T149" s="12">
        <v>52000</v>
      </c>
      <c r="U149" s="12">
        <v>54000</v>
      </c>
      <c r="V149" s="13"/>
      <c r="W149" s="13"/>
      <c r="X149" s="106">
        <v>500</v>
      </c>
    </row>
    <row r="150" spans="1:24">
      <c r="A150" s="148" t="s">
        <v>145</v>
      </c>
      <c r="B150" s="51" t="str">
        <f>IFERROR(HYPERLINK(VLOOKUP(A150,ÜRÜNLER!A:C,3,FALSE),VLOOKUP(A150,ÜRÜNLER!A:B,2,FALSE)),"")</f>
        <v>iQ700 Yarı Ankastre Bulaşık Makinesi, Zeolith dry, Siyah/Inox</v>
      </c>
      <c r="C150" s="8">
        <v>2</v>
      </c>
      <c r="D150" s="8"/>
      <c r="E150" s="9"/>
      <c r="F150" s="9"/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>
        <v>2</v>
      </c>
      <c r="P150" s="10"/>
      <c r="Q150" s="118"/>
      <c r="R150" s="52">
        <v>64058.835288969611</v>
      </c>
      <c r="S150" s="25">
        <v>64058.835288969611</v>
      </c>
      <c r="T150" s="12">
        <v>66621.188700528393</v>
      </c>
      <c r="U150" s="12">
        <v>69183.542112087176</v>
      </c>
      <c r="V150" s="13"/>
      <c r="W150" s="13"/>
      <c r="X150" s="14"/>
    </row>
    <row r="151" spans="1:24">
      <c r="A151" s="142" t="s">
        <v>146</v>
      </c>
      <c r="B151" s="51" t="str">
        <f>IFERROR(HYPERLINK(VLOOKUP(A151,ÜRÜNLER!A:C,3,FALSE),VLOOKUP(A151,ÜRÜNLER!A:B,2,FALSE)),"")</f>
        <v>iQ100 Tam Ankastre Bulaşık Makinesi</v>
      </c>
      <c r="C151" s="8">
        <v>5</v>
      </c>
      <c r="D151" s="8"/>
      <c r="E151" s="9"/>
      <c r="F151" s="9"/>
      <c r="G151" s="10"/>
      <c r="H151" s="10"/>
      <c r="I151" s="11"/>
      <c r="J151" s="11">
        <v>1</v>
      </c>
      <c r="K151" s="10"/>
      <c r="L151" s="10"/>
      <c r="M151" s="11"/>
      <c r="N151" s="134">
        <f t="shared" si="6"/>
        <v>6</v>
      </c>
      <c r="O151" s="135">
        <v>12</v>
      </c>
      <c r="P151" s="10"/>
      <c r="Q151" s="118"/>
      <c r="R151" s="52">
        <v>31157.1419140625</v>
      </c>
      <c r="S151" s="25">
        <v>31157.1419140625</v>
      </c>
      <c r="T151" s="12">
        <v>32403.427590625</v>
      </c>
      <c r="U151" s="12">
        <v>33649.713267187501</v>
      </c>
      <c r="V151" s="13"/>
      <c r="W151" s="13"/>
      <c r="X151" s="14"/>
    </row>
    <row r="152" spans="1:24">
      <c r="A152" s="21" t="s">
        <v>147</v>
      </c>
      <c r="B152" s="51" t="str">
        <f>IFERROR(HYPERLINK(VLOOKUP(A152,ÜRÜNLER!A:C,3,FALSE),VLOOKUP(A152,ÜRÜNLER!A:B,2,FALSE)),"")</f>
        <v>iQ300 Tam Ankastre Bulaşık Makinesi, Üstten Sepetli</v>
      </c>
      <c r="C152" s="8"/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0"/>
      <c r="M152" s="11"/>
      <c r="N152" s="134">
        <f t="shared" si="6"/>
        <v>2</v>
      </c>
      <c r="O152" s="135"/>
      <c r="P152" s="10"/>
      <c r="Q152" s="118"/>
      <c r="R152" s="74" t="s">
        <v>1593</v>
      </c>
      <c r="S152" s="19">
        <v>27000</v>
      </c>
      <c r="T152" s="12">
        <v>28080</v>
      </c>
      <c r="U152" s="12">
        <v>29160</v>
      </c>
      <c r="V152" s="13"/>
      <c r="W152" s="13"/>
      <c r="X152" s="14">
        <v>250</v>
      </c>
    </row>
    <row r="153" spans="1:24">
      <c r="A153" s="149" t="s">
        <v>148</v>
      </c>
      <c r="B153" s="51" t="str">
        <f>IFERROR(HYPERLINK(VLOOKUP(A153,ÜRÜNLER!A:C,3,FALSE),VLOOKUP(A153,ÜRÜNLER!A:B,2,FALSE)),"")</f>
        <v>iQ500 Tam Ankastre Bulaşık Makinesi, Üstten Sepetli</v>
      </c>
      <c r="C153" s="8"/>
      <c r="D153" s="8">
        <v>1</v>
      </c>
      <c r="E153" s="9"/>
      <c r="F153" s="9"/>
      <c r="G153" s="10"/>
      <c r="H153" s="10"/>
      <c r="I153" s="11"/>
      <c r="J153" s="11"/>
      <c r="K153" s="10"/>
      <c r="L153" s="10"/>
      <c r="M153" s="11">
        <v>1</v>
      </c>
      <c r="N153" s="134">
        <f t="shared" si="6"/>
        <v>2</v>
      </c>
      <c r="O153" s="135"/>
      <c r="P153" s="10"/>
      <c r="Q153" s="118"/>
      <c r="R153" s="74" t="s">
        <v>1593</v>
      </c>
      <c r="S153" s="18">
        <v>50000</v>
      </c>
      <c r="T153" s="12">
        <v>52000</v>
      </c>
      <c r="U153" s="12">
        <v>54000</v>
      </c>
      <c r="V153" s="13"/>
      <c r="W153" s="13"/>
      <c r="X153" s="14"/>
    </row>
    <row r="154" spans="1:24">
      <c r="A154" s="21" t="s">
        <v>151</v>
      </c>
      <c r="B154" s="51" t="str">
        <f>IFERROR(HYPERLINK(VLOOKUP(A154,ÜRÜNLER!A:C,3,FALSE),VLOOKUP(A154,ÜRÜNLER!A:B,2,FALSE)),"")</f>
        <v>iQ500 studioLine Tam Ankastre Bulaşık Makinesi, autoOpen dry, glassZone</v>
      </c>
      <c r="C154" s="8"/>
      <c r="D154" s="8">
        <v>3</v>
      </c>
      <c r="E154" s="9"/>
      <c r="F154" s="9"/>
      <c r="G154" s="10"/>
      <c r="H154" s="10">
        <v>1</v>
      </c>
      <c r="I154" s="11"/>
      <c r="J154" s="11"/>
      <c r="K154" s="10"/>
      <c r="L154" s="10"/>
      <c r="M154" s="11"/>
      <c r="N154" s="134">
        <f t="shared" si="6"/>
        <v>4</v>
      </c>
      <c r="O154" s="135"/>
      <c r="P154" s="10"/>
      <c r="Q154" s="118"/>
      <c r="R154" s="74" t="s">
        <v>1593</v>
      </c>
      <c r="S154" s="18">
        <v>71200</v>
      </c>
      <c r="T154" s="12">
        <v>74048</v>
      </c>
      <c r="U154" s="12">
        <v>76896</v>
      </c>
      <c r="V154" s="13"/>
      <c r="W154" s="13"/>
      <c r="X154" s="14">
        <v>500</v>
      </c>
    </row>
    <row r="155" spans="1:24">
      <c r="A155" s="21" t="s">
        <v>150</v>
      </c>
      <c r="B155" s="51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34">
        <f t="shared" si="6"/>
        <v>3</v>
      </c>
      <c r="O155" s="135"/>
      <c r="P155" s="10"/>
      <c r="Q155" s="118"/>
      <c r="R155" s="52">
        <v>93781.326431238573</v>
      </c>
      <c r="S155" s="18">
        <v>84403.193788114717</v>
      </c>
      <c r="T155" s="12">
        <v>87779.321539639306</v>
      </c>
      <c r="U155" s="12">
        <v>91155.449291163895</v>
      </c>
      <c r="V155" s="13"/>
      <c r="W155" s="13"/>
      <c r="X155" s="14">
        <v>500</v>
      </c>
    </row>
    <row r="156" spans="1:24">
      <c r="A156" s="21" t="s">
        <v>1506</v>
      </c>
      <c r="B156" s="51" t="str">
        <f>IFERROR(HYPERLINK(VLOOKUP(A156,ÜRÜNLER!A:C,3,FALSE),VLOOKUP(A156,ÜRÜNLER!A:B,2,FALSE)),"")</f>
        <v>iQ500 studioLine Tam Ankastre Bulaşık Makinesi, autoOpen dry, glassZone</v>
      </c>
      <c r="C156" s="8"/>
      <c r="D156" s="8"/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0</v>
      </c>
      <c r="O156" s="135"/>
      <c r="P156" s="10"/>
      <c r="Q156" s="118"/>
      <c r="R156" s="52">
        <v>80195.394746367354</v>
      </c>
      <c r="S156" s="25">
        <v>80195.394746367354</v>
      </c>
      <c r="T156" s="12">
        <v>83403.210536222046</v>
      </c>
      <c r="U156" s="12">
        <v>86611.026326076739</v>
      </c>
      <c r="V156" s="13"/>
      <c r="W156" s="13"/>
      <c r="X156" s="14"/>
    </row>
    <row r="157" spans="1:24">
      <c r="A157" s="21" t="s">
        <v>152</v>
      </c>
      <c r="B157" s="51" t="str">
        <f>IFERROR(HYPERLINK(VLOOKUP(A157,ÜRÜNLER!A:C,3,FALSE),VLOOKUP(A157,ÜRÜNLER!A:B,2,FALSE)),"")</f>
        <v>iQ500 Tam Ankastre Bulaşık Makinesi, autoOpen dry, glassZone, XXL 86,5 - 92,5cm</v>
      </c>
      <c r="C157" s="8"/>
      <c r="D157" s="8"/>
      <c r="E157" s="9"/>
      <c r="F157" s="9"/>
      <c r="G157" s="10"/>
      <c r="H157" s="10"/>
      <c r="I157" s="11"/>
      <c r="J157" s="11"/>
      <c r="K157" s="10">
        <v>1</v>
      </c>
      <c r="L157" s="10"/>
      <c r="M157" s="11"/>
      <c r="N157" s="134">
        <f t="shared" si="6"/>
        <v>1</v>
      </c>
      <c r="O157" s="135"/>
      <c r="P157" s="10"/>
      <c r="Q157" s="118"/>
      <c r="R157" s="74" t="s">
        <v>1593</v>
      </c>
      <c r="S157" s="48">
        <v>47500</v>
      </c>
      <c r="T157" s="12">
        <v>49400</v>
      </c>
      <c r="U157" s="12">
        <v>51300</v>
      </c>
      <c r="V157" s="13"/>
      <c r="W157" s="13"/>
      <c r="X157" s="106">
        <v>500</v>
      </c>
    </row>
    <row r="158" spans="1:24">
      <c r="A158" s="21" t="s">
        <v>1490</v>
      </c>
      <c r="B158" s="51" t="str">
        <f>IFERROR(HYPERLINK(VLOOKUP(A158,ÜRÜNLER!A:C,3,FALSE),VLOOKUP(A158,ÜRÜNLER!A:B,2,FALSE)),"")</f>
        <v>Siemens Bulaşık Makinesi 3. Tepsi</v>
      </c>
      <c r="C158" s="8"/>
      <c r="D158" s="8">
        <v>11</v>
      </c>
      <c r="E158" s="9"/>
      <c r="F158" s="9"/>
      <c r="G158" s="10"/>
      <c r="H158" s="10"/>
      <c r="I158" s="11"/>
      <c r="J158" s="11"/>
      <c r="K158" s="10"/>
      <c r="L158" s="10"/>
      <c r="M158" s="11"/>
      <c r="N158" s="134">
        <f t="shared" si="6"/>
        <v>11</v>
      </c>
      <c r="O158" s="135">
        <v>2</v>
      </c>
      <c r="P158" s="10"/>
      <c r="Q158" s="118"/>
      <c r="R158" s="74"/>
      <c r="S158" s="90">
        <v>1250</v>
      </c>
      <c r="T158" s="12">
        <v>1300</v>
      </c>
      <c r="U158" s="12">
        <v>1350</v>
      </c>
      <c r="V158" s="13"/>
      <c r="W158" s="13"/>
      <c r="X158" s="14"/>
    </row>
    <row r="159" spans="1:24" s="32" customFormat="1" ht="30">
      <c r="A159" s="57" t="s">
        <v>153</v>
      </c>
      <c r="B159" s="51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>SUM(N141:N158)</f>
        <v>85</v>
      </c>
      <c r="O159" s="135"/>
      <c r="P159" s="10"/>
      <c r="Q159" s="118"/>
      <c r="R159" s="74"/>
      <c r="S159" s="14"/>
      <c r="T159" s="12"/>
      <c r="U159" s="12"/>
      <c r="V159" s="13"/>
      <c r="W159" s="13"/>
      <c r="X159" s="14"/>
    </row>
    <row r="160" spans="1:24">
      <c r="A160" s="150" t="s">
        <v>199</v>
      </c>
      <c r="B160" s="51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34">
        <f t="shared" ref="N160:N206" si="7">M160+L160+K160+J160+I160+H160+G160+F160+E160+D160+C160</f>
        <v>1</v>
      </c>
      <c r="O160" s="135"/>
      <c r="P160" s="10"/>
      <c r="Q160" s="118"/>
      <c r="R160" s="74" t="s">
        <v>1593</v>
      </c>
      <c r="S160" s="47">
        <v>70000</v>
      </c>
      <c r="T160" s="12">
        <v>72800</v>
      </c>
      <c r="U160" s="12">
        <v>75600</v>
      </c>
      <c r="V160" s="13"/>
      <c r="W160" s="13"/>
      <c r="X160" s="131">
        <v>1000</v>
      </c>
    </row>
    <row r="161" spans="1:24">
      <c r="A161" s="150" t="s">
        <v>200</v>
      </c>
      <c r="B161" s="51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4">
        <f t="shared" si="7"/>
        <v>4</v>
      </c>
      <c r="O161" s="135"/>
      <c r="P161" s="10"/>
      <c r="Q161" s="118"/>
      <c r="R161" s="52">
        <v>77022.402951568409</v>
      </c>
      <c r="S161" s="53">
        <v>74711.730863021352</v>
      </c>
      <c r="T161" s="12">
        <v>77700.200097542212</v>
      </c>
      <c r="U161" s="12">
        <v>80688.669332063058</v>
      </c>
      <c r="V161" s="13"/>
      <c r="W161" s="13"/>
      <c r="X161" s="14"/>
    </row>
    <row r="162" spans="1:24">
      <c r="A162" s="142" t="s">
        <v>198</v>
      </c>
      <c r="B162" s="51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2</v>
      </c>
      <c r="O162" s="135"/>
      <c r="P162" s="10"/>
      <c r="Q162" s="118"/>
      <c r="R162" s="52">
        <v>167526.85277372078</v>
      </c>
      <c r="S162" s="18">
        <v>150774.1674963487</v>
      </c>
      <c r="T162" s="12">
        <v>156805.13419620265</v>
      </c>
      <c r="U162" s="12">
        <v>162836.1008960566</v>
      </c>
      <c r="V162" s="13"/>
      <c r="W162" s="13"/>
      <c r="X162" s="14">
        <v>500</v>
      </c>
    </row>
    <row r="163" spans="1:24">
      <c r="A163" s="142" t="s">
        <v>201</v>
      </c>
      <c r="B163" s="51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34">
        <f t="shared" si="7"/>
        <v>4</v>
      </c>
      <c r="O163" s="135"/>
      <c r="P163" s="10"/>
      <c r="Q163" s="118"/>
      <c r="R163" s="74" t="s">
        <v>1593</v>
      </c>
      <c r="S163" s="18">
        <v>120000</v>
      </c>
      <c r="T163" s="12">
        <v>124800</v>
      </c>
      <c r="U163" s="12">
        <v>129600</v>
      </c>
      <c r="V163" s="13"/>
      <c r="W163" s="13"/>
      <c r="X163" s="14">
        <v>500</v>
      </c>
    </row>
    <row r="164" spans="1:24">
      <c r="A164" s="148" t="s">
        <v>165</v>
      </c>
      <c r="B164" s="51" t="str">
        <f>IFERROR(HYPERLINK(VLOOKUP(A164,ÜRÜNLER!A:C,3,FALSE),VLOOKUP(A164,ÜRÜNLER!A:B,2,FALSE)),"")</f>
        <v>iQ100 Ankastre Fırın, Siyah</v>
      </c>
      <c r="C164" s="8">
        <v>14</v>
      </c>
      <c r="D164" s="8"/>
      <c r="E164" s="9"/>
      <c r="F164" s="9"/>
      <c r="G164" s="10"/>
      <c r="H164" s="10"/>
      <c r="I164" s="11"/>
      <c r="J164" s="11"/>
      <c r="K164" s="10"/>
      <c r="L164" s="10"/>
      <c r="M164" s="11"/>
      <c r="N164" s="134">
        <f t="shared" si="7"/>
        <v>14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51" t="s">
        <v>166</v>
      </c>
      <c r="B165" s="51" t="str">
        <f>IFERROR(HYPERLINK(VLOOKUP(A165,ÜRÜNLER!A:C,3,FALSE),VLOOKUP(A165,ÜRÜNLER!A:B,2,FALSE)),"")</f>
        <v>iQ100 Ankastre Fırın, Antrasit</v>
      </c>
      <c r="C165" s="8">
        <v>45</v>
      </c>
      <c r="D165" s="8"/>
      <c r="E165" s="9"/>
      <c r="F165" s="9"/>
      <c r="G165" s="10"/>
      <c r="H165" s="10"/>
      <c r="I165" s="11">
        <v>1</v>
      </c>
      <c r="J165" s="11"/>
      <c r="K165" s="10"/>
      <c r="L165" s="10"/>
      <c r="M165" s="11">
        <v>1</v>
      </c>
      <c r="N165" s="134">
        <f t="shared" si="7"/>
        <v>47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142" t="s">
        <v>167</v>
      </c>
      <c r="B166" s="51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/>
      <c r="L166" s="10"/>
      <c r="M166" s="11">
        <v>1</v>
      </c>
      <c r="N166" s="134">
        <f t="shared" si="7"/>
        <v>26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2">
        <v>20052.107588530656</v>
      </c>
      <c r="V166" s="13"/>
      <c r="W166" s="13"/>
      <c r="X166" s="14"/>
    </row>
    <row r="167" spans="1:24">
      <c r="A167" s="21" t="s">
        <v>1345</v>
      </c>
      <c r="B167" s="51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/>
      <c r="M167" s="11"/>
      <c r="N167" s="134">
        <f t="shared" si="7"/>
        <v>1</v>
      </c>
      <c r="O167" s="135"/>
      <c r="P167" s="10"/>
      <c r="Q167" s="118"/>
      <c r="R167" s="74" t="s">
        <v>1593</v>
      </c>
      <c r="S167" s="19">
        <v>17000</v>
      </c>
      <c r="T167" s="12">
        <v>17680</v>
      </c>
      <c r="U167" s="12">
        <v>18360</v>
      </c>
      <c r="V167" s="13"/>
      <c r="W167" s="18">
        <v>2813.96</v>
      </c>
      <c r="X167" s="106">
        <v>500</v>
      </c>
    </row>
    <row r="168" spans="1:24">
      <c r="A168" s="152" t="s">
        <v>169</v>
      </c>
      <c r="B168" s="51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34">
        <f t="shared" si="7"/>
        <v>1</v>
      </c>
      <c r="O168" s="135"/>
      <c r="P168" s="10"/>
      <c r="Q168" s="118"/>
      <c r="R168" s="74" t="s">
        <v>1593</v>
      </c>
      <c r="S168" s="19">
        <v>16000</v>
      </c>
      <c r="T168" s="12">
        <v>16640</v>
      </c>
      <c r="U168" s="12">
        <v>17280</v>
      </c>
      <c r="V168" s="13"/>
      <c r="W168" s="13"/>
      <c r="X168" s="106">
        <v>500</v>
      </c>
    </row>
    <row r="169" spans="1:24">
      <c r="A169" s="21" t="s">
        <v>1346</v>
      </c>
      <c r="B169" s="51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1593</v>
      </c>
      <c r="S169" s="19">
        <v>17000</v>
      </c>
      <c r="T169" s="12">
        <v>17680</v>
      </c>
      <c r="U169" s="12">
        <v>18360</v>
      </c>
      <c r="V169" s="13"/>
      <c r="W169" s="18">
        <v>4063.39</v>
      </c>
      <c r="X169" s="106">
        <v>500</v>
      </c>
    </row>
    <row r="170" spans="1:24">
      <c r="A170" s="151" t="s">
        <v>171</v>
      </c>
      <c r="B170" s="51" t="str">
        <f>IFERROR(HYPERLINK(VLOOKUP(A170,ÜRÜNLER!A:C,3,FALSE),VLOOKUP(A170,ÜRÜNLER!A:B,2,FALSE)),"")</f>
        <v>iQ300 Ankastre Fırın, 1 Teleskopik Ray, Arkası Kendini Temizler, Antrasit</v>
      </c>
      <c r="C170" s="8"/>
      <c r="D170" s="8"/>
      <c r="E170" s="9"/>
      <c r="F170" s="9"/>
      <c r="G170" s="10">
        <v>1</v>
      </c>
      <c r="H170" s="10"/>
      <c r="I170" s="11"/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1593</v>
      </c>
      <c r="S170" s="19">
        <v>16000</v>
      </c>
      <c r="T170" s="12">
        <v>16640</v>
      </c>
      <c r="U170" s="12">
        <v>17280</v>
      </c>
      <c r="V170" s="13"/>
      <c r="W170" s="13"/>
      <c r="X170" s="14"/>
    </row>
    <row r="171" spans="1:24">
      <c r="A171" s="151" t="s">
        <v>172</v>
      </c>
      <c r="B171" s="51" t="str">
        <f>IFERROR(HYPERLINK(VLOOKUP(A171,ÜRÜNLER!A:C,3,FALSE),VLOOKUP(A171,ÜRÜNLER!A:B,2,FALSE)),"")</f>
        <v>iQ300 Ankastre Fırın, 1 Teleskopik Ray, Arkası Kendini Temizler, Gri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4">
        <f t="shared" si="7"/>
        <v>1</v>
      </c>
      <c r="O171" s="135"/>
      <c r="P171" s="176">
        <v>2</v>
      </c>
      <c r="Q171" s="118"/>
      <c r="R171" s="74" t="s">
        <v>1593</v>
      </c>
      <c r="S171" s="47">
        <v>24115</v>
      </c>
      <c r="T171" s="183">
        <v>25079.599999999999</v>
      </c>
      <c r="U171" s="12">
        <v>26044.2</v>
      </c>
      <c r="V171" s="13"/>
      <c r="W171" s="18">
        <v>3115</v>
      </c>
      <c r="X171" s="14">
        <v>500</v>
      </c>
    </row>
    <row r="172" spans="1:24">
      <c r="A172" s="148" t="s">
        <v>173</v>
      </c>
      <c r="B172" s="51" t="str">
        <f>IFERROR(HYPERLINK(VLOOKUP(A172,ÜRÜNLER!A:C,3,FALSE),VLOOKUP(A172,ÜRÜNLER!A:B,2,FALSE)),"")</f>
        <v>iQ500 Ankastre Fırın, 1 Teleskopik Ray, Arkası Kendini Temizler, darkSteel Line</v>
      </c>
      <c r="C172" s="8">
        <v>1</v>
      </c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2</v>
      </c>
      <c r="O172" s="135"/>
      <c r="P172" s="10"/>
      <c r="Q172" s="118"/>
      <c r="R172" s="74" t="s">
        <v>1593</v>
      </c>
      <c r="S172" s="19">
        <v>20000</v>
      </c>
      <c r="T172" s="12">
        <v>20800</v>
      </c>
      <c r="U172" s="12">
        <v>21600</v>
      </c>
      <c r="V172" s="13"/>
      <c r="W172" s="13"/>
      <c r="X172" s="14"/>
    </row>
    <row r="173" spans="1:24">
      <c r="A173" s="148" t="s">
        <v>174</v>
      </c>
      <c r="B173" s="51" t="str">
        <f>IFERROR(HYPERLINK(VLOOKUP(A173,ÜRÜNLER!A:C,3,FALSE),VLOOKUP(A173,ÜRÜNLER!A:B,2,FALSE)),"")</f>
        <v>iQ500 studioLine Ankastre Fırın, 1 Teleskopik Ray, Komple Kendini Temizler, Siyah</v>
      </c>
      <c r="C173" s="8"/>
      <c r="D173" s="8">
        <v>2</v>
      </c>
      <c r="E173" s="9"/>
      <c r="F173" s="9"/>
      <c r="G173" s="10"/>
      <c r="H173" s="10">
        <v>1</v>
      </c>
      <c r="I173" s="11"/>
      <c r="J173" s="11"/>
      <c r="K173" s="10"/>
      <c r="L173" s="10"/>
      <c r="M173" s="11"/>
      <c r="N173" s="134">
        <f t="shared" si="7"/>
        <v>3</v>
      </c>
      <c r="O173" s="135"/>
      <c r="P173" s="10"/>
      <c r="Q173" s="118"/>
      <c r="R173" s="74" t="s">
        <v>1593</v>
      </c>
      <c r="S173" s="18">
        <v>85000</v>
      </c>
      <c r="T173" s="12">
        <v>88400</v>
      </c>
      <c r="U173" s="12">
        <v>91800</v>
      </c>
      <c r="V173" s="13"/>
      <c r="W173" s="13"/>
      <c r="X173" s="106">
        <v>500</v>
      </c>
    </row>
    <row r="174" spans="1:24">
      <c r="A174" s="21" t="s">
        <v>1022</v>
      </c>
      <c r="B174" s="51" t="str">
        <f>IFERROR(HYPERLINK(VLOOKUP(A174,ÜRÜNLER!A:C,3,FALSE),VLOOKUP(A174,ÜRÜNLER!A:B,2,FALSE)),"")</f>
        <v>iQ300 Ankastre Fırın, Titanyum Gri</v>
      </c>
      <c r="C174" s="8"/>
      <c r="D174" s="8"/>
      <c r="E174" s="9">
        <v>1</v>
      </c>
      <c r="F174" s="9"/>
      <c r="G174" s="10"/>
      <c r="H174" s="10"/>
      <c r="I174" s="11">
        <v>1</v>
      </c>
      <c r="J174" s="11"/>
      <c r="K174" s="10"/>
      <c r="L174" s="10"/>
      <c r="M174" s="11"/>
      <c r="N174" s="134">
        <f t="shared" si="7"/>
        <v>2</v>
      </c>
      <c r="O174" s="135"/>
      <c r="P174" s="10"/>
      <c r="Q174" s="118"/>
      <c r="R174" s="74" t="s">
        <v>1593</v>
      </c>
      <c r="S174" s="19">
        <v>19000</v>
      </c>
      <c r="T174" s="12">
        <v>19760</v>
      </c>
      <c r="U174" s="12">
        <v>20520</v>
      </c>
      <c r="V174" s="13"/>
      <c r="W174" s="18">
        <v>1497.55</v>
      </c>
      <c r="X174" s="106">
        <v>500</v>
      </c>
    </row>
    <row r="175" spans="1:24">
      <c r="A175" s="21" t="s">
        <v>176</v>
      </c>
      <c r="B175" s="51" t="str">
        <f>IFERROR(HYPERLINK(VLOOKUP(A175,ÜRÜNLER!A:C,3,FALSE),VLOOKUP(A175,ÜRÜNLER!A:B,2,FALSE)),"")</f>
        <v>iQ300 Ankastre Fırın, Siyah/Inox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1</v>
      </c>
      <c r="O175" s="135"/>
      <c r="P175" s="10"/>
      <c r="Q175" s="118"/>
      <c r="R175" s="74" t="s">
        <v>1593</v>
      </c>
      <c r="S175" s="19">
        <v>19000</v>
      </c>
      <c r="T175" s="12">
        <v>19760</v>
      </c>
      <c r="U175" s="12">
        <v>20520</v>
      </c>
      <c r="V175" s="13"/>
      <c r="W175" s="18">
        <v>3692.27</v>
      </c>
      <c r="X175" s="106">
        <v>500</v>
      </c>
    </row>
    <row r="176" spans="1:24">
      <c r="A176" s="148" t="s">
        <v>177</v>
      </c>
      <c r="B176" s="51" t="str">
        <f>IFERROR(HYPERLINK(VLOOKUP(A176,ÜRÜNLER!A:C,3,FALSE),VLOOKUP(A176,ÜRÜNLER!A:B,2,FALSE)),"")</f>
        <v>iQ300 Ankastre Fırın, 1 Teleskopik Ray, Arkası Kendini Temizler, Siyah/Inox</v>
      </c>
      <c r="C176" s="8"/>
      <c r="D176" s="8"/>
      <c r="E176" s="9">
        <v>1</v>
      </c>
      <c r="F176" s="9"/>
      <c r="G176" s="10"/>
      <c r="H176" s="10"/>
      <c r="I176" s="11"/>
      <c r="J176" s="11"/>
      <c r="K176" s="10">
        <v>1</v>
      </c>
      <c r="L176" s="10"/>
      <c r="M176" s="11">
        <v>1</v>
      </c>
      <c r="N176" s="134">
        <f t="shared" si="7"/>
        <v>3</v>
      </c>
      <c r="O176" s="135"/>
      <c r="P176" s="10"/>
      <c r="Q176" s="118"/>
      <c r="R176" s="74" t="s">
        <v>1593</v>
      </c>
      <c r="S176" s="19">
        <v>18000</v>
      </c>
      <c r="T176" s="12">
        <v>18720</v>
      </c>
      <c r="U176" s="12">
        <v>19440</v>
      </c>
      <c r="V176" s="13"/>
      <c r="W176" s="18">
        <v>1656.58</v>
      </c>
      <c r="X176" s="14">
        <v>250</v>
      </c>
    </row>
    <row r="177" spans="1:24">
      <c r="A177" s="148" t="s">
        <v>178</v>
      </c>
      <c r="B177" s="51" t="str">
        <f>IFERROR(HYPERLINK(VLOOKUP(A177,ÜRÜNLER!A:C,3,FALSE),VLOOKUP(A177,ÜRÜNLER!A:B,2,FALSE)),"")</f>
        <v>iQ500 Ankastre Fırın, 1 Teleskopik Ray, Komple Kendini Temizler, Siyah</v>
      </c>
      <c r="C177" s="8">
        <v>10</v>
      </c>
      <c r="D177" s="8"/>
      <c r="E177" s="9"/>
      <c r="F177" s="9"/>
      <c r="G177" s="10"/>
      <c r="H177" s="10"/>
      <c r="I177" s="11"/>
      <c r="J177" s="11">
        <v>1</v>
      </c>
      <c r="K177" s="10"/>
      <c r="L177" s="10"/>
      <c r="M177" s="11"/>
      <c r="N177" s="134">
        <f t="shared" si="7"/>
        <v>11</v>
      </c>
      <c r="O177" s="135"/>
      <c r="P177" s="10"/>
      <c r="Q177" s="118"/>
      <c r="R177" s="52">
        <v>31047.658678748317</v>
      </c>
      <c r="S177" s="47">
        <v>29495.275744810901</v>
      </c>
      <c r="T177" s="12">
        <v>30675.086774603336</v>
      </c>
      <c r="U177" s="12">
        <v>31854.897804395772</v>
      </c>
      <c r="V177" s="13"/>
      <c r="W177" s="13"/>
      <c r="X177" s="14"/>
    </row>
    <row r="178" spans="1:24">
      <c r="A178" s="151" t="s">
        <v>179</v>
      </c>
      <c r="B178" s="51" t="str">
        <f>IFERROR(HYPERLINK(VLOOKUP(A178,ÜRÜNLER!A:C,3,FALSE),VLOOKUP(A178,ÜRÜNLER!A:B,2,FALSE)),"")</f>
        <v>iQ500 Ankastre Fırın, 2 Teleskopik Ray, Komple Kendini Temizler, Titanyum Gri</v>
      </c>
      <c r="C178" s="8"/>
      <c r="D178" s="8"/>
      <c r="E178" s="9">
        <v>2</v>
      </c>
      <c r="F178" s="9"/>
      <c r="G178" s="10"/>
      <c r="H178" s="10"/>
      <c r="I178" s="11"/>
      <c r="J178" s="11"/>
      <c r="K178" s="10">
        <v>1</v>
      </c>
      <c r="L178" s="10"/>
      <c r="M178" s="11"/>
      <c r="N178" s="134">
        <f t="shared" si="7"/>
        <v>3</v>
      </c>
      <c r="O178" s="135"/>
      <c r="P178" s="10"/>
      <c r="Q178" s="118"/>
      <c r="R178" s="74" t="s">
        <v>1593</v>
      </c>
      <c r="S178" s="19">
        <v>20000</v>
      </c>
      <c r="T178" s="12">
        <v>20800</v>
      </c>
      <c r="U178" s="12">
        <v>21600</v>
      </c>
      <c r="V178" s="13"/>
      <c r="W178" s="13"/>
      <c r="X178" s="106">
        <v>500</v>
      </c>
    </row>
    <row r="179" spans="1:24">
      <c r="A179" s="142" t="s">
        <v>180</v>
      </c>
      <c r="B179" s="51" t="str">
        <f>IFERROR(HYPERLINK(VLOOKUP(A179,ÜRÜNLER!A:C,3,FALSE),VLOOKUP(A179,ÜRÜNLER!A:B,2,FALSE)),"")</f>
        <v>iQ500 Ankastre Fırın, 2 Teleskopik Ray, Komple Kendini Temizler, Siyah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1</v>
      </c>
      <c r="O179" s="135"/>
      <c r="P179" s="10"/>
      <c r="Q179" s="118"/>
      <c r="R179" s="74" t="s">
        <v>1593</v>
      </c>
      <c r="S179" s="19">
        <v>20000</v>
      </c>
      <c r="T179" s="12">
        <v>20800</v>
      </c>
      <c r="U179" s="12">
        <v>21600</v>
      </c>
      <c r="V179" s="13"/>
      <c r="W179" s="13"/>
      <c r="X179" s="106">
        <v>500</v>
      </c>
    </row>
    <row r="180" spans="1:24">
      <c r="A180" s="21" t="s">
        <v>1347</v>
      </c>
      <c r="B180" s="51" t="str">
        <f>IFERROR(HYPERLINK(VLOOKUP(A180,ÜRÜNLER!A:C,3,FALSE),VLOOKUP(A180,ÜRÜNLER!A:B,2,FALSE)),"")</f>
        <v>iQ700 Ankastre Fırın,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1593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183</v>
      </c>
      <c r="B181" s="51" t="str">
        <f>IFERROR(HYPERLINK(VLOOKUP(A181,ÜRÜNLER!A:C,3,FALSE),VLOOKUP(A181,ÜRÜNLER!A:B,2,FALSE)),"")</f>
        <v>iQ700 Ankastre Fırın, 1 Teleskopik Ray, Komple Kendini Temizler, Beyaz</v>
      </c>
      <c r="C181" s="8"/>
      <c r="D181" s="8"/>
      <c r="E181" s="9"/>
      <c r="F181" s="9"/>
      <c r="G181" s="10"/>
      <c r="H181" s="10"/>
      <c r="I181" s="11">
        <v>1</v>
      </c>
      <c r="J181" s="11"/>
      <c r="K181" s="10"/>
      <c r="L181" s="10"/>
      <c r="M181" s="11"/>
      <c r="N181" s="134">
        <f t="shared" si="7"/>
        <v>1</v>
      </c>
      <c r="O181" s="135"/>
      <c r="P181" s="10"/>
      <c r="Q181" s="118"/>
      <c r="R181" s="74" t="s">
        <v>1593</v>
      </c>
      <c r="S181" s="19">
        <v>40000</v>
      </c>
      <c r="T181" s="12">
        <v>41600</v>
      </c>
      <c r="U181" s="12">
        <v>43200</v>
      </c>
      <c r="V181" s="13"/>
      <c r="W181" s="13"/>
      <c r="X181" s="106">
        <v>500</v>
      </c>
    </row>
    <row r="182" spans="1:24">
      <c r="A182" s="21" t="s">
        <v>1348</v>
      </c>
      <c r="B182" s="51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1593</v>
      </c>
      <c r="S182" s="19">
        <v>45000</v>
      </c>
      <c r="T182" s="12">
        <v>46800</v>
      </c>
      <c r="U182" s="12">
        <v>48600</v>
      </c>
      <c r="V182" s="13"/>
      <c r="W182" s="13"/>
      <c r="X182" s="106">
        <v>500</v>
      </c>
    </row>
    <row r="183" spans="1:24">
      <c r="A183" s="142" t="s">
        <v>184</v>
      </c>
      <c r="B183" s="51" t="str">
        <f>IFERROR(HYPERLINK(VLOOKUP(A183,ÜRÜNLER!A:C,3,FALSE),VLOOKUP(A183,ÜRÜNLER!A:B,2,FALSE)),"")</f>
        <v>iQ700 Ankastre Fırın, 3 Teleskopik Ray, Komple Kendini Temizler, Siyah/Inox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34">
        <f t="shared" si="7"/>
        <v>1</v>
      </c>
      <c r="O183" s="135"/>
      <c r="P183" s="10"/>
      <c r="Q183" s="118"/>
      <c r="R183" s="74" t="s">
        <v>1593</v>
      </c>
      <c r="S183" s="19">
        <v>35000</v>
      </c>
      <c r="T183" s="12">
        <v>36400</v>
      </c>
      <c r="U183" s="12">
        <v>37800</v>
      </c>
      <c r="V183" s="13"/>
      <c r="W183" s="13"/>
      <c r="X183" s="106">
        <v>500</v>
      </c>
    </row>
    <row r="184" spans="1:24">
      <c r="A184" s="142" t="s">
        <v>185</v>
      </c>
      <c r="B184" s="51" t="str">
        <f>IFERROR(HYPERLINK(VLOOKUP(A184,ÜRÜNLER!A:C,3,FALSE),VLOOKUP(A184,ÜRÜNLER!A:B,2,FALSE)),"")</f>
        <v>iQ700 Ankastre Fırın, Arkası Kendini Temizler, Siyah</v>
      </c>
      <c r="C184" s="8">
        <v>3</v>
      </c>
      <c r="D184" s="8"/>
      <c r="E184" s="9"/>
      <c r="F184" s="9"/>
      <c r="G184" s="10"/>
      <c r="H184" s="10"/>
      <c r="I184" s="11">
        <v>1</v>
      </c>
      <c r="J184" s="11">
        <v>1</v>
      </c>
      <c r="K184" s="10">
        <v>1</v>
      </c>
      <c r="L184" s="10"/>
      <c r="M184" s="11"/>
      <c r="N184" s="134">
        <f t="shared" si="7"/>
        <v>6</v>
      </c>
      <c r="O184" s="135"/>
      <c r="P184" s="10"/>
      <c r="Q184" s="118"/>
      <c r="R184" s="52">
        <v>52805.504424502549</v>
      </c>
      <c r="S184" s="25">
        <v>52805.504424502549</v>
      </c>
      <c r="T184" s="12">
        <v>54917.724601482652</v>
      </c>
      <c r="U184" s="12">
        <v>57029.944778462755</v>
      </c>
      <c r="V184" s="13"/>
      <c r="W184" s="13"/>
      <c r="X184" s="106">
        <v>500</v>
      </c>
    </row>
    <row r="185" spans="1:24">
      <c r="A185" s="142" t="s">
        <v>186</v>
      </c>
      <c r="B185" s="51" t="str">
        <f>IFERROR(HYPERLINK(VLOOKUP(A185,ÜRÜNLER!A:C,3,FALSE),VLOOKUP(A185,ÜRÜNLER!A:B,2,FALSE)),"")</f>
        <v>iQ700 Ankastre Fırın, Arkası Kendini Temizler, Beyaz</v>
      </c>
      <c r="C185" s="8">
        <v>5</v>
      </c>
      <c r="D185" s="8"/>
      <c r="E185" s="9"/>
      <c r="F185" s="9"/>
      <c r="G185" s="10"/>
      <c r="H185" s="10"/>
      <c r="I185" s="11"/>
      <c r="J185" s="11"/>
      <c r="K185" s="10"/>
      <c r="L185" s="10"/>
      <c r="M185" s="11"/>
      <c r="N185" s="134">
        <f t="shared" si="7"/>
        <v>5</v>
      </c>
      <c r="O185" s="135"/>
      <c r="P185" s="10"/>
      <c r="Q185" s="118"/>
      <c r="R185" s="74" t="s">
        <v>1593</v>
      </c>
      <c r="S185" s="19">
        <v>60000</v>
      </c>
      <c r="T185" s="12">
        <v>62400</v>
      </c>
      <c r="U185" s="12">
        <v>64800</v>
      </c>
      <c r="V185" s="13"/>
      <c r="W185" s="13"/>
      <c r="X185" s="106">
        <v>500</v>
      </c>
    </row>
    <row r="186" spans="1:24">
      <c r="A186" s="148" t="s">
        <v>187</v>
      </c>
      <c r="B186" s="51" t="str">
        <f>IFERROR(HYPERLINK(VLOOKUP(A186,ÜRÜNLER!A:C,3,FALSE),VLOOKUP(A186,ÜRÜNLER!A:B,2,FALSE)),"")</f>
        <v>iQ700 Ankastre Fırın, Siyah</v>
      </c>
      <c r="C186" s="8">
        <v>5</v>
      </c>
      <c r="D186" s="8"/>
      <c r="E186" s="9"/>
      <c r="F186" s="9"/>
      <c r="G186" s="10"/>
      <c r="H186" s="10"/>
      <c r="I186" s="11"/>
      <c r="J186" s="11">
        <v>1</v>
      </c>
      <c r="K186" s="10"/>
      <c r="L186" s="10"/>
      <c r="M186" s="11">
        <v>1</v>
      </c>
      <c r="N186" s="134">
        <f t="shared" si="7"/>
        <v>7</v>
      </c>
      <c r="O186" s="135"/>
      <c r="P186" s="10"/>
      <c r="Q186" s="118"/>
      <c r="R186" s="52">
        <v>67147.740194120503</v>
      </c>
      <c r="S186" s="25">
        <v>67147.740194120503</v>
      </c>
      <c r="T186" s="12">
        <v>69833.649801885316</v>
      </c>
      <c r="U186" s="12">
        <v>72519.559409650145</v>
      </c>
      <c r="V186" s="13"/>
      <c r="W186" s="13"/>
      <c r="X186" s="106">
        <v>500</v>
      </c>
    </row>
    <row r="187" spans="1:24">
      <c r="A187" s="148" t="s">
        <v>188</v>
      </c>
      <c r="B187" s="51" t="str">
        <f>IFERROR(HYPERLINK(VLOOKUP(A187,ÜRÜNLER!A:C,3,FALSE),VLOOKUP(A187,ÜRÜNLER!A:B,2,FALSE)),"")</f>
        <v>iQ700 Ankastre Fırın, Komple Kendini Temizler, Siyah</v>
      </c>
      <c r="C187" s="8"/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4">
        <f t="shared" si="7"/>
        <v>0</v>
      </c>
      <c r="O187" s="135">
        <v>4</v>
      </c>
      <c r="P187" s="10"/>
      <c r="Q187" s="118"/>
      <c r="R187" s="52">
        <v>80750.403072639005</v>
      </c>
      <c r="S187" s="19">
        <v>80750.403072639005</v>
      </c>
      <c r="T187" s="12">
        <v>83980.419195544571</v>
      </c>
      <c r="U187" s="12">
        <v>87210.435318450123</v>
      </c>
      <c r="V187" s="13"/>
      <c r="W187" s="13"/>
      <c r="X187" s="106">
        <v>500</v>
      </c>
    </row>
    <row r="188" spans="1:24">
      <c r="A188" s="148" t="s">
        <v>189</v>
      </c>
      <c r="B188" s="51" t="str">
        <f>IFERROR(HYPERLINK(VLOOKUP(A188,ÜRÜNLER!A:C,3,FALSE),VLOOKUP(A188,ÜRÜNLER!A:B,2,FALSE)),"")</f>
        <v>iQ700 studioLine Ankastre Fırın, 3 Teleskopik Ray, Komple Kendini Temizler, Siyah</v>
      </c>
      <c r="C188" s="8"/>
      <c r="D188" s="8">
        <v>2</v>
      </c>
      <c r="E188" s="9"/>
      <c r="F188" s="9"/>
      <c r="G188" s="10"/>
      <c r="H188" s="10">
        <v>1</v>
      </c>
      <c r="I188" s="11"/>
      <c r="J188" s="11"/>
      <c r="K188" s="10"/>
      <c r="L188" s="10"/>
      <c r="M188" s="11"/>
      <c r="N188" s="134">
        <f t="shared" si="7"/>
        <v>3</v>
      </c>
      <c r="O188" s="135"/>
      <c r="P188" s="10"/>
      <c r="Q188" s="118"/>
      <c r="R188" s="74" t="s">
        <v>1593</v>
      </c>
      <c r="S188" s="18">
        <v>90000</v>
      </c>
      <c r="T188" s="12">
        <v>93600</v>
      </c>
      <c r="U188" s="12">
        <v>97200</v>
      </c>
      <c r="V188" s="13"/>
      <c r="W188" s="13"/>
      <c r="X188" s="106">
        <v>500</v>
      </c>
    </row>
    <row r="189" spans="1:24">
      <c r="A189" s="148" t="s">
        <v>196</v>
      </c>
      <c r="B189" s="51" t="str">
        <f>IFERROR(HYPERLINK(VLOOKUP(A189,ÜRÜNLER!A:C,3,FALSE),VLOOKUP(A189,ÜRÜNLER!A:B,2,FALSE)),"")</f>
        <v>iQ700 studioLine Ankastre Fırın, 1 Teleskopik Ray, Komple Kendini Temizler, Siyah</v>
      </c>
      <c r="C189" s="8"/>
      <c r="D189" s="8">
        <v>3</v>
      </c>
      <c r="E189" s="9"/>
      <c r="F189" s="9"/>
      <c r="G189" s="10"/>
      <c r="H189" s="10"/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52">
        <v>123969.87105255334</v>
      </c>
      <c r="S189" s="18">
        <v>111572.883947298</v>
      </c>
      <c r="T189" s="12">
        <v>116035.79930518992</v>
      </c>
      <c r="U189" s="12">
        <v>120498.71466308185</v>
      </c>
      <c r="V189" s="13"/>
      <c r="W189" s="13"/>
      <c r="X189" s="106">
        <v>500</v>
      </c>
    </row>
    <row r="190" spans="1:24">
      <c r="A190" s="150" t="s">
        <v>1316</v>
      </c>
      <c r="B190" s="51" t="str">
        <f>IFERROR(HYPERLINK(VLOOKUP(A190,ÜRÜNLER!A:C,3,FALSE),VLOOKUP(A190,ÜRÜNLER!A:B,2,FALSE)),"")</f>
        <v>iQ300 Ankastre Fırın, 1 Teleskopik Ray, Arkası Kendini Temizler, Beyaz</v>
      </c>
      <c r="C190" s="8"/>
      <c r="D190" s="8"/>
      <c r="E190" s="9"/>
      <c r="F190" s="9"/>
      <c r="G190" s="10">
        <v>2</v>
      </c>
      <c r="H190" s="10"/>
      <c r="I190" s="11">
        <v>1</v>
      </c>
      <c r="J190" s="11"/>
      <c r="K190" s="10">
        <v>1</v>
      </c>
      <c r="L190" s="10"/>
      <c r="M190" s="11"/>
      <c r="N190" s="134">
        <f t="shared" si="7"/>
        <v>4</v>
      </c>
      <c r="O190" s="135"/>
      <c r="P190" s="10"/>
      <c r="Q190" s="118"/>
      <c r="R190" s="74" t="s">
        <v>1593</v>
      </c>
      <c r="S190" s="47">
        <v>17000</v>
      </c>
      <c r="T190" s="12">
        <v>17680</v>
      </c>
      <c r="U190" s="12">
        <v>18360</v>
      </c>
      <c r="V190" s="13"/>
      <c r="W190" s="13"/>
      <c r="X190" s="106">
        <v>500</v>
      </c>
    </row>
    <row r="191" spans="1:24">
      <c r="A191" s="152" t="s">
        <v>155</v>
      </c>
      <c r="B191" s="51" t="str">
        <f>IFERROR(HYPERLINK(VLOOKUP(A191,ÜRÜNLER!A:C,3,FALSE),VLOOKUP(A191,ÜRÜNLER!A:B,2,FALSE)),"")</f>
        <v>iQ500 Ankastre Fırın, 2 Teleskopik Ray, Komple Kendini Temizler, Siyah</v>
      </c>
      <c r="C191" s="8">
        <v>23</v>
      </c>
      <c r="D191" s="8"/>
      <c r="E191" s="9"/>
      <c r="F191" s="9"/>
      <c r="G191" s="10"/>
      <c r="H191" s="10"/>
      <c r="I191" s="11">
        <v>1</v>
      </c>
      <c r="J191" s="11"/>
      <c r="K191" s="10">
        <v>1</v>
      </c>
      <c r="L191" s="10"/>
      <c r="M191" s="11">
        <v>1</v>
      </c>
      <c r="N191" s="134">
        <f t="shared" si="7"/>
        <v>26</v>
      </c>
      <c r="O191" s="135">
        <v>67</v>
      </c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51" t="s">
        <v>157</v>
      </c>
      <c r="B192" s="51" t="str">
        <f>IFERROR(HYPERLINK(VLOOKUP(A192,ÜRÜNLER!A:C,3,FALSE),VLOOKUP(A192,ÜRÜNLER!A:B,2,FALSE)),"")</f>
        <v>iQ500 Ankastre Fırın, 2 Teleskopik Ray, Komple Kendini Temizler, Antrasit</v>
      </c>
      <c r="C192" s="8">
        <v>22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/>
      <c r="L192" s="10"/>
      <c r="M192" s="11"/>
      <c r="N192" s="134">
        <f t="shared" si="7"/>
        <v>24</v>
      </c>
      <c r="O192" s="135">
        <v>41</v>
      </c>
      <c r="P192" s="10"/>
      <c r="Q192" s="123"/>
      <c r="R192" s="52">
        <v>30161.294160462348</v>
      </c>
      <c r="S192" s="47">
        <v>29256.455335648479</v>
      </c>
      <c r="T192" s="12">
        <v>30426.713549074419</v>
      </c>
      <c r="U192" s="12">
        <v>31596.971762500358</v>
      </c>
      <c r="V192" s="13"/>
      <c r="W192" s="13"/>
      <c r="X192" s="14"/>
    </row>
    <row r="193" spans="1:24">
      <c r="A193" s="142" t="s">
        <v>156</v>
      </c>
      <c r="B193" s="51" t="str">
        <f>IFERROR(HYPERLINK(VLOOKUP(A193,ÜRÜNLER!A:C,3,FALSE),VLOOKUP(A193,ÜRÜNLER!A:B,2,FALSE)),"")</f>
        <v>iQ500 Ankastre Fırın, 2 Teleskopik Ray, Komple Kendini Temizler, Beyaz</v>
      </c>
      <c r="C193" s="8">
        <v>19</v>
      </c>
      <c r="D193" s="8"/>
      <c r="E193" s="9"/>
      <c r="F193" s="9">
        <v>1</v>
      </c>
      <c r="G193" s="10"/>
      <c r="H193" s="10"/>
      <c r="I193" s="11"/>
      <c r="J193" s="11">
        <v>1</v>
      </c>
      <c r="K193" s="10"/>
      <c r="L193" s="10"/>
      <c r="M193" s="11"/>
      <c r="N193" s="134">
        <f t="shared" si="7"/>
        <v>21</v>
      </c>
      <c r="O193" s="135">
        <v>26</v>
      </c>
      <c r="P193" s="10"/>
      <c r="Q193" s="123"/>
      <c r="R193" s="52">
        <v>30161.294160462348</v>
      </c>
      <c r="S193" s="47">
        <v>29256.455335648479</v>
      </c>
      <c r="T193" s="12">
        <v>30426.713549074419</v>
      </c>
      <c r="U193" s="12">
        <v>31596.971762500358</v>
      </c>
      <c r="V193" s="13"/>
      <c r="W193" s="13"/>
      <c r="X193" s="14"/>
    </row>
    <row r="194" spans="1:24">
      <c r="A194" s="142" t="s">
        <v>197</v>
      </c>
      <c r="B194" s="51" t="str">
        <f>IFERROR(HYPERLINK(VLOOKUP(A194,ÜRÜNLER!A:C,3,FALSE),VLOOKUP(A194,ÜRÜNLER!A:B,2,FALSE)),"")</f>
        <v>iQ700 studioLine Buhar ve Mikrodalga Fonksiyonlu Ankastre Fırın, Komple Kendini Temizler, Siyah</v>
      </c>
      <c r="C194" s="8"/>
      <c r="D194" s="8"/>
      <c r="E194" s="9"/>
      <c r="F194" s="9"/>
      <c r="G194" s="10"/>
      <c r="H194" s="10"/>
      <c r="I194" s="11"/>
      <c r="J194" s="11"/>
      <c r="K194" s="10"/>
      <c r="L194" s="10"/>
      <c r="M194" s="11"/>
      <c r="N194" s="134">
        <f t="shared" si="7"/>
        <v>0</v>
      </c>
      <c r="O194" s="135"/>
      <c r="P194" s="10"/>
      <c r="Q194" s="118"/>
      <c r="R194" s="52">
        <v>214828.55238041832</v>
      </c>
      <c r="S194" s="25">
        <v>214828.55238041832</v>
      </c>
      <c r="T194" s="12">
        <v>223421.69447563504</v>
      </c>
      <c r="U194" s="12">
        <v>232014.8365708518</v>
      </c>
      <c r="V194" s="13"/>
      <c r="W194" s="13"/>
      <c r="X194" s="14">
        <v>500</v>
      </c>
    </row>
    <row r="195" spans="1:24">
      <c r="A195" s="152" t="s">
        <v>154</v>
      </c>
      <c r="B195" s="51" t="str">
        <f>IFERROR(HYPERLINK(VLOOKUP(A195,ÜRÜNLER!A:C,3,FALSE),VLOOKUP(A195,ÜRÜNLER!A:B,2,FALSE)),"")</f>
        <v>iQ300 Buhar Destekli Ankastre Fırın, 1 Teleskopik Ray, Arkası Kendini Temizler, Siyah/Dark Inox</v>
      </c>
      <c r="C195" s="8">
        <v>5</v>
      </c>
      <c r="D195" s="8"/>
      <c r="E195" s="9"/>
      <c r="F195" s="9"/>
      <c r="G195" s="10"/>
      <c r="H195" s="10"/>
      <c r="I195" s="11"/>
      <c r="J195" s="11"/>
      <c r="K195" s="10"/>
      <c r="L195" s="10"/>
      <c r="M195" s="11"/>
      <c r="N195" s="134">
        <f t="shared" si="7"/>
        <v>5</v>
      </c>
      <c r="O195" s="135"/>
      <c r="P195" s="10"/>
      <c r="Q195" s="118"/>
      <c r="R195" s="52">
        <v>33077.561175851166</v>
      </c>
      <c r="S195" s="25">
        <v>31502.43921509635</v>
      </c>
      <c r="T195" s="12">
        <v>32762.536783700205</v>
      </c>
      <c r="U195" s="12">
        <v>34022.634352304056</v>
      </c>
      <c r="V195" s="13"/>
      <c r="W195" s="13"/>
      <c r="X195" s="14"/>
    </row>
    <row r="196" spans="1:24">
      <c r="A196" s="148" t="s">
        <v>192</v>
      </c>
      <c r="B196" s="51" t="str">
        <f>IFERROR(HYPERLINK(VLOOKUP(A196,ÜRÜNLER!A:C,3,FALSE),VLOOKUP(A196,ÜRÜNLER!A:B,2,FALSE)),"")</f>
        <v>iQ500 Buhar Destekli Ankastre Fırın, Arkası Kendini Temizler, Siyah/Inox</v>
      </c>
      <c r="C196" s="8">
        <v>3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34">
        <f t="shared" si="7"/>
        <v>7</v>
      </c>
      <c r="O196" s="135"/>
      <c r="P196" s="10"/>
      <c r="Q196" s="118"/>
      <c r="R196" s="74" t="s">
        <v>1593</v>
      </c>
      <c r="S196" s="19">
        <v>30000</v>
      </c>
      <c r="T196" s="12">
        <v>31200</v>
      </c>
      <c r="U196" s="12">
        <v>32400</v>
      </c>
      <c r="V196" s="13"/>
      <c r="W196" s="18">
        <v>1144.25</v>
      </c>
      <c r="X196" s="14"/>
    </row>
    <row r="197" spans="1:24">
      <c r="A197" s="142" t="s">
        <v>193</v>
      </c>
      <c r="B197" s="51" t="str">
        <f>IFERROR(HYPERLINK(VLOOKUP(A197,ÜRÜNLER!A:C,3,FALSE),VLOOKUP(A197,ÜRÜNLER!A:B,2,FALSE)),"")</f>
        <v>iQ700 Ankastre Fırın, Siyah</v>
      </c>
      <c r="C197" s="8"/>
      <c r="D197" s="8"/>
      <c r="E197" s="9"/>
      <c r="F197" s="9"/>
      <c r="G197" s="10"/>
      <c r="H197" s="10"/>
      <c r="I197" s="11">
        <v>1</v>
      </c>
      <c r="J197" s="11">
        <v>1</v>
      </c>
      <c r="K197" s="10">
        <v>1</v>
      </c>
      <c r="L197" s="10"/>
      <c r="M197" s="11">
        <v>1</v>
      </c>
      <c r="N197" s="134">
        <f t="shared" si="7"/>
        <v>4</v>
      </c>
      <c r="O197" s="135">
        <v>6</v>
      </c>
      <c r="P197" s="10">
        <v>3</v>
      </c>
      <c r="Q197" s="118"/>
      <c r="R197" s="52">
        <v>80281.048202676408</v>
      </c>
      <c r="S197" s="19">
        <v>80281.048202676408</v>
      </c>
      <c r="T197" s="12">
        <v>83492.290130783469</v>
      </c>
      <c r="U197" s="12">
        <v>86703.532058890516</v>
      </c>
      <c r="V197" s="13"/>
      <c r="W197" s="13"/>
      <c r="X197" s="17">
        <v>250</v>
      </c>
    </row>
    <row r="198" spans="1:24">
      <c r="A198" s="150" t="s">
        <v>194</v>
      </c>
      <c r="B198" s="51" t="str">
        <f>IFERROR(HYPERLINK(VLOOKUP(A198,ÜRÜNLER!A:C,3,FALSE),VLOOKUP(A198,ÜRÜNLER!A:B,2,FALSE)),"")</f>
        <v>iQ700 Buhar Destekli Ankastre Fırın, Arkası Kendini Temizler, Siyah/Inox</v>
      </c>
      <c r="C198" s="8">
        <v>2</v>
      </c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134">
        <f t="shared" si="7"/>
        <v>3</v>
      </c>
      <c r="O198" s="135"/>
      <c r="P198" s="10"/>
      <c r="Q198" s="118"/>
      <c r="R198" s="74" t="s">
        <v>1593</v>
      </c>
      <c r="S198" s="19">
        <v>66000</v>
      </c>
      <c r="T198" s="12">
        <v>68640</v>
      </c>
      <c r="U198" s="12">
        <v>71280</v>
      </c>
      <c r="V198" s="13"/>
      <c r="W198" s="13"/>
      <c r="X198" s="131">
        <v>500</v>
      </c>
    </row>
    <row r="199" spans="1:24">
      <c r="A199" s="148" t="s">
        <v>195</v>
      </c>
      <c r="B199" s="51" t="str">
        <f>IFERROR(HYPERLINK(VLOOKUP(A199,ÜRÜNLER!A:C,3,FALSE),VLOOKUP(A199,ÜRÜNLER!A:B,2,FALSE)),"")</f>
        <v>iQ700 studioLine Buhar Destekli Ankastre Fırın, 3 Teleskopik Ray, Komple Kendini Temizler, Siyah</v>
      </c>
      <c r="C199" s="8"/>
      <c r="D199" s="8"/>
      <c r="E199" s="9"/>
      <c r="F199" s="9"/>
      <c r="G199" s="10"/>
      <c r="H199" s="10">
        <v>1</v>
      </c>
      <c r="I199" s="11"/>
      <c r="J199" s="11"/>
      <c r="K199" s="10"/>
      <c r="L199" s="10"/>
      <c r="M199" s="11"/>
      <c r="N199" s="134">
        <f t="shared" si="7"/>
        <v>1</v>
      </c>
      <c r="O199" s="135"/>
      <c r="P199" s="10"/>
      <c r="Q199" s="118"/>
      <c r="R199" s="74" t="s">
        <v>1593</v>
      </c>
      <c r="S199" s="18">
        <v>75000</v>
      </c>
      <c r="T199" s="12">
        <v>78000</v>
      </c>
      <c r="U199" s="12">
        <v>81000</v>
      </c>
      <c r="V199" s="13"/>
      <c r="W199" s="13"/>
      <c r="X199" s="131">
        <v>500</v>
      </c>
    </row>
    <row r="200" spans="1:24">
      <c r="A200" s="152" t="s">
        <v>159</v>
      </c>
      <c r="B200" s="51" t="str">
        <f>IFERROR(HYPERLINK(VLOOKUP(A200,ÜRÜNLER!A:C,3,FALSE),VLOOKUP(A200,ÜRÜNLER!A:B,2,FALSE)),"")</f>
        <v>iQ300 Buhar Destekli Ankastre Fırın, Siyah</v>
      </c>
      <c r="C200" s="8">
        <v>44</v>
      </c>
      <c r="D200" s="8"/>
      <c r="E200" s="9"/>
      <c r="F200" s="9"/>
      <c r="G200" s="10"/>
      <c r="H200" s="10"/>
      <c r="I200" s="11"/>
      <c r="J200" s="11">
        <v>1</v>
      </c>
      <c r="K200" s="10"/>
      <c r="L200" s="10"/>
      <c r="M200" s="11"/>
      <c r="N200" s="134">
        <f t="shared" si="7"/>
        <v>45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1" t="s">
        <v>160</v>
      </c>
      <c r="B201" s="51" t="str">
        <f>IFERROR(HYPERLINK(VLOOKUP(A201,ÜRÜNLER!A:C,3,FALSE),VLOOKUP(A201,ÜRÜNLER!A:B,2,FALSE)),"")</f>
        <v>iQ300 Buhar Destekli Ankastre Fırın, Antrasit</v>
      </c>
      <c r="C201" s="8">
        <v>25</v>
      </c>
      <c r="D201" s="8"/>
      <c r="E201" s="9"/>
      <c r="F201" s="9"/>
      <c r="G201" s="10"/>
      <c r="H201" s="10"/>
      <c r="I201" s="11"/>
      <c r="J201" s="11">
        <v>1</v>
      </c>
      <c r="K201" s="10"/>
      <c r="L201" s="10"/>
      <c r="M201" s="11">
        <v>1</v>
      </c>
      <c r="N201" s="134">
        <f t="shared" si="7"/>
        <v>27</v>
      </c>
      <c r="O201" s="135">
        <v>1</v>
      </c>
      <c r="P201" s="10"/>
      <c r="Q201" s="123"/>
      <c r="R201" s="52">
        <v>21749.570312673855</v>
      </c>
      <c r="S201" s="47">
        <v>20662.091797040164</v>
      </c>
      <c r="T201" s="12">
        <v>21488.575468921772</v>
      </c>
      <c r="U201" s="12">
        <v>22315.059140803376</v>
      </c>
      <c r="V201" s="13"/>
      <c r="W201" s="13"/>
      <c r="X201" s="14"/>
    </row>
    <row r="202" spans="1:24">
      <c r="A202" s="142" t="s">
        <v>158</v>
      </c>
      <c r="B202" s="51" t="str">
        <f>IFERROR(HYPERLINK(VLOOKUP(A202,ÜRÜNLER!A:C,3,FALSE),VLOOKUP(A202,ÜRÜNLER!A:B,2,FALSE)),"")</f>
        <v>iQ300 Buhar Destekli Ankastre Fırın, Beyaz</v>
      </c>
      <c r="C202" s="8">
        <v>15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/>
      <c r="L202" s="10"/>
      <c r="M202" s="11"/>
      <c r="N202" s="134">
        <f t="shared" si="7"/>
        <v>17</v>
      </c>
      <c r="O202" s="135">
        <v>1</v>
      </c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2">
        <v>22315.059140803376</v>
      </c>
      <c r="V202" s="13"/>
      <c r="W202" s="13"/>
      <c r="X202" s="14"/>
    </row>
    <row r="203" spans="1:24">
      <c r="A203" s="152" t="s">
        <v>161</v>
      </c>
      <c r="B203" s="51" t="str">
        <f>IFERROR(HYPERLINK(VLOOKUP(A203,ÜRÜNLER!A:C,3,FALSE),VLOOKUP(A203,ÜRÜNLER!A:B,2,FALSE)),"")</f>
        <v>iQ300 Ankastre Fırın, 1 Teleskopik Ray, Arkası Kendini Temizler, Siyah</v>
      </c>
      <c r="C203" s="8">
        <v>32</v>
      </c>
      <c r="D203" s="8"/>
      <c r="E203" s="9"/>
      <c r="F203" s="9"/>
      <c r="G203" s="10"/>
      <c r="H203" s="10"/>
      <c r="I203" s="11"/>
      <c r="J203" s="11"/>
      <c r="K203" s="10"/>
      <c r="L203" s="10"/>
      <c r="M203" s="11">
        <v>1</v>
      </c>
      <c r="N203" s="134">
        <f t="shared" si="7"/>
        <v>33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52" t="s">
        <v>162</v>
      </c>
      <c r="B204" s="51" t="str">
        <f>IFERROR(HYPERLINK(VLOOKUP(A204,ÜRÜNLER!A:C,3,FALSE),VLOOKUP(A204,ÜRÜNLER!A:B,2,FALSE)),"")</f>
        <v>iQ300 Buhar Destekli Ankastre Fırın, 1 Teleskopik Ray, Arkası Kendini Temizler, darkSteel Line</v>
      </c>
      <c r="C204" s="8">
        <v>23</v>
      </c>
      <c r="D204" s="8"/>
      <c r="E204" s="9"/>
      <c r="F204" s="9"/>
      <c r="G204" s="10"/>
      <c r="H204" s="10"/>
      <c r="I204" s="11">
        <v>1</v>
      </c>
      <c r="J204" s="11"/>
      <c r="K204" s="10"/>
      <c r="L204" s="10"/>
      <c r="M204" s="11"/>
      <c r="N204" s="134">
        <f t="shared" si="7"/>
        <v>24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>
      <c r="A205" s="151" t="s">
        <v>163</v>
      </c>
      <c r="B205" s="51" t="str">
        <f>IFERROR(HYPERLINK(VLOOKUP(A205,ÜRÜNLER!A:C,3,FALSE),VLOOKUP(A205,ÜRÜNLER!A:B,2,FALSE)),"")</f>
        <v>iQ300 Ankastre Fırın, 1 Teleskopik Ray, Arkası Kendini Temizler, Antrasit</v>
      </c>
      <c r="C205" s="8">
        <v>35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>
        <v>1</v>
      </c>
      <c r="N205" s="134">
        <f t="shared" si="7"/>
        <v>37</v>
      </c>
      <c r="O205" s="135">
        <v>1</v>
      </c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>
      <c r="A206" s="142" t="s">
        <v>164</v>
      </c>
      <c r="B206" s="51" t="str">
        <f>IFERROR(HYPERLINK(VLOOKUP(A206,ÜRÜNLER!A:C,3,FALSE),VLOOKUP(A206,ÜRÜNLER!A:B,2,FALSE)),"")</f>
        <v>iQ300 Buhar Destekli Ankastre Fırın, 1 Teleskopik Ray, Arkası Kendini Temizler, Beyaz</v>
      </c>
      <c r="C206" s="8">
        <v>12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34">
        <f t="shared" si="7"/>
        <v>14</v>
      </c>
      <c r="O206" s="135">
        <v>7</v>
      </c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2">
        <v>25967.270596276427</v>
      </c>
      <c r="V206" s="13">
        <v>328.99804251974638</v>
      </c>
      <c r="W206" s="13"/>
      <c r="X206" s="14"/>
    </row>
    <row r="207" spans="1:24" s="32" customFormat="1" ht="36" customHeight="1">
      <c r="A207" s="34" t="s">
        <v>204</v>
      </c>
      <c r="B207" s="51" t="str">
        <f>IFERROR(HYPERLINK(VLOOKUP(A207,ÜRÜNLER!A:C,3,FALSE),VLOOKUP(A207,ÜRÜNLER!A:B,2,FALSE)),"")</f>
        <v/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34">
        <f>SUM(N160:N206)</f>
        <v>449</v>
      </c>
      <c r="O207" s="135"/>
      <c r="P207" s="10"/>
      <c r="Q207" s="118"/>
      <c r="R207" s="74"/>
      <c r="S207" s="74"/>
      <c r="T207" s="12"/>
      <c r="U207" s="12"/>
      <c r="V207" s="13"/>
      <c r="W207" s="13"/>
      <c r="X207" s="17"/>
    </row>
    <row r="208" spans="1:24">
      <c r="A208" s="149" t="s">
        <v>205</v>
      </c>
      <c r="B208" s="51" t="str">
        <f>IFERROR(HYPERLINK(VLOOKUP(A208,ÜRÜNLER!A:C,3,FALSE),VLOOKUP(A208,ÜRÜNLER!A:B,2,FALSE)),"")</f>
        <v>iQ500 Ankastre Mikrodalga, Izgaralı, Siyah</v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34">
        <f t="shared" ref="N208:N225" si="8">M208+L208+K208+J208+I208+H208+G208+F208+E208+D208+C208</f>
        <v>0</v>
      </c>
      <c r="O208" s="135">
        <v>11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7"/>
    </row>
    <row r="209" spans="1:24">
      <c r="A209" s="154" t="s">
        <v>206</v>
      </c>
      <c r="B209" s="51" t="str">
        <f>IFERROR(HYPERLINK(VLOOKUP(A209,ÜRÜNLER!A:C,3,FALSE),VLOOKUP(A209,ÜRÜNLER!A:B,2,FALSE)),"")</f>
        <v>iQ500 Ankastre Mikrodalga, Izgara Fonksiyonlu, 20L, Siyah/darkSteel</v>
      </c>
      <c r="C209" s="8">
        <v>1</v>
      </c>
      <c r="D209" s="8"/>
      <c r="E209" s="9"/>
      <c r="F209" s="9"/>
      <c r="G209" s="10"/>
      <c r="H209" s="10"/>
      <c r="I209" s="11"/>
      <c r="J209" s="11"/>
      <c r="K209" s="10">
        <v>1</v>
      </c>
      <c r="L209" s="10"/>
      <c r="M209" s="11"/>
      <c r="N209" s="134">
        <f t="shared" si="8"/>
        <v>2</v>
      </c>
      <c r="O209" s="135">
        <v>11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151" t="s">
        <v>207</v>
      </c>
      <c r="B210" s="51" t="str">
        <f>IFERROR(HYPERLINK(VLOOKUP(A210,ÜRÜNLER!A:C,3,FALSE),VLOOKUP(A210,ÜRÜNLER!A:B,2,FALSE)),"")</f>
        <v>iQ500 Ankastre Mikrodalga, Izgaralı, Anstrasit</v>
      </c>
      <c r="C210" s="8">
        <v>10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si="8"/>
        <v>10</v>
      </c>
      <c r="O210" s="135">
        <v>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4"/>
    </row>
    <row r="211" spans="1:24">
      <c r="A211" s="21" t="s">
        <v>208</v>
      </c>
      <c r="B211" s="51" t="str">
        <f>IFERROR(HYPERLINK(VLOOKUP(A211,ÜRÜNLER!A:C,3,FALSE),VLOOKUP(A211,ÜRÜNLER!A:B,2,FALSE)),"")</f>
        <v>iQ500 Ankastre Mikrodalga, Izgara Fonksiyonlu, 20L, Beyaz</v>
      </c>
      <c r="C211" s="8">
        <v>4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4">
        <f t="shared" si="8"/>
        <v>4</v>
      </c>
      <c r="O211" s="135">
        <v>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2">
        <v>20088.915613054909</v>
      </c>
      <c r="V211" s="13"/>
      <c r="W211" s="13"/>
      <c r="X211" s="14"/>
    </row>
    <row r="212" spans="1:24">
      <c r="A212" s="21" t="s">
        <v>209</v>
      </c>
      <c r="B212" s="51" t="str">
        <f>IFERROR(HYPERLINK(VLOOKUP(A212,ÜRÜNLER!A:C,3,FALSE),VLOOKUP(A212,ÜRÜNLER!A:B,2,FALSE)),"")</f>
        <v>iQ500 Ankastre Mikrodalga, Izgara Fonksiyonlu, 20L, Siyah/Inox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>
        <v>1</v>
      </c>
      <c r="N212" s="134">
        <f t="shared" si="8"/>
        <v>1</v>
      </c>
      <c r="O212" s="135"/>
      <c r="P212" s="10"/>
      <c r="Q212" s="118"/>
      <c r="R212" s="74" t="s">
        <v>1593</v>
      </c>
      <c r="S212" s="24">
        <v>15000</v>
      </c>
      <c r="T212" s="12">
        <v>15600</v>
      </c>
      <c r="U212" s="12">
        <v>16200</v>
      </c>
      <c r="V212" s="13"/>
      <c r="W212" s="13"/>
      <c r="X212" s="17"/>
    </row>
    <row r="213" spans="1:24">
      <c r="A213" s="149" t="s">
        <v>211</v>
      </c>
      <c r="B213" s="51" t="str">
        <f>IFERROR(HYPERLINK(VLOOKUP(A213,ÜRÜNLER!A:C,3,FALSE),VLOOKUP(A213,ÜRÜNLER!A:B,2,FALSE)),"")</f>
        <v>iQ500 Ankastre Mikrodalga, Izgaralı, Siyah</v>
      </c>
      <c r="C213" s="8">
        <v>2</v>
      </c>
      <c r="D213" s="8"/>
      <c r="E213" s="9"/>
      <c r="F213" s="9"/>
      <c r="G213" s="10"/>
      <c r="H213" s="10"/>
      <c r="I213" s="11">
        <v>1</v>
      </c>
      <c r="J213" s="11"/>
      <c r="K213" s="10"/>
      <c r="L213" s="10"/>
      <c r="M213" s="11"/>
      <c r="N213" s="134">
        <f t="shared" si="8"/>
        <v>3</v>
      </c>
      <c r="O213" s="135">
        <v>11</v>
      </c>
      <c r="P213" s="10"/>
      <c r="Q213" s="118"/>
      <c r="R213" s="52">
        <v>21477.150925039881</v>
      </c>
      <c r="S213" s="23">
        <v>21047.607906539084</v>
      </c>
      <c r="T213" s="12">
        <v>21889.512222800648</v>
      </c>
      <c r="U213" s="12">
        <v>22731.416539062211</v>
      </c>
      <c r="V213" s="13"/>
      <c r="W213" s="13"/>
      <c r="X213" s="17"/>
    </row>
    <row r="214" spans="1:24">
      <c r="A214" s="21" t="s">
        <v>212</v>
      </c>
      <c r="B214" s="51" t="str">
        <f>IFERROR(HYPERLINK(VLOOKUP(A214,ÜRÜNLER!A:C,3,FALSE),VLOOKUP(A214,ÜRÜNLER!A:B,2,FALSE)),"")</f>
        <v>iQ700 Ankastre Mikrodalga, Izgara Fonksiyonlu, 21L, Siyah</v>
      </c>
      <c r="C214" s="8">
        <v>4</v>
      </c>
      <c r="D214" s="8"/>
      <c r="E214" s="9"/>
      <c r="F214" s="9">
        <v>2</v>
      </c>
      <c r="G214" s="10"/>
      <c r="H214" s="10"/>
      <c r="I214" s="11"/>
      <c r="J214" s="11"/>
      <c r="K214" s="10"/>
      <c r="L214" s="10"/>
      <c r="M214" s="11"/>
      <c r="N214" s="134">
        <f t="shared" si="8"/>
        <v>6</v>
      </c>
      <c r="O214" s="135">
        <v>1</v>
      </c>
      <c r="P214" s="10"/>
      <c r="Q214" s="118"/>
      <c r="R214" s="52">
        <v>32072.635465243795</v>
      </c>
      <c r="S214" s="23">
        <v>31431.18275593892</v>
      </c>
      <c r="T214" s="12">
        <v>32688.430066176476</v>
      </c>
      <c r="U214" s="12">
        <v>33945.677376414031</v>
      </c>
      <c r="V214" s="13"/>
      <c r="W214" s="13"/>
      <c r="X214" s="17"/>
    </row>
    <row r="215" spans="1:24">
      <c r="A215" s="149" t="s">
        <v>213</v>
      </c>
      <c r="B215" s="51" t="str">
        <f>IFERROR(HYPERLINK(VLOOKUP(A215,ÜRÜNLER!A:C,3,FALSE),VLOOKUP(A215,ÜRÜNLER!A:B,2,FALSE)),"")</f>
        <v>iQ300 Ankastre Mikrodalga, 20L, Siyah</v>
      </c>
      <c r="C215" s="8">
        <v>8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34">
        <f t="shared" si="8"/>
        <v>8</v>
      </c>
      <c r="O215" s="135">
        <v>1</v>
      </c>
      <c r="P215" s="10"/>
      <c r="Q215" s="118"/>
      <c r="R215" s="52">
        <v>15952.635071090051</v>
      </c>
      <c r="S215" s="23">
        <v>15633.582369668251</v>
      </c>
      <c r="T215" s="12">
        <v>16258.925664454981</v>
      </c>
      <c r="U215" s="12">
        <v>16884.268959241712</v>
      </c>
      <c r="V215" s="13"/>
      <c r="W215" s="13"/>
      <c r="X215" s="17"/>
    </row>
    <row r="216" spans="1:24">
      <c r="A216" s="21" t="s">
        <v>214</v>
      </c>
      <c r="B216" s="51" t="str">
        <f>IFERROR(HYPERLINK(VLOOKUP(A216,ÜRÜNLER!A:C,3,FALSE),VLOOKUP(A216,ÜRÜNLER!A:B,2,FALSE)),"")</f>
        <v>iQ300 Ankastre Mikrodalga, 20L, Siyah/Inox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>
        <v>1</v>
      </c>
      <c r="L216" s="10"/>
      <c r="M216" s="11"/>
      <c r="N216" s="134">
        <f t="shared" si="8"/>
        <v>3</v>
      </c>
      <c r="O216" s="135"/>
      <c r="P216" s="10"/>
      <c r="Q216" s="118"/>
      <c r="R216" s="74" t="s">
        <v>1593</v>
      </c>
      <c r="S216" s="19">
        <v>14000</v>
      </c>
      <c r="T216" s="12">
        <v>14560</v>
      </c>
      <c r="U216" s="12">
        <v>15120</v>
      </c>
      <c r="V216" s="13"/>
      <c r="W216" s="13"/>
      <c r="X216" s="17">
        <v>100</v>
      </c>
    </row>
    <row r="217" spans="1:24">
      <c r="A217" s="21" t="s">
        <v>216</v>
      </c>
      <c r="B217" s="51" t="str">
        <f>IFERROR(HYPERLINK(VLOOKUP(A217,ÜRÜNLER!A:C,3,FALSE),VLOOKUP(A217,ÜRÜNLER!A:B,2,FALSE)),"")</f>
        <v>iQ500 Ankastre Mikrodalga, 20L, Beyaz/Inox</v>
      </c>
      <c r="C217" s="8"/>
      <c r="D217" s="8"/>
      <c r="E217" s="9"/>
      <c r="F217" s="9"/>
      <c r="G217" s="10"/>
      <c r="H217" s="10"/>
      <c r="I217" s="11">
        <v>2</v>
      </c>
      <c r="J217" s="11">
        <v>1</v>
      </c>
      <c r="K217" s="10">
        <v>2</v>
      </c>
      <c r="L217" s="10"/>
      <c r="M217" s="11"/>
      <c r="N217" s="134">
        <f t="shared" si="8"/>
        <v>5</v>
      </c>
      <c r="O217" s="135"/>
      <c r="P217" s="10"/>
      <c r="Q217" s="118"/>
      <c r="R217" s="74" t="s">
        <v>1593</v>
      </c>
      <c r="S217" s="19">
        <v>17000</v>
      </c>
      <c r="T217" s="12">
        <v>17680</v>
      </c>
      <c r="U217" s="12">
        <v>18360</v>
      </c>
      <c r="V217" s="13"/>
      <c r="W217" s="13"/>
      <c r="X217" s="17">
        <v>100</v>
      </c>
    </row>
    <row r="218" spans="1:24">
      <c r="A218" s="151" t="s">
        <v>217</v>
      </c>
      <c r="B218" s="51" t="str">
        <f>IFERROR(HYPERLINK(VLOOKUP(A218,ÜRÜNLER!A:C,3,FALSE),VLOOKUP(A218,ÜRÜNLER!A:B,2,FALSE)),"")</f>
        <v>iQ300 Ankastre Mikrodalga, 20L, Antrasit/Titanyum Gri</v>
      </c>
      <c r="C218" s="8">
        <v>15</v>
      </c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34">
        <f t="shared" si="8"/>
        <v>17</v>
      </c>
      <c r="O218" s="135"/>
      <c r="P218" s="10"/>
      <c r="Q218" s="118"/>
      <c r="R218" s="52">
        <v>14606.109922658294</v>
      </c>
      <c r="S218" s="53">
        <v>14313.987724205128</v>
      </c>
      <c r="T218" s="12">
        <v>14886.547233173333</v>
      </c>
      <c r="U218" s="12">
        <v>15459.106742141539</v>
      </c>
      <c r="V218" s="13"/>
      <c r="W218" s="13"/>
      <c r="X218" s="17"/>
    </row>
    <row r="219" spans="1:24">
      <c r="A219" s="21" t="s">
        <v>218</v>
      </c>
      <c r="B219" s="51" t="str">
        <f>IFERROR(HYPERLINK(VLOOKUP(A219,ÜRÜNLER!A:C,3,FALSE),VLOOKUP(A219,ÜRÜNLER!A:B,2,FALSE)),"")</f>
        <v>iQ300 Ankastre Mikrodalga, Inox</v>
      </c>
      <c r="C219" s="8">
        <v>11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>
        <v>1</v>
      </c>
      <c r="N219" s="134">
        <f t="shared" si="8"/>
        <v>14</v>
      </c>
      <c r="O219" s="135"/>
      <c r="P219" s="10"/>
      <c r="Q219" s="118"/>
      <c r="R219" s="52">
        <v>14603.17439298946</v>
      </c>
      <c r="S219" s="53">
        <v>14311.110905129672</v>
      </c>
      <c r="T219" s="12">
        <v>14883.555341334859</v>
      </c>
      <c r="U219" s="12">
        <v>15455.999777540046</v>
      </c>
      <c r="V219" s="13"/>
      <c r="W219" s="13"/>
      <c r="X219" s="14"/>
    </row>
    <row r="220" spans="1:24">
      <c r="A220" s="21" t="s">
        <v>219</v>
      </c>
      <c r="B220" s="51" t="str">
        <f>IFERROR(HYPERLINK(VLOOKUP(A220,ÜRÜNLER!A:C,3,FALSE),VLOOKUP(A220,ÜRÜNLER!A:B,2,FALSE)),"")</f>
        <v>iQ300 Ankastre Mikrodalga, 20L, Beyaz</v>
      </c>
      <c r="C220" s="8">
        <v>4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/>
      <c r="L220" s="10"/>
      <c r="M220" s="11"/>
      <c r="N220" s="134">
        <f t="shared" si="8"/>
        <v>6</v>
      </c>
      <c r="O220" s="135"/>
      <c r="P220" s="10"/>
      <c r="Q220" s="118"/>
      <c r="R220" s="52">
        <v>14603.17439298946</v>
      </c>
      <c r="S220" s="53">
        <v>14311.110905129672</v>
      </c>
      <c r="T220" s="12">
        <v>14883.555341334859</v>
      </c>
      <c r="U220" s="12">
        <v>15455.999777540046</v>
      </c>
      <c r="V220" s="13"/>
      <c r="W220" s="13"/>
      <c r="X220" s="14"/>
    </row>
    <row r="221" spans="1:24">
      <c r="A221" s="21" t="s">
        <v>220</v>
      </c>
      <c r="B221" s="51" t="str">
        <f>IFERROR(HYPERLINK(VLOOKUP(A221,ÜRÜNLER!A:C,3,FALSE),VLOOKUP(A221,ÜRÜNLER!A:B,2,FALSE)),"")</f>
        <v>iQ700 studioLine Ankastre Mikrodalga, 21L, Siyah</v>
      </c>
      <c r="C221" s="8"/>
      <c r="D221" s="8">
        <v>2</v>
      </c>
      <c r="E221" s="9"/>
      <c r="F221" s="9"/>
      <c r="G221" s="10"/>
      <c r="H221" s="10">
        <v>1</v>
      </c>
      <c r="I221" s="11"/>
      <c r="J221" s="11"/>
      <c r="K221" s="10"/>
      <c r="L221" s="10"/>
      <c r="M221" s="11"/>
      <c r="N221" s="134">
        <f t="shared" si="8"/>
        <v>3</v>
      </c>
      <c r="O221" s="135"/>
      <c r="P221" s="10"/>
      <c r="Q221" s="118"/>
      <c r="R221" s="74" t="s">
        <v>1593</v>
      </c>
      <c r="S221" s="18">
        <v>45000</v>
      </c>
      <c r="T221" s="12">
        <v>46800</v>
      </c>
      <c r="U221" s="12">
        <v>48600</v>
      </c>
      <c r="V221" s="13"/>
      <c r="W221" s="13"/>
      <c r="X221" s="14">
        <v>500</v>
      </c>
    </row>
    <row r="222" spans="1:24">
      <c r="A222" s="149" t="s">
        <v>221</v>
      </c>
      <c r="B222" s="51" t="str">
        <f>IFERROR(HYPERLINK(VLOOKUP(A222,ÜRÜNLER!A:C,3,FALSE),VLOOKUP(A222,ÜRÜNLER!A:B,2,FALSE)),"")</f>
        <v>iQ700 studioLine Ankastre Mikrodalga, 21L,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0"/>
      <c r="M222" s="11"/>
      <c r="N222" s="134">
        <f t="shared" si="8"/>
        <v>0</v>
      </c>
      <c r="O222" s="135"/>
      <c r="P222" s="10"/>
      <c r="Q222" s="118"/>
      <c r="R222" s="52">
        <v>48975.730734347773</v>
      </c>
      <c r="S222" s="25">
        <v>48975.730734347773</v>
      </c>
      <c r="T222" s="12">
        <v>50934.759963721684</v>
      </c>
      <c r="U222" s="12">
        <v>52893.789193095596</v>
      </c>
      <c r="V222" s="13"/>
      <c r="W222" s="13"/>
      <c r="X222" s="14">
        <v>500</v>
      </c>
    </row>
    <row r="223" spans="1:24">
      <c r="A223" s="140" t="s">
        <v>222</v>
      </c>
      <c r="B223" s="51" t="str">
        <f>IFERROR(HYPERLINK(VLOOKUP(A223,ÜRÜNLER!A:C,3,FALSE),VLOOKUP(A223,ÜRÜNLER!A:B,2,FALSE)),"")</f>
        <v>iQ300 Solo Mikrodalga, 20L, Siyah</v>
      </c>
      <c r="C223" s="8">
        <v>10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34">
        <f t="shared" si="8"/>
        <v>14</v>
      </c>
      <c r="O223" s="135">
        <v>1</v>
      </c>
      <c r="P223" s="10"/>
      <c r="Q223" s="118"/>
      <c r="R223" s="52">
        <v>6554.2411269503727</v>
      </c>
      <c r="S223" s="53">
        <v>6423.1563044113655</v>
      </c>
      <c r="T223" s="12">
        <v>6680.0825565878204</v>
      </c>
      <c r="U223" s="12">
        <v>6937.0088087642744</v>
      </c>
      <c r="V223" s="13"/>
      <c r="W223" s="13"/>
      <c r="X223" s="17"/>
    </row>
    <row r="224" spans="1:24">
      <c r="A224" s="140" t="s">
        <v>223</v>
      </c>
      <c r="B224" s="51" t="str">
        <f>IFERROR(HYPERLINK(VLOOKUP(A224,ÜRÜNLER!A:C,3,FALSE),VLOOKUP(A224,ÜRÜNLER!A:B,2,FALSE)),"")</f>
        <v>iQ300 Solo Mikrodalga, 20L, Beyaz</v>
      </c>
      <c r="C224" s="8">
        <v>4</v>
      </c>
      <c r="D224" s="8"/>
      <c r="E224" s="9"/>
      <c r="F224" s="9"/>
      <c r="G224" s="10"/>
      <c r="H224" s="10"/>
      <c r="I224" s="11">
        <v>1</v>
      </c>
      <c r="J224" s="11">
        <v>1</v>
      </c>
      <c r="K224" s="10">
        <v>1</v>
      </c>
      <c r="L224" s="10"/>
      <c r="M224" s="11">
        <v>1</v>
      </c>
      <c r="N224" s="134">
        <f t="shared" si="8"/>
        <v>8</v>
      </c>
      <c r="O224" s="135">
        <v>16</v>
      </c>
      <c r="P224" s="10"/>
      <c r="Q224" s="118"/>
      <c r="R224" s="52">
        <v>6080.8755116605043</v>
      </c>
      <c r="S224" s="53">
        <v>5959.2580014272944</v>
      </c>
      <c r="T224" s="12">
        <v>6197.6283214843861</v>
      </c>
      <c r="U224" s="12">
        <v>6435.9986415414778</v>
      </c>
      <c r="V224" s="13"/>
      <c r="W224" s="13"/>
      <c r="X224" s="17"/>
    </row>
    <row r="225" spans="1:26">
      <c r="A225" s="140" t="s">
        <v>224</v>
      </c>
      <c r="B225" s="51" t="str">
        <f>IFERROR(HYPERLINK(VLOOKUP(A225,ÜRÜNLER!A:C,3,FALSE),VLOOKUP(A225,ÜRÜNLER!A:B,2,FALSE)),"")</f>
        <v>iQ300 Solo Mikrodalga, 20L, Siyah/Inox</v>
      </c>
      <c r="C225" s="8">
        <v>2</v>
      </c>
      <c r="D225" s="8"/>
      <c r="E225" s="9"/>
      <c r="F225" s="9">
        <v>1</v>
      </c>
      <c r="G225" s="10"/>
      <c r="H225" s="10"/>
      <c r="I225" s="11">
        <v>1</v>
      </c>
      <c r="J225" s="11"/>
      <c r="K225" s="10"/>
      <c r="L225" s="10"/>
      <c r="M225" s="11">
        <v>1</v>
      </c>
      <c r="N225" s="134">
        <f t="shared" si="8"/>
        <v>5</v>
      </c>
      <c r="O225" s="135">
        <v>16</v>
      </c>
      <c r="P225" s="10"/>
      <c r="Q225" s="118"/>
      <c r="R225" s="52">
        <v>7263.1260258191696</v>
      </c>
      <c r="S225" s="53">
        <v>7117.8635053027865</v>
      </c>
      <c r="T225" s="12">
        <v>7402.5780455148979</v>
      </c>
      <c r="U225" s="12">
        <v>7687.2925857270093</v>
      </c>
      <c r="V225" s="13"/>
      <c r="W225" s="13"/>
      <c r="X225" s="17"/>
    </row>
    <row r="226" spans="1:26" ht="33.75" customHeight="1">
      <c r="A226" s="31" t="s">
        <v>225</v>
      </c>
      <c r="B226" s="51" t="str">
        <f>IFERROR(HYPERLINK(VLOOKUP(A226,ÜRÜNLER!A:C,3,FALSE),VLOOKUP(A226,ÜRÜNLER!A:B,2,FALSE)),"")</f>
        <v/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34"/>
      <c r="O226" s="135"/>
      <c r="P226" s="10"/>
      <c r="Q226" s="118"/>
      <c r="R226" s="74"/>
      <c r="S226" s="74"/>
      <c r="T226" s="12"/>
      <c r="U226" s="12"/>
      <c r="V226" s="13"/>
      <c r="W226" s="13"/>
      <c r="X226" s="17"/>
    </row>
    <row r="227" spans="1:26">
      <c r="A227" s="142" t="s">
        <v>226</v>
      </c>
      <c r="B227" s="51" t="str">
        <f>IFERROR(HYPERLINK(VLOOKUP(A227,ÜRÜNLER!A:C,3,FALSE),VLOOKUP(A227,ÜRÜNLER!A:B,2,FALSE)),"")</f>
        <v>iQ100 Düz Davlumbaz, 60cm, 380m3, Beyaz</v>
      </c>
      <c r="C227" s="8"/>
      <c r="D227" s="8"/>
      <c r="E227" s="9"/>
      <c r="F227" s="9"/>
      <c r="G227" s="10"/>
      <c r="H227" s="10"/>
      <c r="I227" s="11">
        <v>1</v>
      </c>
      <c r="J227" s="11"/>
      <c r="K227" s="10">
        <v>1</v>
      </c>
      <c r="L227" s="10"/>
      <c r="M227" s="11"/>
      <c r="N227" s="134">
        <f t="shared" ref="N227:N282" si="9">M227+L227+K227+J227+I227+H227+G227+F227+E227+D227+C227</f>
        <v>2</v>
      </c>
      <c r="O227" s="135"/>
      <c r="P227" s="10"/>
      <c r="Q227" s="118"/>
      <c r="R227" s="74" t="s">
        <v>1593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227</v>
      </c>
      <c r="B228" s="51" t="str">
        <f>IFERROR(HYPERLINK(VLOOKUP(A228,ÜRÜNLER!A:C,3,FALSE),VLOOKUP(A228,ÜRÜNLER!A:B,2,FALSE)),"")</f>
        <v>iQ100 Düz Davlumbaz, 60cm, 380m3, Inox</v>
      </c>
      <c r="C228" s="8"/>
      <c r="D228" s="8"/>
      <c r="E228" s="9"/>
      <c r="F228" s="9"/>
      <c r="G228" s="10"/>
      <c r="H228" s="10"/>
      <c r="I228" s="11">
        <v>1</v>
      </c>
      <c r="J228" s="11"/>
      <c r="K228" s="10"/>
      <c r="L228" s="10"/>
      <c r="M228" s="11"/>
      <c r="N228" s="134">
        <f t="shared" si="9"/>
        <v>1</v>
      </c>
      <c r="O228" s="135"/>
      <c r="P228" s="10"/>
      <c r="Q228" s="124" t="s">
        <v>1550</v>
      </c>
      <c r="R228" s="74" t="s">
        <v>1593</v>
      </c>
      <c r="S228" s="19">
        <v>8000</v>
      </c>
      <c r="T228" s="12">
        <v>8320</v>
      </c>
      <c r="U228" s="12">
        <v>8640</v>
      </c>
      <c r="V228" s="13"/>
      <c r="W228" s="13"/>
      <c r="X228" s="131">
        <v>500</v>
      </c>
    </row>
    <row r="229" spans="1:26">
      <c r="A229" s="142" t="s">
        <v>228</v>
      </c>
      <c r="B229" s="51" t="str">
        <f>IFERROR(HYPERLINK(VLOOKUP(A229,ÜRÜNLER!A:C,3,FALSE),VLOOKUP(A229,ÜRÜNLER!A:B,2,FALSE)),"")</f>
        <v>iQ100 Düz Davlumbaz, 60cm, 380m3, Siyah</v>
      </c>
      <c r="C229" s="8">
        <v>2</v>
      </c>
      <c r="D229" s="8"/>
      <c r="E229" s="9"/>
      <c r="F229" s="9">
        <v>1</v>
      </c>
      <c r="G229" s="10"/>
      <c r="H229" s="10"/>
      <c r="I229" s="11"/>
      <c r="J229" s="11"/>
      <c r="K229" s="10">
        <v>2</v>
      </c>
      <c r="L229" s="10"/>
      <c r="M229" s="11"/>
      <c r="N229" s="134">
        <f t="shared" si="9"/>
        <v>5</v>
      </c>
      <c r="O229" s="135"/>
      <c r="P229" s="10"/>
      <c r="Q229" s="118"/>
      <c r="R229" s="74" t="s">
        <v>1593</v>
      </c>
      <c r="S229" s="19">
        <v>8000</v>
      </c>
      <c r="T229" s="12">
        <v>8320</v>
      </c>
      <c r="U229" s="12">
        <v>8640</v>
      </c>
      <c r="V229" s="13"/>
      <c r="W229" s="13"/>
      <c r="X229" s="131">
        <v>500</v>
      </c>
    </row>
    <row r="230" spans="1:26">
      <c r="A230" s="142" t="s">
        <v>229</v>
      </c>
      <c r="B230" s="51" t="str">
        <f>IFERROR(HYPERLINK(VLOOKUP(A230,ÜRÜNLER!A:C,3,FALSE),VLOOKUP(A230,ÜRÜNLER!A:B,2,FALSE)),"")</f>
        <v>iQ100 Eğimli Davlumbaz, 59cm, 360m3, Beyaz Cam</v>
      </c>
      <c r="C230" s="8">
        <v>4</v>
      </c>
      <c r="D230" s="8"/>
      <c r="E230" s="9"/>
      <c r="F230" s="9">
        <v>1</v>
      </c>
      <c r="G230" s="10"/>
      <c r="H230" s="10"/>
      <c r="I230" s="11"/>
      <c r="J230" s="11"/>
      <c r="K230" s="10"/>
      <c r="L230" s="10"/>
      <c r="M230" s="11"/>
      <c r="N230" s="134">
        <f t="shared" si="9"/>
        <v>5</v>
      </c>
      <c r="O230" s="135"/>
      <c r="P230" s="10"/>
      <c r="Q230" s="118" t="s">
        <v>1549</v>
      </c>
      <c r="R230" s="52">
        <v>9025.6807122329337</v>
      </c>
      <c r="S230" s="19">
        <v>10000</v>
      </c>
      <c r="T230" s="12">
        <v>10400</v>
      </c>
      <c r="U230" s="12">
        <v>10800</v>
      </c>
      <c r="V230" s="13"/>
      <c r="W230" s="13"/>
      <c r="X230" s="17"/>
    </row>
    <row r="231" spans="1:26">
      <c r="A231" s="142" t="s">
        <v>230</v>
      </c>
      <c r="B231" s="51" t="str">
        <f>IFERROR(HYPERLINK(VLOOKUP(A231,ÜRÜNLER!A:C,3,FALSE),VLOOKUP(A231,ÜRÜNLER!A:B,2,FALSE)),"")</f>
        <v>iQ100 Eğimli Davlumbaz, 59cm, 360m3, Siyah Cam</v>
      </c>
      <c r="C231" s="8">
        <v>5</v>
      </c>
      <c r="D231" s="8"/>
      <c r="E231" s="9"/>
      <c r="F231" s="9"/>
      <c r="G231" s="10"/>
      <c r="H231" s="10"/>
      <c r="I231" s="11"/>
      <c r="J231" s="11"/>
      <c r="K231" s="10"/>
      <c r="L231" s="10"/>
      <c r="M231" s="11">
        <v>1</v>
      </c>
      <c r="N231" s="134">
        <f t="shared" si="9"/>
        <v>6</v>
      </c>
      <c r="O231" s="135"/>
      <c r="P231" s="10"/>
      <c r="Q231" s="118" t="s">
        <v>1549</v>
      </c>
      <c r="R231" s="52">
        <v>9025.6807122329337</v>
      </c>
      <c r="S231" s="19">
        <v>10000</v>
      </c>
      <c r="T231" s="12">
        <v>10400</v>
      </c>
      <c r="U231" s="12">
        <v>10800</v>
      </c>
      <c r="V231" s="13"/>
      <c r="W231" s="13"/>
      <c r="X231" s="17"/>
    </row>
    <row r="232" spans="1:26">
      <c r="A232" s="142" t="s">
        <v>231</v>
      </c>
      <c r="B232" s="51" t="str">
        <f>IFERROR(HYPERLINK(VLOOKUP(A232,ÜRÜNLER!A:C,3,FALSE),VLOOKUP(A232,ÜRÜNLER!A:B,2,FALSE)),"")</f>
        <v>iQ100 Eğimli Davlumbaz, 59cm, 360m3, Siyah Cam</v>
      </c>
      <c r="C232" s="8">
        <v>1</v>
      </c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34">
        <f t="shared" si="9"/>
        <v>2</v>
      </c>
      <c r="O232" s="135"/>
      <c r="P232" s="10"/>
      <c r="Q232" s="118" t="s">
        <v>1549</v>
      </c>
      <c r="R232" s="52">
        <v>9025.6807122329337</v>
      </c>
      <c r="S232" s="19">
        <v>9476.9647478445804</v>
      </c>
      <c r="T232" s="12">
        <v>9856.0433377583631</v>
      </c>
      <c r="U232" s="12">
        <v>10235.121927672148</v>
      </c>
      <c r="V232" s="13"/>
      <c r="W232" s="13"/>
      <c r="X232" s="17"/>
    </row>
    <row r="233" spans="1:26">
      <c r="A233" s="142" t="s">
        <v>232</v>
      </c>
      <c r="B233" s="51" t="str">
        <f>IFERROR(HYPERLINK(VLOOKUP(A233,ÜRÜNLER!A:C,3,FALSE),VLOOKUP(A233,ÜRÜNLER!A:B,2,FALSE)),"")</f>
        <v>iQ100 Düz Davlumbaz, 60cm, 612m3, Paslanmaz Çelik</v>
      </c>
      <c r="C233" s="8"/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0"/>
      <c r="M233" s="11"/>
      <c r="N233" s="134">
        <f t="shared" si="9"/>
        <v>2</v>
      </c>
      <c r="O233" s="135">
        <v>1</v>
      </c>
      <c r="P233" s="10"/>
      <c r="Q233" s="118"/>
      <c r="R233" s="52">
        <v>15245.322966199588</v>
      </c>
      <c r="S233" s="182">
        <v>14940.416506875597</v>
      </c>
      <c r="T233" s="12">
        <v>15538.033167150621</v>
      </c>
      <c r="U233" s="12">
        <v>16135.649827425645</v>
      </c>
      <c r="V233" s="13"/>
      <c r="W233" s="13"/>
      <c r="X233" s="17"/>
    </row>
    <row r="234" spans="1:26">
      <c r="A234" s="155" t="s">
        <v>234</v>
      </c>
      <c r="B234" s="51" t="str">
        <f>IFERROR(HYPERLINK(VLOOKUP(A234,ÜRÜNLER!A:C,3,FALSE),VLOOKUP(A234,ÜRÜNLER!A:B,2,FALSE)),"")</f>
        <v>iQ300 Düz Davlumbaz, 60cm, 649m3, Beyaz Cam</v>
      </c>
      <c r="C234" s="8">
        <v>8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10</v>
      </c>
      <c r="O234" s="135">
        <v>1</v>
      </c>
      <c r="P234" s="10"/>
      <c r="Q234" s="118"/>
      <c r="R234" s="52">
        <v>18686.314734455249</v>
      </c>
      <c r="S234" s="182">
        <v>18312.588439766143</v>
      </c>
      <c r="T234" s="12">
        <v>19045.091977356788</v>
      </c>
      <c r="U234" s="12">
        <v>19777.595514947436</v>
      </c>
      <c r="V234" s="13">
        <v>1397.9426414319933</v>
      </c>
      <c r="W234" s="13"/>
      <c r="X234" s="17"/>
    </row>
    <row r="235" spans="1:26">
      <c r="A235" s="155" t="s">
        <v>235</v>
      </c>
      <c r="B235" s="51" t="str">
        <f>IFERROR(HYPERLINK(VLOOKUP(A235,ÜRÜNLER!A:C,3,FALSE),VLOOKUP(A235,ÜRÜNLER!A:B,2,FALSE)),"")</f>
        <v>iQ300 Düz Davlumbaz, 60cm, 649m3, Siyah Cam</v>
      </c>
      <c r="C235" s="8">
        <v>6</v>
      </c>
      <c r="D235" s="8"/>
      <c r="E235" s="9"/>
      <c r="F235" s="9"/>
      <c r="G235" s="10"/>
      <c r="H235" s="10"/>
      <c r="I235" s="11">
        <v>2</v>
      </c>
      <c r="J235" s="11"/>
      <c r="K235" s="10">
        <v>1</v>
      </c>
      <c r="L235" s="10"/>
      <c r="M235" s="11"/>
      <c r="N235" s="134">
        <f t="shared" si="9"/>
        <v>9</v>
      </c>
      <c r="O235" s="135"/>
      <c r="P235" s="10"/>
      <c r="Q235" s="118"/>
      <c r="R235" s="52">
        <v>18686.314734455249</v>
      </c>
      <c r="S235" s="182">
        <v>18312.588439766143</v>
      </c>
      <c r="T235" s="12">
        <v>19045.091977356788</v>
      </c>
      <c r="U235" s="12">
        <v>19777.595514947436</v>
      </c>
      <c r="V235" s="13">
        <v>1397.9426414319933</v>
      </c>
      <c r="W235" s="13"/>
      <c r="X235" s="17"/>
    </row>
    <row r="236" spans="1:26">
      <c r="A236" s="149" t="s">
        <v>236</v>
      </c>
      <c r="B236" s="51" t="str">
        <f>IFERROR(HYPERLINK(VLOOKUP(A236,ÜRÜNLER!A:C,3,FALSE),VLOOKUP(A236,ÜRÜNLER!A:B,2,FALSE)),"")</f>
        <v>iQ300 Eğimli Davlumbaz, 60cm, 593m3, Siyah Cam</v>
      </c>
      <c r="C236" s="8"/>
      <c r="D236" s="8"/>
      <c r="E236" s="9"/>
      <c r="F236" s="9">
        <v>1</v>
      </c>
      <c r="G236" s="10"/>
      <c r="H236" s="10"/>
      <c r="I236" s="11">
        <v>1</v>
      </c>
      <c r="J236" s="11">
        <v>1</v>
      </c>
      <c r="K236" s="10">
        <v>1</v>
      </c>
      <c r="L236" s="10"/>
      <c r="M236" s="11"/>
      <c r="N236" s="134">
        <f t="shared" si="9"/>
        <v>4</v>
      </c>
      <c r="O236" s="135"/>
      <c r="P236" s="10"/>
      <c r="Q236" s="118"/>
      <c r="R236" s="74" t="s">
        <v>1593</v>
      </c>
      <c r="S236" s="19">
        <v>13000</v>
      </c>
      <c r="T236" s="12">
        <v>13520</v>
      </c>
      <c r="U236" s="12">
        <v>14040</v>
      </c>
      <c r="V236" s="13"/>
      <c r="W236" s="13"/>
      <c r="X236" s="17">
        <v>250</v>
      </c>
    </row>
    <row r="237" spans="1:26">
      <c r="A237" s="143" t="s">
        <v>237</v>
      </c>
      <c r="B237" s="51" t="str">
        <f>IFERROR(HYPERLINK(VLOOKUP(A237,ÜRÜNLER!A:C,3,FALSE),VLOOKUP(A237,ÜRÜNLER!A:B,2,FALSE)),"")</f>
        <v>iQ300 Eğimli Davlumbaz, 60cm, 616m3, Siyah Cam</v>
      </c>
      <c r="C237" s="8"/>
      <c r="D237" s="8"/>
      <c r="E237" s="9"/>
      <c r="F237" s="9"/>
      <c r="G237" s="10"/>
      <c r="H237" s="10"/>
      <c r="I237" s="11"/>
      <c r="J237" s="11"/>
      <c r="K237" s="10">
        <v>1</v>
      </c>
      <c r="L237" s="10"/>
      <c r="M237" s="11"/>
      <c r="N237" s="134">
        <f t="shared" si="9"/>
        <v>1</v>
      </c>
      <c r="O237" s="135"/>
      <c r="P237" s="10"/>
      <c r="Q237" s="118"/>
      <c r="R237" s="74" t="s">
        <v>1593</v>
      </c>
      <c r="S237" s="19">
        <v>13000</v>
      </c>
      <c r="T237" s="12">
        <v>13520</v>
      </c>
      <c r="U237" s="12">
        <v>14040</v>
      </c>
      <c r="V237" s="13"/>
      <c r="W237" s="13"/>
      <c r="X237" s="17">
        <v>250</v>
      </c>
    </row>
    <row r="238" spans="1:26">
      <c r="A238" s="21" t="s">
        <v>238</v>
      </c>
      <c r="B238" s="51" t="str">
        <f>IFERROR(HYPERLINK(VLOOKUP(A238,ÜRÜNLER!A:C,3,FALSE),VLOOKUP(A238,ÜRÜNLER!A:B,2,FALSE)),"")</f>
        <v>iQ100 Eğimli Davlumbaz, 60cm, 400m3, Beyaz Cam</v>
      </c>
      <c r="C238" s="8"/>
      <c r="D238" s="8"/>
      <c r="E238" s="9"/>
      <c r="F238" s="9"/>
      <c r="G238" s="10"/>
      <c r="H238" s="10"/>
      <c r="I238" s="11">
        <v>1</v>
      </c>
      <c r="J238" s="11"/>
      <c r="K238" s="10"/>
      <c r="L238" s="10"/>
      <c r="M238" s="11"/>
      <c r="N238" s="134">
        <f t="shared" si="9"/>
        <v>1</v>
      </c>
      <c r="O238" s="135">
        <v>16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239</v>
      </c>
      <c r="B239" s="51" t="str">
        <f>IFERROR(HYPERLINK(VLOOKUP(A239,ÜRÜNLER!A:C,3,FALSE),VLOOKUP(A239,ÜRÜNLER!A:B,2,FALSE)),"")</f>
        <v>iQ100 Eğimli Davlumbaz, 60cm, 400m3, Siyah Cam</v>
      </c>
      <c r="C239" s="8">
        <v>8</v>
      </c>
      <c r="D239" s="8"/>
      <c r="E239" s="9"/>
      <c r="F239" s="9"/>
      <c r="G239" s="10"/>
      <c r="H239" s="10"/>
      <c r="I239" s="11"/>
      <c r="J239" s="11">
        <v>1</v>
      </c>
      <c r="K239" s="10"/>
      <c r="L239" s="10"/>
      <c r="M239" s="11"/>
      <c r="N239" s="134">
        <f t="shared" si="9"/>
        <v>9</v>
      </c>
      <c r="O239" s="135">
        <v>11</v>
      </c>
      <c r="P239" s="10"/>
      <c r="Q239" s="118"/>
      <c r="R239" s="52">
        <v>12960.412782700203</v>
      </c>
      <c r="S239" s="182">
        <v>12701.204527046199</v>
      </c>
      <c r="T239" s="12">
        <v>13209.252708128046</v>
      </c>
      <c r="U239" s="12">
        <v>13717.300889209895</v>
      </c>
      <c r="V239" s="27"/>
      <c r="W239" s="13"/>
      <c r="X239" s="17"/>
      <c r="Z239" t="s">
        <v>1617</v>
      </c>
    </row>
    <row r="240" spans="1:26">
      <c r="A240" s="151" t="s">
        <v>240</v>
      </c>
      <c r="B240" s="51" t="str">
        <f>IFERROR(HYPERLINK(VLOOKUP(A240,ÜRÜNLER!A:C,3,FALSE),VLOOKUP(A240,ÜRÜNLER!A:B,2,FALSE)),"")</f>
        <v>iQ100 Eğimli Davlumbaz, 60cm, 400m3, Antrasit Gri Cam</v>
      </c>
      <c r="C240" s="8">
        <v>32</v>
      </c>
      <c r="D240" s="8"/>
      <c r="E240" s="9"/>
      <c r="F240" s="9">
        <v>1</v>
      </c>
      <c r="G240" s="10"/>
      <c r="H240" s="10"/>
      <c r="I240" s="11">
        <v>2</v>
      </c>
      <c r="J240" s="11"/>
      <c r="K240" s="10"/>
      <c r="L240" s="10"/>
      <c r="M240" s="11">
        <v>1</v>
      </c>
      <c r="N240" s="134">
        <f t="shared" si="9"/>
        <v>36</v>
      </c>
      <c r="O240" s="135"/>
      <c r="P240" s="10"/>
      <c r="Q240" s="118"/>
      <c r="R240" s="52">
        <v>12960.412782700203</v>
      </c>
      <c r="S240" s="182">
        <v>12701.204527046199</v>
      </c>
      <c r="T240" s="12">
        <v>13209.252708128046</v>
      </c>
      <c r="U240" s="12">
        <v>13717.300889209895</v>
      </c>
      <c r="V240" s="13"/>
      <c r="W240" s="13"/>
      <c r="X240" s="17"/>
    </row>
    <row r="241" spans="1:26">
      <c r="A241" s="21" t="s">
        <v>241</v>
      </c>
      <c r="B241" s="51" t="str">
        <f>IFERROR(HYPERLINK(VLOOKUP(A241,ÜRÜNLER!A:C,3,FALSE),VLOOKUP(A241,ÜRÜNLER!A:B,2,FALSE)),"")</f>
        <v>iQ300 Eğimli Davlumbaz, 60cm, 510m3,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>
        <v>1</v>
      </c>
      <c r="N241" s="134">
        <f t="shared" si="9"/>
        <v>2</v>
      </c>
      <c r="O241" s="135">
        <v>31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1617</v>
      </c>
    </row>
    <row r="242" spans="1:26">
      <c r="A242" s="149" t="s">
        <v>242</v>
      </c>
      <c r="B242" s="51" t="str">
        <f>IFERROR(HYPERLINK(VLOOKUP(A242,ÜRÜNLER!A:C,3,FALSE),VLOOKUP(A242,ÜRÜNLER!A:B,2,FALSE)),"")</f>
        <v>iQ300 Eğimli Davlumbaz, 60cm, 510m3, Siyah Cam</v>
      </c>
      <c r="C242" s="8">
        <v>6</v>
      </c>
      <c r="D242" s="8"/>
      <c r="E242" s="9"/>
      <c r="F242" s="9">
        <v>1</v>
      </c>
      <c r="G242" s="10"/>
      <c r="H242" s="10"/>
      <c r="I242" s="11"/>
      <c r="J242" s="11"/>
      <c r="K242" s="10">
        <v>1</v>
      </c>
      <c r="L242" s="10"/>
      <c r="M242" s="11"/>
      <c r="N242" s="134">
        <f t="shared" si="9"/>
        <v>8</v>
      </c>
      <c r="O242" s="135">
        <v>31</v>
      </c>
      <c r="P242" s="10"/>
      <c r="Q242" s="118"/>
      <c r="R242" s="52">
        <v>16420.245017186768</v>
      </c>
      <c r="S242" s="182">
        <v>16091.840116843032</v>
      </c>
      <c r="T242" s="12">
        <v>16735.513721516752</v>
      </c>
      <c r="U242" s="12">
        <v>17379.187326190473</v>
      </c>
      <c r="V242" s="13">
        <v>417.91943579141849</v>
      </c>
      <c r="W242" s="13"/>
      <c r="X242" s="17"/>
    </row>
    <row r="243" spans="1:26">
      <c r="A243" s="151" t="s">
        <v>243</v>
      </c>
      <c r="B243" s="51" t="str">
        <f>IFERROR(HYPERLINK(VLOOKUP(A243,ÜRÜNLER!A:C,3,FALSE),VLOOKUP(A243,ÜRÜNLER!A:B,2,FALSE)),"")</f>
        <v>iQ300 Eğimli Davlumbaz, 60cm, 510m3, Antrasit Gri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0"/>
      <c r="M243" s="11"/>
      <c r="N243" s="134">
        <f t="shared" si="9"/>
        <v>1</v>
      </c>
      <c r="O243" s="135">
        <v>51</v>
      </c>
      <c r="P243" s="10"/>
      <c r="Q243" s="118"/>
      <c r="R243" s="52">
        <v>16420.245017186768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1617</v>
      </c>
    </row>
    <row r="244" spans="1:26">
      <c r="A244" s="142" t="s">
        <v>244</v>
      </c>
      <c r="B244" s="51" t="str">
        <f>IFERROR(HYPERLINK(VLOOKUP(A244,ÜRÜNLER!A:C,3,FALSE),VLOOKUP(A244,ÜRÜNLER!A:B,2,FALSE)),"")</f>
        <v>iQ300 Düz Davlumbaz, 60cm, 582m3, Beyaz/Inox</v>
      </c>
      <c r="C244" s="8">
        <v>23</v>
      </c>
      <c r="D244" s="8"/>
      <c r="E244" s="9"/>
      <c r="F244" s="9"/>
      <c r="G244" s="10"/>
      <c r="H244" s="10"/>
      <c r="I244" s="11"/>
      <c r="J244" s="11">
        <v>1</v>
      </c>
      <c r="K244" s="10"/>
      <c r="L244" s="10"/>
      <c r="M244" s="11"/>
      <c r="N244" s="134">
        <f t="shared" si="9"/>
        <v>24</v>
      </c>
      <c r="O244" s="135">
        <v>1</v>
      </c>
      <c r="P244" s="10"/>
      <c r="Q244" s="118"/>
      <c r="R244" s="52">
        <v>16596.834779902212</v>
      </c>
      <c r="S244" s="77">
        <v>15999</v>
      </c>
      <c r="T244" s="183">
        <v>16638.96</v>
      </c>
      <c r="U244" s="12">
        <v>17278.919999999998</v>
      </c>
      <c r="V244" s="27"/>
      <c r="W244" s="13"/>
      <c r="X244" s="131">
        <v>500</v>
      </c>
    </row>
    <row r="245" spans="1:26">
      <c r="A245" s="148" t="s">
        <v>245</v>
      </c>
      <c r="B245" s="51" t="str">
        <f>IFERROR(HYPERLINK(VLOOKUP(A245,ÜRÜNLER!A:C,3,FALSE),VLOOKUP(A245,ÜRÜNLER!A:B,2,FALSE)),"")</f>
        <v>iQ300 Düz Davlumbaz, 60cm, 582m3, Siyah/Inox</v>
      </c>
      <c r="C245" s="8"/>
      <c r="D245" s="8"/>
      <c r="E245" s="9"/>
      <c r="F245" s="9"/>
      <c r="G245" s="10"/>
      <c r="H245" s="10"/>
      <c r="I245" s="11">
        <v>1</v>
      </c>
      <c r="J245" s="11">
        <v>1</v>
      </c>
      <c r="K245" s="10">
        <v>3</v>
      </c>
      <c r="L245" s="10"/>
      <c r="M245" s="11">
        <v>1</v>
      </c>
      <c r="N245" s="134">
        <f t="shared" si="9"/>
        <v>6</v>
      </c>
      <c r="O245" s="135">
        <v>41</v>
      </c>
      <c r="P245" s="10">
        <v>2</v>
      </c>
      <c r="Q245" s="118"/>
      <c r="R245" s="52">
        <v>16596.834779902212</v>
      </c>
      <c r="S245" s="25">
        <v>17500</v>
      </c>
      <c r="T245" s="12">
        <v>18200</v>
      </c>
      <c r="U245" s="12">
        <v>18900</v>
      </c>
      <c r="V245" s="27"/>
      <c r="W245" s="13"/>
      <c r="X245" s="17"/>
      <c r="Z245" t="s">
        <v>1617</v>
      </c>
    </row>
    <row r="246" spans="1:26">
      <c r="A246" s="151" t="s">
        <v>246</v>
      </c>
      <c r="B246" s="51" t="str">
        <f>IFERROR(HYPERLINK(VLOOKUP(A246,ÜRÜNLER!A:C,3,FALSE),VLOOKUP(A246,ÜRÜNLER!A:B,2,FALSE)),"")</f>
        <v>iQ300 Düz Davlumbaz, 60cm, 649m3, Antrasit Gri Cam</v>
      </c>
      <c r="C246" s="8">
        <v>7</v>
      </c>
      <c r="D246" s="8"/>
      <c r="E246" s="9"/>
      <c r="F246" s="9"/>
      <c r="G246" s="10"/>
      <c r="H246" s="10"/>
      <c r="I246" s="11"/>
      <c r="J246" s="11"/>
      <c r="K246" s="10">
        <v>1</v>
      </c>
      <c r="L246" s="10"/>
      <c r="M246" s="11"/>
      <c r="N246" s="134">
        <f t="shared" si="9"/>
        <v>8</v>
      </c>
      <c r="O246" s="135">
        <v>1</v>
      </c>
      <c r="P246" s="10"/>
      <c r="Q246" s="118"/>
      <c r="R246" s="52">
        <v>18686.314734455249</v>
      </c>
      <c r="S246" s="182">
        <v>18312.588439766143</v>
      </c>
      <c r="T246" s="12">
        <v>19045.091977356788</v>
      </c>
      <c r="U246" s="12">
        <v>19777.595514947436</v>
      </c>
      <c r="V246" s="13">
        <v>1397.9426414319933</v>
      </c>
      <c r="W246" s="13"/>
      <c r="X246" s="17"/>
    </row>
    <row r="247" spans="1:26">
      <c r="A247" s="142" t="s">
        <v>247</v>
      </c>
      <c r="B247" s="51" t="str">
        <f>IFERROR(HYPERLINK(VLOOKUP(A247,ÜRÜNLER!A:C,3,FALSE),VLOOKUP(A247,ÜRÜNLER!A:B,2,FALSE)),"")</f>
        <v>iQ500 Düz Davlumbaz, 60cm, 645m3, Beyaz Cam</v>
      </c>
      <c r="C247" s="8">
        <v>16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4">
        <f t="shared" si="9"/>
        <v>16</v>
      </c>
      <c r="O247" s="135"/>
      <c r="P247" s="10"/>
      <c r="Q247" s="118"/>
      <c r="R247" s="74" t="s">
        <v>1593</v>
      </c>
      <c r="S247" s="19">
        <v>18000</v>
      </c>
      <c r="T247" s="12">
        <v>18720</v>
      </c>
      <c r="U247" s="12">
        <v>19440</v>
      </c>
      <c r="V247" s="13"/>
      <c r="W247" s="13"/>
      <c r="X247" s="17"/>
    </row>
    <row r="248" spans="1:26">
      <c r="A248" s="148" t="s">
        <v>248</v>
      </c>
      <c r="B248" s="51" t="str">
        <f>IFERROR(HYPERLINK(VLOOKUP(A248,ÜRÜNLER!A:C,3,FALSE),VLOOKUP(A248,ÜRÜNLER!A:B,2,FALSE)),"")</f>
        <v>iQ500 Düz Davlumbaz, 60cm, 645m3,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/>
      <c r="L248" s="10"/>
      <c r="M248" s="11"/>
      <c r="N248" s="134">
        <f t="shared" si="9"/>
        <v>1</v>
      </c>
      <c r="O248" s="135"/>
      <c r="P248" s="10"/>
      <c r="Q248" s="118"/>
      <c r="R248" s="74" t="s">
        <v>1593</v>
      </c>
      <c r="S248" s="19">
        <v>16000</v>
      </c>
      <c r="T248" s="12">
        <v>16640</v>
      </c>
      <c r="U248" s="12">
        <v>17280</v>
      </c>
      <c r="V248" s="13"/>
      <c r="W248" s="13"/>
      <c r="X248" s="17">
        <v>250</v>
      </c>
    </row>
    <row r="249" spans="1:26">
      <c r="A249" s="148" t="s">
        <v>249</v>
      </c>
      <c r="B249" s="51" t="str">
        <f>IFERROR(HYPERLINK(VLOOKUP(A249,ÜRÜNLER!A:C,3,FALSE),VLOOKUP(A249,ÜRÜNLER!A:B,2,FALSE)),"")</f>
        <v>iQ500 Eğimli Davlumbaz, 60cm, 510m3, Siyah Cam</v>
      </c>
      <c r="C249" s="8"/>
      <c r="D249" s="8"/>
      <c r="E249" s="9"/>
      <c r="F249" s="9"/>
      <c r="G249" s="10"/>
      <c r="H249" s="10"/>
      <c r="I249" s="11"/>
      <c r="J249" s="11"/>
      <c r="K249" s="10"/>
      <c r="L249" s="10"/>
      <c r="M249" s="11">
        <v>1</v>
      </c>
      <c r="N249" s="134">
        <f t="shared" si="9"/>
        <v>1</v>
      </c>
      <c r="O249" s="135">
        <v>21</v>
      </c>
      <c r="P249" s="10">
        <v>2</v>
      </c>
      <c r="Q249" s="118"/>
      <c r="R249" s="52">
        <v>18286.267012745433</v>
      </c>
      <c r="S249" s="25">
        <v>19000</v>
      </c>
      <c r="T249" s="12">
        <v>19760</v>
      </c>
      <c r="U249" s="12">
        <v>20520</v>
      </c>
      <c r="V249" s="27"/>
      <c r="W249" s="13"/>
      <c r="X249" s="17"/>
      <c r="Z249" t="s">
        <v>1617</v>
      </c>
    </row>
    <row r="250" spans="1:26">
      <c r="A250" s="151" t="s">
        <v>250</v>
      </c>
      <c r="B250" s="51" t="str">
        <f>IFERROR(HYPERLINK(VLOOKUP(A250,ÜRÜNLER!A:C,3,FALSE),VLOOKUP(A250,ÜRÜNLER!A:B,2,FALSE)),"")</f>
        <v>iQ500 Eğimli Davlumbaz, 60cm, 510m3, Antrasit Gri Cam</v>
      </c>
      <c r="C250" s="8"/>
      <c r="D250" s="8"/>
      <c r="E250" s="9"/>
      <c r="F250" s="9"/>
      <c r="G250" s="10"/>
      <c r="H250" s="10"/>
      <c r="I250" s="11"/>
      <c r="J250" s="11">
        <v>1</v>
      </c>
      <c r="K250" s="10">
        <v>1</v>
      </c>
      <c r="L250" s="10"/>
      <c r="M250" s="11"/>
      <c r="N250" s="134">
        <f t="shared" si="9"/>
        <v>2</v>
      </c>
      <c r="O250" s="135">
        <v>21</v>
      </c>
      <c r="P250" s="10"/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1617</v>
      </c>
    </row>
    <row r="251" spans="1:26">
      <c r="A251" s="142" t="s">
        <v>251</v>
      </c>
      <c r="B251" s="51" t="str">
        <f>IFERROR(HYPERLINK(VLOOKUP(A251,ÜRÜNLER!A:C,3,FALSE),VLOOKUP(A251,ÜRÜNLER!A:B,2,FALSE)),"")</f>
        <v>iQ500 Eğimli Davlumbaz, 60cm, 578m3, Siyah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>
        <v>2</v>
      </c>
      <c r="L251" s="10"/>
      <c r="M251" s="11">
        <v>1</v>
      </c>
      <c r="N251" s="134">
        <f t="shared" si="9"/>
        <v>4</v>
      </c>
      <c r="O251" s="135"/>
      <c r="P251" s="10"/>
      <c r="Q251" s="118"/>
      <c r="R251" s="74" t="s">
        <v>1593</v>
      </c>
      <c r="S251" s="19">
        <v>17000</v>
      </c>
      <c r="T251" s="12">
        <v>17680</v>
      </c>
      <c r="U251" s="12">
        <v>18360</v>
      </c>
      <c r="V251" s="13"/>
      <c r="W251" s="13"/>
      <c r="X251" s="17">
        <v>250</v>
      </c>
    </row>
    <row r="252" spans="1:26">
      <c r="A252" s="156" t="s">
        <v>252</v>
      </c>
      <c r="B252" s="51" t="str">
        <f>IFERROR(HYPERLINK(VLOOKUP(A252,ÜRÜNLER!A:C,3,FALSE),VLOOKUP(A252,ÜRÜNLER!A:B,2,FALSE)),"")</f>
        <v>iQ500 Eğimli Davlumbaz, 60cm, 510m3, Beyaz Cam</v>
      </c>
      <c r="C252" s="8"/>
      <c r="D252" s="8"/>
      <c r="E252" s="9"/>
      <c r="F252" s="9"/>
      <c r="G252" s="10"/>
      <c r="H252" s="10"/>
      <c r="I252" s="11">
        <v>1</v>
      </c>
      <c r="J252" s="11">
        <v>1</v>
      </c>
      <c r="K252" s="10"/>
      <c r="L252" s="10"/>
      <c r="M252" s="11"/>
      <c r="N252" s="134">
        <f t="shared" si="9"/>
        <v>2</v>
      </c>
      <c r="O252" s="135">
        <v>16</v>
      </c>
      <c r="P252" s="10">
        <v>1</v>
      </c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t="s">
        <v>1617</v>
      </c>
    </row>
    <row r="253" spans="1:26">
      <c r="A253" s="148" t="s">
        <v>253</v>
      </c>
      <c r="B253" s="51" t="str">
        <f>IFERROR(HYPERLINK(VLOOKUP(A253,ÜRÜNLER!A:C,3,FALSE),VLOOKUP(A253,ÜRÜNLER!A:B,2,FALSE)),"")</f>
        <v>iQ500 Eğimli Davlumbaz, 60cm, 700m3, Siyah Cam</v>
      </c>
      <c r="C253" s="8">
        <v>2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34">
        <f t="shared" si="9"/>
        <v>3</v>
      </c>
      <c r="O253" s="135">
        <v>11</v>
      </c>
      <c r="P253" s="10"/>
      <c r="Q253" s="118"/>
      <c r="R253" s="52">
        <v>18286.267012745433</v>
      </c>
      <c r="S253" s="25">
        <v>19000</v>
      </c>
      <c r="T253" s="12">
        <v>19760</v>
      </c>
      <c r="U253" s="12">
        <v>20520</v>
      </c>
      <c r="V253" s="27"/>
      <c r="W253" s="13"/>
      <c r="X253" s="17"/>
      <c r="Z253" t="s">
        <v>1617</v>
      </c>
    </row>
    <row r="254" spans="1:26">
      <c r="A254" s="153" t="s">
        <v>1507</v>
      </c>
      <c r="B254" s="51" t="str">
        <f>IFERROR(HYPERLINK(VLOOKUP(A254,ÜRÜNLER!A:C,3,FALSE),VLOOKUP(A254,ÜRÜNLER!A:B,2,FALSE)),"")</f>
        <v>iQ700 Eğimli Davlumbaz, 60cm, 616m3, Siyah Cam</v>
      </c>
      <c r="C254" s="8">
        <v>14</v>
      </c>
      <c r="D254" s="8"/>
      <c r="E254" s="9"/>
      <c r="F254" s="9"/>
      <c r="G254" s="10"/>
      <c r="H254" s="10"/>
      <c r="I254" s="11"/>
      <c r="J254" s="11"/>
      <c r="K254" s="10"/>
      <c r="L254" s="10"/>
      <c r="M254" s="11"/>
      <c r="N254" s="134">
        <f t="shared" si="9"/>
        <v>14</v>
      </c>
      <c r="O254" s="135"/>
      <c r="P254" s="10"/>
      <c r="Q254" s="118"/>
      <c r="R254" s="52">
        <v>30799</v>
      </c>
      <c r="S254" s="182">
        <v>30183.02</v>
      </c>
      <c r="T254" s="12">
        <v>31390.340800000002</v>
      </c>
      <c r="U254" s="12">
        <v>32597.661599999999</v>
      </c>
      <c r="V254" s="13"/>
      <c r="W254" s="13"/>
      <c r="X254" s="17"/>
    </row>
    <row r="255" spans="1:26">
      <c r="A255" s="157" t="s">
        <v>254</v>
      </c>
      <c r="B255" s="51" t="str">
        <f>IFERROR(HYPERLINK(VLOOKUP(A255,ÜRÜNLER!A:C,3,FALSE),VLOOKUP(A255,ÜRÜNLER!A:B,2,FALSE)),"")</f>
        <v>iQ300 Düz Davlumbaz, 75cm, 454m3, Siyah/Inox</v>
      </c>
      <c r="C255" s="8">
        <v>1</v>
      </c>
      <c r="D255" s="8"/>
      <c r="E255" s="9"/>
      <c r="F255" s="9"/>
      <c r="G255" s="10"/>
      <c r="H255" s="10"/>
      <c r="I255" s="11"/>
      <c r="J255" s="11"/>
      <c r="K255" s="10"/>
      <c r="L255" s="10"/>
      <c r="M255" s="11"/>
      <c r="N255" s="134">
        <f t="shared" si="9"/>
        <v>1</v>
      </c>
      <c r="O255" s="135"/>
      <c r="P255" s="10"/>
      <c r="Q255" s="118"/>
      <c r="R255" s="74" t="s">
        <v>1593</v>
      </c>
      <c r="S255" s="19">
        <v>40000</v>
      </c>
      <c r="T255" s="12">
        <v>41600</v>
      </c>
      <c r="U255" s="12">
        <v>43200</v>
      </c>
      <c r="V255" s="13"/>
      <c r="W255" s="13"/>
      <c r="X255" s="17"/>
    </row>
    <row r="256" spans="1:26">
      <c r="A256" s="142" t="s">
        <v>255</v>
      </c>
      <c r="B256" s="51" t="str">
        <f>IFERROR(HYPERLINK(VLOOKUP(A256,ÜRÜNLER!A:C,3,FALSE),VLOOKUP(A256,ÜRÜNLER!A:B,2,FALSE)),"")</f>
        <v>iQ700 Eğimli Davlumbaz, 90cm, 441m3, Siyah Cam</v>
      </c>
      <c r="C256" s="8"/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0</v>
      </c>
      <c r="O256" s="135">
        <v>4</v>
      </c>
      <c r="P256" s="10"/>
      <c r="Q256" s="118"/>
      <c r="R256" s="52">
        <v>54733.214214039705</v>
      </c>
      <c r="S256" s="182">
        <v>53638.549929758912</v>
      </c>
      <c r="T256" s="12">
        <v>55784.091926949266</v>
      </c>
      <c r="U256" s="12">
        <v>57929.633924139627</v>
      </c>
      <c r="V256" s="13"/>
      <c r="W256" s="13"/>
      <c r="X256" s="17"/>
    </row>
    <row r="257" spans="1:24">
      <c r="A257" s="142" t="s">
        <v>256</v>
      </c>
      <c r="B257" s="51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>
        <v>1</v>
      </c>
      <c r="L257" s="10"/>
      <c r="M257" s="11"/>
      <c r="N257" s="134">
        <f t="shared" si="9"/>
        <v>2</v>
      </c>
      <c r="O257" s="135"/>
      <c r="P257" s="10"/>
      <c r="Q257" s="118"/>
      <c r="R257" s="52">
        <v>79664.143496936216</v>
      </c>
      <c r="S257" s="18">
        <v>71697.7291472426</v>
      </c>
      <c r="T257" s="12">
        <v>74565.638313132309</v>
      </c>
      <c r="U257" s="12">
        <v>77433.547479022003</v>
      </c>
      <c r="V257" s="13"/>
      <c r="W257" s="13"/>
      <c r="X257" s="80">
        <v>500</v>
      </c>
    </row>
    <row r="258" spans="1:24">
      <c r="A258" s="142" t="s">
        <v>257</v>
      </c>
      <c r="B258" s="51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34">
        <f t="shared" si="9"/>
        <v>2</v>
      </c>
      <c r="O258" s="135">
        <v>1</v>
      </c>
      <c r="P258" s="10"/>
      <c r="Q258" s="118"/>
      <c r="R258" s="52">
        <v>22706.639948246382</v>
      </c>
      <c r="S258" s="182">
        <v>22252.507149281453</v>
      </c>
      <c r="T258" s="12">
        <v>23142.60743525271</v>
      </c>
      <c r="U258" s="12">
        <v>24032.707721223971</v>
      </c>
      <c r="V258" s="13"/>
      <c r="W258" s="13"/>
      <c r="X258" s="17"/>
    </row>
    <row r="259" spans="1:24">
      <c r="A259" s="158" t="s">
        <v>258</v>
      </c>
      <c r="B259" s="51" t="str">
        <f>IFERROR(HYPERLINK(VLOOKUP(A259,ÜRÜNLER!A:C,3,FALSE),VLOOKUP(A259,ÜRÜNLER!A:B,2,FALSE)),"")</f>
        <v>iQ300 Düz Davlumbaz, 90cm, 649m3, Antrasit Gri Cam</v>
      </c>
      <c r="C259" s="8">
        <v>2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4">
        <f t="shared" si="9"/>
        <v>2</v>
      </c>
      <c r="O259" s="135">
        <v>1</v>
      </c>
      <c r="P259" s="10"/>
      <c r="Q259" s="118"/>
      <c r="R259" s="52">
        <v>23717.223835639379</v>
      </c>
      <c r="S259" s="182">
        <v>23242.879358926592</v>
      </c>
      <c r="T259" s="12">
        <v>24172.594533283656</v>
      </c>
      <c r="U259" s="12">
        <v>25102.309707640718</v>
      </c>
      <c r="V259" s="13"/>
      <c r="W259" s="13"/>
      <c r="X259" s="17"/>
    </row>
    <row r="260" spans="1:24">
      <c r="A260" s="143" t="s">
        <v>259</v>
      </c>
      <c r="B260" s="51" t="str">
        <f>IFERROR(HYPERLINK(VLOOKUP(A260,ÜRÜNLER!A:C,3,FALSE),VLOOKUP(A260,ÜRÜNLER!A:B,2,FALSE)),"")</f>
        <v>iQ300 Düz Davlumbaz, 90cm, 649m3, Beyaz Cam</v>
      </c>
      <c r="C260" s="8">
        <v>15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34">
        <f t="shared" si="9"/>
        <v>15</v>
      </c>
      <c r="O260" s="135">
        <v>1</v>
      </c>
      <c r="P260" s="10"/>
      <c r="Q260" s="118"/>
      <c r="R260" s="52">
        <v>23717.223835639379</v>
      </c>
      <c r="S260" s="182">
        <v>23242.879358926592</v>
      </c>
      <c r="T260" s="12">
        <v>24172.594533283656</v>
      </c>
      <c r="U260" s="12">
        <v>25102.309707640718</v>
      </c>
      <c r="V260" s="13"/>
      <c r="W260" s="13"/>
      <c r="X260" s="17"/>
    </row>
    <row r="261" spans="1:24">
      <c r="A261" s="151" t="s">
        <v>260</v>
      </c>
      <c r="B261" s="51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34">
        <f t="shared" si="9"/>
        <v>4</v>
      </c>
      <c r="O261" s="135"/>
      <c r="P261" s="10"/>
      <c r="Q261" s="118"/>
      <c r="R261" s="74" t="s">
        <v>1593</v>
      </c>
      <c r="S261" s="19">
        <v>29999</v>
      </c>
      <c r="T261" s="12">
        <v>31198.959999999999</v>
      </c>
      <c r="U261" s="12">
        <v>32398.92</v>
      </c>
      <c r="V261" s="13"/>
      <c r="W261" s="13"/>
      <c r="X261" s="17"/>
    </row>
    <row r="262" spans="1:24">
      <c r="A262" s="142" t="s">
        <v>261</v>
      </c>
      <c r="B262" s="51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>
        <v>1</v>
      </c>
      <c r="G262" s="10"/>
      <c r="H262" s="10"/>
      <c r="I262" s="11">
        <v>1</v>
      </c>
      <c r="J262" s="11">
        <v>1</v>
      </c>
      <c r="K262" s="10">
        <v>1</v>
      </c>
      <c r="L262" s="10"/>
      <c r="M262" s="11"/>
      <c r="N262" s="134">
        <f t="shared" si="9"/>
        <v>24</v>
      </c>
      <c r="O262" s="135"/>
      <c r="P262" s="10"/>
      <c r="Q262" s="118"/>
      <c r="R262" s="74" t="s">
        <v>1593</v>
      </c>
      <c r="S262" s="47">
        <v>25000</v>
      </c>
      <c r="T262" s="12">
        <v>26000</v>
      </c>
      <c r="U262" s="12">
        <v>27000</v>
      </c>
      <c r="V262" s="13">
        <v>523.33187705630189</v>
      </c>
      <c r="W262" s="13"/>
      <c r="X262" s="81">
        <v>500</v>
      </c>
    </row>
    <row r="263" spans="1:24">
      <c r="A263" s="142" t="s">
        <v>262</v>
      </c>
      <c r="B263" s="51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4">
        <f t="shared" si="9"/>
        <v>4</v>
      </c>
      <c r="O263" s="135">
        <v>1</v>
      </c>
      <c r="P263" s="10"/>
      <c r="Q263" s="118"/>
      <c r="R263" s="52">
        <v>35554.893039650982</v>
      </c>
      <c r="S263" s="182">
        <v>34843.795178857959</v>
      </c>
      <c r="T263" s="12">
        <v>36237.546986012276</v>
      </c>
      <c r="U263" s="12">
        <v>37631.298793166599</v>
      </c>
      <c r="V263" s="13"/>
      <c r="W263" s="13"/>
      <c r="X263" s="17"/>
    </row>
    <row r="264" spans="1:24">
      <c r="A264" s="142" t="s">
        <v>263</v>
      </c>
      <c r="B264" s="51" t="str">
        <f>IFERROR(HYPERLINK(VLOOKUP(A264,ÜRÜNLER!A:C,3,FALSE),VLOOKUP(A264,ÜRÜNLER!A:B,2,FALSE)),"")</f>
        <v>iQ500 Düz Davlumbaz, 90cm, 394m3, Siyah Cam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34">
        <f t="shared" si="9"/>
        <v>4</v>
      </c>
      <c r="O264" s="135"/>
      <c r="P264" s="10"/>
      <c r="Q264" s="118"/>
      <c r="R264" s="74" t="s">
        <v>1593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42" t="s">
        <v>264</v>
      </c>
      <c r="B265" s="51" t="str">
        <f>IFERROR(HYPERLINK(VLOOKUP(A265,ÜRÜNLER!A:C,3,FALSE),VLOOKUP(A265,ÜRÜNLER!A:B,2,FALSE)),"")</f>
        <v>iQ700 Düz Davlumbaz, 90cm, 394m3, Siyah Cam</v>
      </c>
      <c r="C265" s="8">
        <v>3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3</v>
      </c>
      <c r="O265" s="135"/>
      <c r="P265" s="10"/>
      <c r="Q265" s="118"/>
      <c r="R265" s="74" t="s">
        <v>1593</v>
      </c>
      <c r="S265" s="19">
        <v>51000</v>
      </c>
      <c r="T265" s="12">
        <v>53040</v>
      </c>
      <c r="U265" s="12">
        <v>55080</v>
      </c>
      <c r="V265" s="13"/>
      <c r="W265" s="13"/>
      <c r="X265" s="81">
        <v>1000</v>
      </c>
    </row>
    <row r="266" spans="1:24">
      <c r="A266" s="142" t="s">
        <v>265</v>
      </c>
      <c r="B266" s="51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34">
        <f t="shared" si="9"/>
        <v>1</v>
      </c>
      <c r="O266" s="135"/>
      <c r="P266" s="10"/>
      <c r="Q266" s="118"/>
      <c r="R266" s="74" t="s">
        <v>1593</v>
      </c>
      <c r="S266" s="19">
        <v>51000</v>
      </c>
      <c r="T266" s="12">
        <v>53040</v>
      </c>
      <c r="U266" s="12">
        <v>55080</v>
      </c>
      <c r="V266" s="13"/>
      <c r="W266" s="13"/>
      <c r="X266" s="81">
        <v>1000</v>
      </c>
    </row>
    <row r="267" spans="1:24">
      <c r="A267" s="156" t="s">
        <v>266</v>
      </c>
      <c r="B267" s="51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4</v>
      </c>
      <c r="O267" s="135">
        <v>1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8" t="s">
        <v>267</v>
      </c>
      <c r="B268" s="51" t="str">
        <f>IFERROR(HYPERLINK(VLOOKUP(A268,ÜRÜNLER!A:C,3,FALSE),VLOOKUP(A268,ÜRÜNLER!A:B,2,FALSE)),"")</f>
        <v>iQ500 Eğimli Davlumbaz, 90cm, 510m3, Siyah Cam</v>
      </c>
      <c r="C268" s="8">
        <v>1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4">
        <f t="shared" si="9"/>
        <v>1</v>
      </c>
      <c r="O268" s="135">
        <v>6</v>
      </c>
      <c r="P268" s="10"/>
      <c r="Q268" s="118"/>
      <c r="R268" s="52">
        <v>27571.283148267736</v>
      </c>
      <c r="S268" s="182">
        <v>27019.857485302382</v>
      </c>
      <c r="T268" s="12">
        <v>28100.651784714479</v>
      </c>
      <c r="U268" s="12">
        <v>29181.446084126572</v>
      </c>
      <c r="V268" s="13"/>
      <c r="W268" s="13"/>
      <c r="X268" s="17"/>
    </row>
    <row r="269" spans="1:24">
      <c r="A269" s="151" t="s">
        <v>268</v>
      </c>
      <c r="B269" s="51" t="str">
        <f>IFERROR(HYPERLINK(VLOOKUP(A269,ÜRÜNLER!A:C,3,FALSE),VLOOKUP(A269,ÜRÜNLER!A:B,2,FALSE)),"")</f>
        <v>iQ500 Eğimli Davlumbaz, 90cm, 510m3, Antrasit Gri Cam</v>
      </c>
      <c r="C269" s="8">
        <v>6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6</v>
      </c>
      <c r="O269" s="135">
        <v>1</v>
      </c>
      <c r="P269" s="10"/>
      <c r="Q269" s="118"/>
      <c r="R269" s="52">
        <v>27571.283148267736</v>
      </c>
      <c r="S269" s="182">
        <v>27019.857485302382</v>
      </c>
      <c r="T269" s="12">
        <v>28100.651784714479</v>
      </c>
      <c r="U269" s="12">
        <v>29181.446084126572</v>
      </c>
      <c r="V269" s="13"/>
      <c r="W269" s="13"/>
      <c r="X269" s="17"/>
    </row>
    <row r="270" spans="1:24">
      <c r="A270" s="142" t="s">
        <v>269</v>
      </c>
      <c r="B270" s="51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2</v>
      </c>
      <c r="O270" s="135"/>
      <c r="P270" s="10"/>
      <c r="Q270" s="118"/>
      <c r="R270" s="74" t="s">
        <v>1593</v>
      </c>
      <c r="S270" s="19">
        <v>26000</v>
      </c>
      <c r="T270" s="12">
        <v>27040</v>
      </c>
      <c r="U270" s="12">
        <v>28080</v>
      </c>
      <c r="V270" s="13"/>
      <c r="W270" s="13"/>
      <c r="X270" s="106">
        <v>500</v>
      </c>
    </row>
    <row r="271" spans="1:24">
      <c r="A271" s="142" t="s">
        <v>270</v>
      </c>
      <c r="B271" s="51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7</v>
      </c>
      <c r="O271" s="135"/>
      <c r="P271" s="10"/>
      <c r="Q271" s="118"/>
      <c r="R271" s="74" t="s">
        <v>1593</v>
      </c>
      <c r="S271" s="19">
        <v>26000</v>
      </c>
      <c r="T271" s="12">
        <v>27040</v>
      </c>
      <c r="U271" s="12">
        <v>28080</v>
      </c>
      <c r="V271" s="13"/>
      <c r="W271" s="13"/>
      <c r="X271" s="106">
        <v>500</v>
      </c>
    </row>
    <row r="272" spans="1:24">
      <c r="A272" s="148" t="s">
        <v>271</v>
      </c>
      <c r="B272" s="51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34">
        <f t="shared" si="9"/>
        <v>1</v>
      </c>
      <c r="O272" s="135"/>
      <c r="P272" s="10"/>
      <c r="Q272" s="118"/>
      <c r="R272" s="74" t="s">
        <v>1593</v>
      </c>
      <c r="S272" s="18">
        <v>55000</v>
      </c>
      <c r="T272" s="12">
        <v>57200</v>
      </c>
      <c r="U272" s="12">
        <v>59400</v>
      </c>
      <c r="V272" s="13"/>
      <c r="W272" s="13"/>
      <c r="X272" s="106">
        <v>500</v>
      </c>
    </row>
    <row r="273" spans="1:24">
      <c r="A273" s="148" t="s">
        <v>272</v>
      </c>
      <c r="B273" s="51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34">
        <f t="shared" si="9"/>
        <v>8</v>
      </c>
      <c r="O273" s="135"/>
      <c r="P273" s="10"/>
      <c r="Q273" s="118"/>
      <c r="R273" s="52">
        <v>259257.06697947497</v>
      </c>
      <c r="S273" s="18">
        <v>233331.36028152748</v>
      </c>
      <c r="T273" s="12">
        <v>242664.61469278857</v>
      </c>
      <c r="U273" s="12">
        <v>251997.86910404969</v>
      </c>
      <c r="V273" s="13"/>
      <c r="W273" s="13"/>
      <c r="X273" s="106">
        <v>500</v>
      </c>
    </row>
    <row r="274" spans="1:24">
      <c r="A274" s="142" t="s">
        <v>273</v>
      </c>
      <c r="B274" s="51" t="str">
        <f>IFERROR(HYPERLINK(VLOOKUP(A274,ÜRÜNLER!A:C,3,FALSE),VLOOKUP(A274,ÜRÜNLER!A:B,2,FALSE)),"")</f>
        <v>iQ700 studioLine Tezgaha Entegre Davlumbaz, 80cm, Siyah/Cam</v>
      </c>
      <c r="C274" s="8"/>
      <c r="D274" s="8">
        <v>2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3</v>
      </c>
      <c r="O274" s="135"/>
      <c r="P274" s="10"/>
      <c r="Q274" s="118"/>
      <c r="R274" s="52">
        <v>143951.17233670229</v>
      </c>
      <c r="S274" s="18">
        <v>129556.05510303206</v>
      </c>
      <c r="T274" s="12">
        <v>134738.29730715335</v>
      </c>
      <c r="U274" s="12">
        <v>139920.53951127463</v>
      </c>
      <c r="V274" s="13"/>
      <c r="W274" s="13"/>
      <c r="X274" s="106">
        <v>500</v>
      </c>
    </row>
    <row r="275" spans="1:24">
      <c r="A275" s="159" t="s">
        <v>275</v>
      </c>
      <c r="B275" s="51" t="str">
        <f>IFERROR(HYPERLINK(VLOOKUP(A275,ÜRÜNLER!A:C,3,FALSE),VLOOKUP(A275,ÜRÜNLER!A:B,2,FALSE)),"")</f>
        <v>iQ500 studioLine Ada Tipi Davlumbaz, 90cm, Inox</v>
      </c>
      <c r="C275" s="8"/>
      <c r="D275" s="8">
        <v>3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4</v>
      </c>
      <c r="O275" s="135"/>
      <c r="P275" s="10"/>
      <c r="Q275" s="118"/>
      <c r="R275" s="52">
        <v>84447.261491362675</v>
      </c>
      <c r="S275" s="18">
        <v>76002.535342226402</v>
      </c>
      <c r="T275" s="12">
        <v>79042.636755915461</v>
      </c>
      <c r="U275" s="12">
        <v>82082.738169604519</v>
      </c>
      <c r="V275" s="13"/>
      <c r="W275" s="13"/>
      <c r="X275" s="106">
        <v>500</v>
      </c>
    </row>
    <row r="276" spans="1:24">
      <c r="A276" s="159" t="s">
        <v>274</v>
      </c>
      <c r="B276" s="51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10"/>
      <c r="H276" s="10"/>
      <c r="I276" s="11">
        <v>1</v>
      </c>
      <c r="J276" s="11"/>
      <c r="K276" s="10">
        <v>2</v>
      </c>
      <c r="L276" s="10"/>
      <c r="M276" s="11"/>
      <c r="N276" s="134">
        <f t="shared" si="9"/>
        <v>5</v>
      </c>
      <c r="O276" s="135">
        <v>1</v>
      </c>
      <c r="P276" s="10"/>
      <c r="Q276" s="118"/>
      <c r="R276" s="52">
        <v>52259.014637792563</v>
      </c>
      <c r="S276" s="182">
        <v>51213.83434503671</v>
      </c>
      <c r="T276" s="12">
        <v>53262.387718838181</v>
      </c>
      <c r="U276" s="12">
        <v>55310.941092639645</v>
      </c>
      <c r="V276" s="13"/>
      <c r="W276" s="13"/>
      <c r="X276" s="17"/>
    </row>
    <row r="277" spans="1:24">
      <c r="A277" s="21" t="s">
        <v>276</v>
      </c>
      <c r="B277" s="51" t="str">
        <f>IFERROR(HYPERLINK(VLOOKUP(A277,ÜRÜNLER!A:C,3,FALSE),VLOOKUP(A277,ÜRÜNLER!A:B,2,FALSE)),"")</f>
        <v>iQ100 Teleskopik Aspiratör, 60cm, 310m3, Gümüş</v>
      </c>
      <c r="C277" s="8">
        <v>8</v>
      </c>
      <c r="D277" s="8"/>
      <c r="E277" s="9"/>
      <c r="F277" s="9">
        <v>1</v>
      </c>
      <c r="G277" s="10"/>
      <c r="H277" s="10"/>
      <c r="I277" s="11"/>
      <c r="J277" s="11"/>
      <c r="K277" s="10"/>
      <c r="L277" s="10"/>
      <c r="M277" s="11"/>
      <c r="N277" s="134">
        <f t="shared" si="9"/>
        <v>9</v>
      </c>
      <c r="O277" s="135">
        <v>1</v>
      </c>
      <c r="P277" s="10"/>
      <c r="Q277" s="118"/>
      <c r="R277" s="52">
        <v>6994.7475072313682</v>
      </c>
      <c r="S277" s="182">
        <v>6854.8525570867405</v>
      </c>
      <c r="T277" s="12">
        <v>7129.0466593702104</v>
      </c>
      <c r="U277" s="12">
        <v>7403.2407616536802</v>
      </c>
      <c r="V277" s="13"/>
      <c r="W277" s="13"/>
      <c r="X277" s="17"/>
    </row>
    <row r="278" spans="1:24">
      <c r="A278" s="21" t="s">
        <v>277</v>
      </c>
      <c r="B278" s="51" t="str">
        <f>IFERROR(HYPERLINK(VLOOKUP(A278,ÜRÜNLER!A:C,3,FALSE),VLOOKUP(A278,ÜRÜNLER!A:B,2,FALSE)),"")</f>
        <v>iQ100 Teleskopik Aspiratör, 60cm, 310m3, Beyaz</v>
      </c>
      <c r="C278" s="8">
        <v>10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34">
        <f t="shared" si="9"/>
        <v>10</v>
      </c>
      <c r="O278" s="135">
        <v>1</v>
      </c>
      <c r="P278" s="10"/>
      <c r="Q278" s="118"/>
      <c r="R278" s="52">
        <v>6996.7150435309395</v>
      </c>
      <c r="S278" s="182">
        <v>6856.7807426603204</v>
      </c>
      <c r="T278" s="12">
        <v>7131.051972366733</v>
      </c>
      <c r="U278" s="12">
        <v>7405.3232020731457</v>
      </c>
      <c r="V278" s="13"/>
      <c r="W278" s="13"/>
      <c r="X278" s="17"/>
    </row>
    <row r="279" spans="1:24">
      <c r="A279" s="22" t="s">
        <v>278</v>
      </c>
      <c r="B279" s="51" t="str">
        <f>IFERROR(HYPERLINK(VLOOKUP(A279,ÜRÜNLER!A:C,3,FALSE),VLOOKUP(A279,ÜRÜNLER!A:B,2,FALSE)),"")</f>
        <v>iQ500 Gömme Aspiratör, 52cm, 570m3, Inox</v>
      </c>
      <c r="C279" s="8">
        <v>2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34">
        <f t="shared" si="9"/>
        <v>2</v>
      </c>
      <c r="O279" s="135">
        <v>1</v>
      </c>
      <c r="P279" s="10"/>
      <c r="Q279" s="118"/>
      <c r="R279" s="52">
        <v>26523.426589751005</v>
      </c>
      <c r="S279" s="182">
        <v>25992.958057955984</v>
      </c>
      <c r="T279" s="12">
        <v>27032.676380274224</v>
      </c>
      <c r="U279" s="12">
        <v>28072.394702592464</v>
      </c>
      <c r="V279" s="13"/>
      <c r="W279" s="13"/>
      <c r="X279" s="17"/>
    </row>
    <row r="280" spans="1:24">
      <c r="A280" s="21" t="s">
        <v>279</v>
      </c>
      <c r="B280" s="51" t="str">
        <f>IFERROR(HYPERLINK(VLOOKUP(A280,ÜRÜNLER!A:C,3,FALSE),VLOOKUP(A280,ÜRÜNLER!A:B,2,FALSE)),"")</f>
        <v>iQ100 Gömme Aspiratör, 53cm, 302m3, Gri</v>
      </c>
      <c r="C280" s="8">
        <v>11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11</v>
      </c>
      <c r="O280" s="135"/>
      <c r="P280" s="10"/>
      <c r="Q280" s="118"/>
      <c r="R280" s="52">
        <v>10511.623575695072</v>
      </c>
      <c r="S280" s="182">
        <v>10301.39110418117</v>
      </c>
      <c r="T280" s="12">
        <v>10713.446748348417</v>
      </c>
      <c r="U280" s="12">
        <v>11125.502392515664</v>
      </c>
      <c r="V280" s="13"/>
      <c r="W280" s="13"/>
      <c r="X280" s="17"/>
    </row>
    <row r="281" spans="1:24">
      <c r="A281" s="149" t="s">
        <v>280</v>
      </c>
      <c r="B281" s="51" t="str">
        <f>IFERROR(HYPERLINK(VLOOKUP(A281,ÜRÜNLER!A:C,3,FALSE),VLOOKUP(A281,ÜRÜNLER!A:B,2,FALSE)),"")</f>
        <v>iQ700 Gömme Aspiratör, 86cm, 595m3, Siyah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6</v>
      </c>
      <c r="P281" s="10"/>
      <c r="Q281" s="118"/>
      <c r="R281" s="52">
        <v>40397.409638614212</v>
      </c>
      <c r="S281" s="182">
        <v>39589.461445841931</v>
      </c>
      <c r="T281" s="12">
        <v>41173.039903675606</v>
      </c>
      <c r="U281" s="12">
        <v>42756.618361509289</v>
      </c>
      <c r="V281" s="13"/>
      <c r="W281" s="13"/>
      <c r="X281" s="17"/>
    </row>
    <row r="282" spans="1:24">
      <c r="A282" s="21" t="s">
        <v>281</v>
      </c>
      <c r="B282" s="51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2</v>
      </c>
      <c r="O282" s="135">
        <v>6</v>
      </c>
      <c r="P282" s="10"/>
      <c r="Q282" s="118"/>
      <c r="R282" s="52">
        <v>36071.86016206137</v>
      </c>
      <c r="S282" s="182">
        <v>35350.422958820142</v>
      </c>
      <c r="T282" s="12">
        <v>36764.439877172947</v>
      </c>
      <c r="U282" s="12">
        <v>38178.456795525752</v>
      </c>
      <c r="V282" s="13"/>
      <c r="W282" s="13"/>
      <c r="X282" s="17"/>
    </row>
    <row r="283" spans="1:24" ht="30">
      <c r="A283" s="31" t="s">
        <v>282</v>
      </c>
      <c r="B283" s="51" t="str">
        <f>IFERROR(HYPERLINK(VLOOKUP(A283,ÜRÜNLER!A:C,3,FALSE),VLOOKUP(A283,ÜRÜNLER!A:B,2,FALSE)),"")</f>
        <v/>
      </c>
      <c r="C283" s="8"/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/>
      <c r="O283" s="135"/>
      <c r="P283" s="10"/>
      <c r="Q283" s="9"/>
      <c r="R283" s="74"/>
      <c r="S283" s="19"/>
      <c r="T283" s="12"/>
      <c r="U283" s="12"/>
      <c r="V283" s="13"/>
      <c r="W283" s="13"/>
      <c r="X283" s="17"/>
    </row>
    <row r="284" spans="1:24">
      <c r="A284" s="96" t="s">
        <v>1493</v>
      </c>
      <c r="B284" s="51" t="str">
        <f>IFERROR(HYPERLINK(VLOOKUP(A284,ÜRÜNLER!A:C,3,FALSE),VLOOKUP(A284,ÜRÜNLER!A:B,2,FALSE)),"")</f>
        <v>iQ300 Gazlı Ocak, 67cm, Sert Cam, Beyaz</v>
      </c>
      <c r="C284" s="8">
        <v>1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ref="N284:N346" si="10">M284+L284+K284+J284+I284+H284+G284+F284+E284+D284+C284</f>
        <v>1</v>
      </c>
      <c r="O284" s="135">
        <v>1</v>
      </c>
      <c r="P284" s="10"/>
      <c r="Q284" s="9"/>
      <c r="R284" s="52">
        <v>13694.176187536226</v>
      </c>
      <c r="S284" s="19">
        <v>13694.176187536226</v>
      </c>
      <c r="T284" s="12">
        <v>14241.943235037676</v>
      </c>
      <c r="U284" s="12">
        <v>14789.710282539125</v>
      </c>
      <c r="V284" s="13"/>
      <c r="W284" s="13"/>
      <c r="X284" s="17"/>
    </row>
    <row r="285" spans="1:24">
      <c r="A285" s="160" t="s">
        <v>283</v>
      </c>
      <c r="B285" s="51" t="str">
        <f>IFERROR(HYPERLINK(VLOOKUP(A285,ÜRÜNLER!A:C,3,FALSE),VLOOKUP(A285,ÜRÜNLER!A:B,2,FALSE)),"")</f>
        <v>iQ100 Set Üstü Gazlı Ocak, 60cm, Beyaz</v>
      </c>
      <c r="C285" s="8"/>
      <c r="D285" s="8"/>
      <c r="E285" s="9"/>
      <c r="F285" s="9"/>
      <c r="G285" s="10"/>
      <c r="H285" s="10"/>
      <c r="I285" s="11"/>
      <c r="J285" s="11"/>
      <c r="K285" s="10">
        <v>1</v>
      </c>
      <c r="L285" s="10"/>
      <c r="M285" s="11"/>
      <c r="N285" s="134">
        <f t="shared" si="10"/>
        <v>1</v>
      </c>
      <c r="O285" s="135"/>
      <c r="P285" s="10"/>
      <c r="Q285" s="118"/>
      <c r="R285" s="74" t="s">
        <v>1593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60" t="s">
        <v>284</v>
      </c>
      <c r="B286" s="51" t="str">
        <f>IFERROR(HYPERLINK(VLOOKUP(A286,ÜRÜNLER!A:C,3,FALSE),VLOOKUP(A286,ÜRÜNLER!A:B,2,FALSE)),"")</f>
        <v>iQ100 Set Üstü Gazlı Ocak, 60cm, Inox</v>
      </c>
      <c r="C286" s="8"/>
      <c r="D286" s="8"/>
      <c r="E286" s="9"/>
      <c r="F286" s="9"/>
      <c r="G286" s="10"/>
      <c r="H286" s="10"/>
      <c r="I286" s="11">
        <v>2</v>
      </c>
      <c r="J286" s="11"/>
      <c r="K286" s="10">
        <v>1</v>
      </c>
      <c r="L286" s="10"/>
      <c r="M286" s="11"/>
      <c r="N286" s="134">
        <f t="shared" si="10"/>
        <v>3</v>
      </c>
      <c r="O286" s="135"/>
      <c r="P286" s="10"/>
      <c r="Q286" s="118"/>
      <c r="R286" s="74" t="s">
        <v>1593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285</v>
      </c>
      <c r="B287" s="51" t="str">
        <f>IFERROR(HYPERLINK(VLOOKUP(A287,ÜRÜNLER!A:C,3,FALSE),VLOOKUP(A287,ÜRÜNLER!A:B,2,FALSE)),"")</f>
        <v>iQ100 Gazlı Ocak, 60cm, Emaye, Beyaz</v>
      </c>
      <c r="C287" s="8"/>
      <c r="D287" s="8"/>
      <c r="E287" s="9"/>
      <c r="F287" s="9">
        <v>1</v>
      </c>
      <c r="G287" s="10"/>
      <c r="H287" s="10"/>
      <c r="I287" s="11">
        <v>1</v>
      </c>
      <c r="J287" s="11"/>
      <c r="K287" s="10">
        <v>1</v>
      </c>
      <c r="L287" s="10"/>
      <c r="M287" s="11"/>
      <c r="N287" s="134">
        <f t="shared" si="10"/>
        <v>3</v>
      </c>
      <c r="O287" s="135"/>
      <c r="P287" s="10"/>
      <c r="Q287" s="118"/>
      <c r="R287" s="74" t="s">
        <v>1593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41" t="s">
        <v>286</v>
      </c>
      <c r="B288" s="51" t="str">
        <f>IFERROR(HYPERLINK(VLOOKUP(A288,ÜRÜNLER!A:C,3,FALSE),VLOOKUP(A288,ÜRÜNLER!A:B,2,FALSE)),"")</f>
        <v>iQ100 Gazlı/Elektrikli Ocak, 60cm, Inox</v>
      </c>
      <c r="C288" s="8">
        <v>3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34">
        <f t="shared" si="10"/>
        <v>3</v>
      </c>
      <c r="O288" s="135"/>
      <c r="P288" s="10"/>
      <c r="Q288" s="118"/>
      <c r="R288" s="74" t="s">
        <v>1593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41" t="s">
        <v>287</v>
      </c>
      <c r="B289" s="51" t="str">
        <f>IFERROR(HYPERLINK(VLOOKUP(A289,ÜRÜNLER!A:C,3,FALSE),VLOOKUP(A289,ÜRÜNLER!A:B,2,FALSE)),"")</f>
        <v>iQ100 Gazlı Ocak, 60cm, Emaye, Siyah</v>
      </c>
      <c r="C289" s="8"/>
      <c r="D289" s="8"/>
      <c r="E289" s="9"/>
      <c r="F289" s="9"/>
      <c r="G289" s="10"/>
      <c r="H289" s="10"/>
      <c r="I289" s="11"/>
      <c r="J289" s="11"/>
      <c r="K289" s="10">
        <v>1</v>
      </c>
      <c r="L289" s="10"/>
      <c r="M289" s="11"/>
      <c r="N289" s="134">
        <f t="shared" si="10"/>
        <v>1</v>
      </c>
      <c r="O289" s="135"/>
      <c r="P289" s="10"/>
      <c r="Q289" s="118"/>
      <c r="R289" s="74" t="s">
        <v>1593</v>
      </c>
      <c r="S289" s="19">
        <v>9000</v>
      </c>
      <c r="T289" s="12">
        <v>9360</v>
      </c>
      <c r="U289" s="12">
        <v>9720</v>
      </c>
      <c r="V289" s="13"/>
      <c r="W289" s="13"/>
      <c r="X289" s="29">
        <v>500</v>
      </c>
    </row>
    <row r="290" spans="1:24">
      <c r="A290" s="160" t="s">
        <v>288</v>
      </c>
      <c r="B290" s="51" t="str">
        <f>IFERROR(HYPERLINK(VLOOKUP(A290,ÜRÜNLER!A:C,3,FALSE),VLOOKUP(A290,ÜRÜNLER!A:B,2,FALSE)),"")</f>
        <v>iQ500 Gazlı Ocak, 60cm, Inox, Döküm</v>
      </c>
      <c r="C290" s="8"/>
      <c r="D290" s="8"/>
      <c r="E290" s="9"/>
      <c r="F290" s="9"/>
      <c r="G290" s="10"/>
      <c r="H290" s="10"/>
      <c r="I290" s="11"/>
      <c r="J290" s="11"/>
      <c r="K290" s="10">
        <v>1</v>
      </c>
      <c r="L290" s="10"/>
      <c r="M290" s="11"/>
      <c r="N290" s="134">
        <f t="shared" si="10"/>
        <v>1</v>
      </c>
      <c r="O290" s="135"/>
      <c r="P290" s="10"/>
      <c r="Q290" s="118"/>
      <c r="R290" s="74" t="s">
        <v>1593</v>
      </c>
      <c r="S290" s="19">
        <v>32000</v>
      </c>
      <c r="T290" s="12">
        <v>33280</v>
      </c>
      <c r="U290" s="12">
        <v>34560</v>
      </c>
      <c r="V290" s="13"/>
      <c r="W290" s="13"/>
      <c r="X290" s="29">
        <v>500</v>
      </c>
    </row>
    <row r="291" spans="1:24">
      <c r="A291" s="142" t="s">
        <v>290</v>
      </c>
      <c r="B291" s="51" t="str">
        <f>IFERROR(HYPERLINK(VLOOKUP(A291,ÜRÜNLER!A:C,3,FALSE),VLOOKUP(A291,ÜRÜNLER!A:B,2,FALSE)),"")</f>
        <v>iQ300 Gazlı Ocak, 60cm, Inox, Döküm</v>
      </c>
      <c r="C291" s="8"/>
      <c r="D291" s="8"/>
      <c r="E291" s="9"/>
      <c r="F291" s="9"/>
      <c r="G291" s="10"/>
      <c r="H291" s="10"/>
      <c r="I291" s="11">
        <v>1</v>
      </c>
      <c r="J291" s="11"/>
      <c r="K291" s="10"/>
      <c r="L291" s="10"/>
      <c r="M291" s="11"/>
      <c r="N291" s="134">
        <f t="shared" si="10"/>
        <v>1</v>
      </c>
      <c r="O291" s="135"/>
      <c r="P291" s="10"/>
      <c r="Q291" s="118"/>
      <c r="R291" s="74" t="s">
        <v>1593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42" t="s">
        <v>291</v>
      </c>
      <c r="B292" s="51" t="str">
        <f>IFERROR(HYPERLINK(VLOOKUP(A292,ÜRÜNLER!A:C,3,FALSE),VLOOKUP(A292,ÜRÜNLER!A:B,2,FALSE)),"")</f>
        <v>iQ300 Gazlı Ocak, 60cm, Sert Cam, Beyaz, Döküm</v>
      </c>
      <c r="C292" s="8">
        <v>3</v>
      </c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34">
        <f t="shared" si="10"/>
        <v>3</v>
      </c>
      <c r="O292" s="135">
        <v>1</v>
      </c>
      <c r="P292" s="10"/>
      <c r="Q292" s="118"/>
      <c r="R292" s="52">
        <v>20185.337301466021</v>
      </c>
      <c r="S292" s="19">
        <v>20185.337301466021</v>
      </c>
      <c r="T292" s="12">
        <v>20992.750793524661</v>
      </c>
      <c r="U292" s="12">
        <v>21800.164285583302</v>
      </c>
      <c r="V292" s="13">
        <v>1456.2675340241587</v>
      </c>
      <c r="W292" s="13"/>
      <c r="X292" s="17"/>
    </row>
    <row r="293" spans="1:24">
      <c r="A293" s="148" t="s">
        <v>293</v>
      </c>
      <c r="B293" s="51" t="str">
        <f>IFERROR(HYPERLINK(VLOOKUP(A293,ÜRÜNLER!A:C,3,FALSE),VLOOKUP(A293,ÜRÜNLER!A:B,2,FALSE)),"")</f>
        <v>iQ100 Gazlı Ocak, 60cm, Sert Cam, Siyah, Wok</v>
      </c>
      <c r="C293" s="8"/>
      <c r="D293" s="8"/>
      <c r="E293" s="9"/>
      <c r="F293" s="9"/>
      <c r="G293" s="10"/>
      <c r="H293" s="10"/>
      <c r="I293" s="11"/>
      <c r="J293" s="11">
        <v>1</v>
      </c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1593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51" t="s">
        <v>294</v>
      </c>
      <c r="B294" s="51" t="str">
        <f>IFERROR(HYPERLINK(VLOOKUP(A294,ÜRÜNLER!A:C,3,FALSE),VLOOKUP(A294,ÜRÜNLER!A:B,2,FALSE)),"")</f>
        <v>iQ100 Gazlı Ocak, 60cm, Sert Cam, Titanyum Gri</v>
      </c>
      <c r="C294" s="8"/>
      <c r="D294" s="8"/>
      <c r="E294" s="9"/>
      <c r="F294" s="9"/>
      <c r="G294" s="10"/>
      <c r="H294" s="10"/>
      <c r="I294" s="11"/>
      <c r="J294" s="11">
        <v>1</v>
      </c>
      <c r="K294" s="10"/>
      <c r="L294" s="10"/>
      <c r="M294" s="11"/>
      <c r="N294" s="134">
        <f t="shared" si="10"/>
        <v>1</v>
      </c>
      <c r="O294" s="135"/>
      <c r="P294" s="10"/>
      <c r="Q294" s="118"/>
      <c r="R294" s="74" t="s">
        <v>1593</v>
      </c>
      <c r="S294" s="19">
        <v>20000</v>
      </c>
      <c r="T294" s="12">
        <v>20800</v>
      </c>
      <c r="U294" s="12">
        <v>21600</v>
      </c>
      <c r="V294" s="13"/>
      <c r="W294" s="13"/>
      <c r="X294" s="29">
        <v>500</v>
      </c>
    </row>
    <row r="295" spans="1:24">
      <c r="A295" s="151" t="s">
        <v>295</v>
      </c>
      <c r="B295" s="51" t="str">
        <f>IFERROR(HYPERLINK(VLOOKUP(A295,ÜRÜNLER!A:C,3,FALSE),VLOOKUP(A295,ÜRÜNLER!A:B,2,FALSE)),"")</f>
        <v>iQ100 Gazlı Ocak, 60cm, Sert Cam, Antrasit Gri</v>
      </c>
      <c r="C295" s="8">
        <v>18</v>
      </c>
      <c r="D295" s="8"/>
      <c r="E295" s="9"/>
      <c r="F295" s="9"/>
      <c r="G295" s="10"/>
      <c r="H295" s="10"/>
      <c r="I295" s="11">
        <v>1</v>
      </c>
      <c r="J295" s="11">
        <v>1</v>
      </c>
      <c r="K295" s="10">
        <v>2</v>
      </c>
      <c r="L295" s="10"/>
      <c r="M295" s="11"/>
      <c r="N295" s="134">
        <f t="shared" si="10"/>
        <v>22</v>
      </c>
      <c r="O295" s="135"/>
      <c r="P295" s="10"/>
      <c r="Q295" s="118"/>
      <c r="R295" s="185" t="s">
        <v>1593</v>
      </c>
      <c r="S295" s="18">
        <v>15000</v>
      </c>
      <c r="T295" s="12">
        <v>15600</v>
      </c>
      <c r="U295" s="12">
        <v>16200</v>
      </c>
      <c r="V295" s="13">
        <v>858.85956531878946</v>
      </c>
      <c r="W295" s="13"/>
      <c r="X295" s="81">
        <v>500</v>
      </c>
    </row>
    <row r="296" spans="1:24">
      <c r="A296" s="161" t="s">
        <v>296</v>
      </c>
      <c r="B296" s="51" t="str">
        <f>IFERROR(HYPERLINK(VLOOKUP(A296,ÜRÜNLER!A:C,3,FALSE),VLOOKUP(A296,ÜRÜNLER!A:B,2,FALSE)),"")</f>
        <v>iQ300 Gazlı Ocak, 60cm, Sert Cam, Beyaz</v>
      </c>
      <c r="C296" s="8">
        <v>8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>
        <v>1</v>
      </c>
      <c r="N296" s="134">
        <f t="shared" si="10"/>
        <v>9</v>
      </c>
      <c r="O296" s="135"/>
      <c r="P296" s="10"/>
      <c r="Q296" s="118"/>
      <c r="R296" s="74" t="s">
        <v>1593</v>
      </c>
      <c r="S296" s="19">
        <v>12000</v>
      </c>
      <c r="T296" s="12">
        <v>12480</v>
      </c>
      <c r="U296" s="12">
        <v>12960</v>
      </c>
      <c r="V296" s="13"/>
      <c r="W296" s="13"/>
      <c r="X296" s="17"/>
    </row>
    <row r="297" spans="1:24">
      <c r="A297" s="142" t="s">
        <v>297</v>
      </c>
      <c r="B297" s="51" t="str">
        <f>IFERROR(HYPERLINK(VLOOKUP(A297,ÜRÜNLER!A:C,3,FALSE),VLOOKUP(A297,ÜRÜNLER!A:B,2,FALSE)),"")</f>
        <v>iQ300 Gazlı Ocak, 60cm, Sert Cam, Beyaz</v>
      </c>
      <c r="C297" s="8"/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134">
        <f t="shared" si="10"/>
        <v>0</v>
      </c>
      <c r="O297" s="135">
        <v>16</v>
      </c>
      <c r="P297" s="10"/>
      <c r="Q297" s="118"/>
      <c r="R297" s="52">
        <v>12248.765981066908</v>
      </c>
      <c r="S297" s="25">
        <v>12248.765981066908</v>
      </c>
      <c r="T297" s="12">
        <v>12738.716620309584</v>
      </c>
      <c r="U297" s="12">
        <v>13228.667259552261</v>
      </c>
      <c r="V297" s="13"/>
      <c r="W297" s="13"/>
      <c r="X297" s="17"/>
    </row>
    <row r="298" spans="1:24">
      <c r="A298" s="162" t="s">
        <v>298</v>
      </c>
      <c r="B298" s="51" t="str">
        <f>IFERROR(HYPERLINK(VLOOKUP(A298,ÜRÜNLER!A:C,3,FALSE),VLOOKUP(A298,ÜRÜNLER!A:B,2,FALSE)),"")</f>
        <v>iQ300 Gazlı Ocak, 60cm, Sert Cam, Siyah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134">
        <f t="shared" si="10"/>
        <v>1</v>
      </c>
      <c r="O298" s="135"/>
      <c r="P298" s="10"/>
      <c r="Q298" s="118"/>
      <c r="R298" s="74" t="s">
        <v>1593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2" t="s">
        <v>299</v>
      </c>
      <c r="B299" s="51" t="str">
        <f>IFERROR(HYPERLINK(VLOOKUP(A299,ÜRÜNLER!A:C,3,FALSE),VLOOKUP(A299,ÜRÜNLER!A:B,2,FALSE)),"")</f>
        <v>iQ100 Gazlı Ocak, 60cm, Sert Cam, Siyah, Döküm</v>
      </c>
      <c r="C299" s="8"/>
      <c r="D299" s="8"/>
      <c r="E299" s="9"/>
      <c r="F299" s="9"/>
      <c r="G299" s="10"/>
      <c r="H299" s="10"/>
      <c r="I299" s="11">
        <v>1</v>
      </c>
      <c r="J299" s="11"/>
      <c r="K299" s="10">
        <v>1</v>
      </c>
      <c r="L299" s="10"/>
      <c r="M299" s="11"/>
      <c r="N299" s="134">
        <f t="shared" si="10"/>
        <v>2</v>
      </c>
      <c r="O299" s="135"/>
      <c r="P299" s="10"/>
      <c r="Q299" s="118"/>
      <c r="R299" s="74" t="s">
        <v>1593</v>
      </c>
      <c r="S299" s="19">
        <v>10000</v>
      </c>
      <c r="T299" s="12">
        <v>10400</v>
      </c>
      <c r="U299" s="12">
        <v>10800</v>
      </c>
      <c r="V299" s="13"/>
      <c r="W299" s="13"/>
      <c r="X299" s="17">
        <v>250</v>
      </c>
    </row>
    <row r="300" spans="1:24">
      <c r="A300" s="142" t="s">
        <v>300</v>
      </c>
      <c r="B300" s="51" t="str">
        <f>IFERROR(HYPERLINK(VLOOKUP(A300,ÜRÜNLER!A:C,3,FALSE),VLOOKUP(A300,ÜRÜNLER!A:B,2,FALSE)),"")</f>
        <v>iQ100 Gazlı Ocak, 60cm, Sert Cam, Siyah, Döküm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0"/>
      <c r="M300" s="11"/>
      <c r="N300" s="134">
        <f t="shared" si="10"/>
        <v>1</v>
      </c>
      <c r="O300" s="135"/>
      <c r="P300" s="10"/>
      <c r="Q300" s="118"/>
      <c r="R300" s="74" t="s">
        <v>1593</v>
      </c>
      <c r="S300" s="19">
        <v>10000</v>
      </c>
      <c r="T300" s="12">
        <v>10400</v>
      </c>
      <c r="U300" s="12">
        <v>10800</v>
      </c>
      <c r="V300" s="13"/>
      <c r="W300" s="13"/>
      <c r="X300" s="17">
        <v>250</v>
      </c>
    </row>
    <row r="301" spans="1:24">
      <c r="A301" s="148" t="s">
        <v>301</v>
      </c>
      <c r="B301" s="51" t="str">
        <f>IFERROR(HYPERLINK(VLOOKUP(A301,ÜRÜNLER!A:C,3,FALSE),VLOOKUP(A301,ÜRÜNLER!A:B,2,FALSE)),"")</f>
        <v>iQ300 Gazlı Ocak, 60cm, Sert Cam, Siyah</v>
      </c>
      <c r="C301" s="8">
        <v>34</v>
      </c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>
        <v>1</v>
      </c>
      <c r="N301" s="134">
        <f t="shared" si="10"/>
        <v>36</v>
      </c>
      <c r="O301" s="135"/>
      <c r="P301" s="10"/>
      <c r="Q301" s="118"/>
      <c r="R301" s="52">
        <v>12248.765981066908</v>
      </c>
      <c r="S301" s="182">
        <v>12003.79066144557</v>
      </c>
      <c r="T301" s="12">
        <v>12483.942287903392</v>
      </c>
      <c r="U301" s="12">
        <v>12964.093914361216</v>
      </c>
      <c r="V301" s="13"/>
      <c r="W301" s="13"/>
      <c r="X301" s="17"/>
    </row>
    <row r="302" spans="1:24">
      <c r="A302" s="151" t="s">
        <v>302</v>
      </c>
      <c r="B302" s="51" t="str">
        <f>IFERROR(HYPERLINK(VLOOKUP(A302,ÜRÜNLER!A:C,3,FALSE),VLOOKUP(A302,ÜRÜNLER!A:B,2,FALSE)),"")</f>
        <v>iQ100 Gazlı Ocak, 60cm, Sert Cam, Titanyum Gri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1593</v>
      </c>
      <c r="S302" s="19">
        <v>12000</v>
      </c>
      <c r="T302" s="12">
        <v>12480</v>
      </c>
      <c r="U302" s="12">
        <v>12960</v>
      </c>
      <c r="V302" s="13"/>
      <c r="W302" s="13"/>
      <c r="X302" s="17">
        <v>250</v>
      </c>
    </row>
    <row r="303" spans="1:24">
      <c r="A303" s="151" t="s">
        <v>303</v>
      </c>
      <c r="B303" s="51" t="str">
        <f>IFERROR(HYPERLINK(VLOOKUP(A303,ÜRÜNLER!A:C,3,FALSE),VLOOKUP(A303,ÜRÜNLER!A:B,2,FALSE)),"")</f>
        <v>iQ100 Gazlı Ocak, 60cm, Sert Cam, Titanyum Gri, Döküm</v>
      </c>
      <c r="C303" s="8">
        <v>5</v>
      </c>
      <c r="D303" s="8"/>
      <c r="E303" s="9"/>
      <c r="F303" s="9"/>
      <c r="G303" s="10"/>
      <c r="H303" s="10"/>
      <c r="I303" s="11"/>
      <c r="J303" s="11"/>
      <c r="K303" s="10"/>
      <c r="L303" s="10"/>
      <c r="M303" s="11"/>
      <c r="N303" s="134">
        <f t="shared" si="10"/>
        <v>5</v>
      </c>
      <c r="O303" s="135"/>
      <c r="P303" s="10"/>
      <c r="Q303" s="118"/>
      <c r="R303" s="74" t="s">
        <v>1593</v>
      </c>
      <c r="S303" s="19">
        <v>17999</v>
      </c>
      <c r="T303" s="12">
        <v>18718.96</v>
      </c>
      <c r="U303" s="12">
        <v>19438.919999999998</v>
      </c>
      <c r="V303" s="13"/>
      <c r="W303" s="13"/>
      <c r="X303" s="17">
        <v>250</v>
      </c>
    </row>
    <row r="304" spans="1:24">
      <c r="A304" s="151" t="s">
        <v>304</v>
      </c>
      <c r="B304" s="51" t="str">
        <f>IFERROR(HYPERLINK(VLOOKUP(A304,ÜRÜNLER!A:C,3,FALSE),VLOOKUP(A304,ÜRÜNLER!A:B,2,FALSE)),"")</f>
        <v>iQ300 Gazlı Ocak, 60cm, Sert Cam, Antrasit</v>
      </c>
      <c r="C304" s="8">
        <v>18</v>
      </c>
      <c r="D304" s="8"/>
      <c r="E304" s="9"/>
      <c r="F304" s="9"/>
      <c r="G304" s="10"/>
      <c r="H304" s="10"/>
      <c r="I304" s="11">
        <v>1</v>
      </c>
      <c r="J304" s="11">
        <v>2</v>
      </c>
      <c r="K304" s="10"/>
      <c r="L304" s="10"/>
      <c r="M304" s="11"/>
      <c r="N304" s="134">
        <f t="shared" si="10"/>
        <v>21</v>
      </c>
      <c r="O304" s="135">
        <v>11</v>
      </c>
      <c r="P304" s="10"/>
      <c r="Q304" s="118"/>
      <c r="R304" s="52">
        <v>12248.765981066908</v>
      </c>
      <c r="S304" s="182">
        <v>12003.79066144557</v>
      </c>
      <c r="T304" s="12">
        <v>12483.942287903392</v>
      </c>
      <c r="U304" s="12">
        <v>12964.093914361216</v>
      </c>
      <c r="V304" s="13"/>
      <c r="W304" s="13"/>
      <c r="X304" s="17"/>
    </row>
    <row r="305" spans="1:24">
      <c r="A305" s="151" t="s">
        <v>305</v>
      </c>
      <c r="B305" s="51" t="str">
        <f>IFERROR(HYPERLINK(VLOOKUP(A305,ÜRÜNLER!A:C,3,FALSE),VLOOKUP(A305,ÜRÜNLER!A:B,2,FALSE)),"")</f>
        <v>iQ300 Gazlı Ocak, 60cm, Sert Cam, Antrasit Gri</v>
      </c>
      <c r="C305" s="8">
        <v>18</v>
      </c>
      <c r="D305" s="8"/>
      <c r="E305" s="9"/>
      <c r="F305" s="9">
        <v>1</v>
      </c>
      <c r="G305" s="10"/>
      <c r="H305" s="10"/>
      <c r="I305" s="11">
        <v>1</v>
      </c>
      <c r="J305" s="11"/>
      <c r="K305" s="10"/>
      <c r="L305" s="10"/>
      <c r="M305" s="11">
        <v>1</v>
      </c>
      <c r="N305" s="134">
        <f t="shared" si="10"/>
        <v>21</v>
      </c>
      <c r="O305" s="135"/>
      <c r="P305" s="10"/>
      <c r="Q305" s="118"/>
      <c r="R305" s="185" t="s">
        <v>1593</v>
      </c>
      <c r="S305" s="18">
        <v>12000</v>
      </c>
      <c r="T305" s="12">
        <v>12480</v>
      </c>
      <c r="U305" s="12">
        <v>12960</v>
      </c>
      <c r="V305" s="13"/>
      <c r="W305" s="13"/>
      <c r="X305" s="81">
        <v>500</v>
      </c>
    </row>
    <row r="306" spans="1:24">
      <c r="A306" s="21" t="s">
        <v>306</v>
      </c>
      <c r="B306" s="51" t="str">
        <f>IFERROR(HYPERLINK(VLOOKUP(A306,ÜRÜNLER!A:C,3,FALSE),VLOOKUP(A306,ÜRÜNLER!A:B,2,FALSE)),"")</f>
        <v>iQ300 Gazlı Ocak, 67cm, Sert Cam, Beyaz, Wok</v>
      </c>
      <c r="C306" s="8">
        <v>7</v>
      </c>
      <c r="D306" s="8"/>
      <c r="E306" s="9"/>
      <c r="F306" s="9"/>
      <c r="G306" s="10"/>
      <c r="H306" s="10"/>
      <c r="I306" s="11">
        <v>1</v>
      </c>
      <c r="J306" s="11">
        <v>1</v>
      </c>
      <c r="K306" s="10"/>
      <c r="L306" s="10"/>
      <c r="M306" s="11"/>
      <c r="N306" s="134">
        <f t="shared" si="10"/>
        <v>9</v>
      </c>
      <c r="O306" s="135">
        <v>11</v>
      </c>
      <c r="P306" s="10"/>
      <c r="Q306" s="118"/>
      <c r="R306" s="52">
        <v>17126.883614565326</v>
      </c>
      <c r="S306" s="182">
        <v>16784.34594227402</v>
      </c>
      <c r="T306" s="12">
        <v>17455.71977996498</v>
      </c>
      <c r="U306" s="12">
        <v>18127.093617655941</v>
      </c>
      <c r="V306" s="13"/>
      <c r="W306" s="13"/>
      <c r="X306" s="17"/>
    </row>
    <row r="307" spans="1:24">
      <c r="A307" s="21" t="s">
        <v>307</v>
      </c>
      <c r="B307" s="51" t="str">
        <f>IFERROR(HYPERLINK(VLOOKUP(A307,ÜRÜNLER!A:C,3,FALSE),VLOOKUP(A307,ÜRÜNLER!A:B,2,FALSE)),"")</f>
        <v>iQ300 Gazlı Ocak, 67cm, Sert Cam, Beyaz</v>
      </c>
      <c r="C307" s="8">
        <v>1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34">
        <f t="shared" si="10"/>
        <v>1</v>
      </c>
      <c r="O307" s="135">
        <v>16</v>
      </c>
      <c r="P307" s="10"/>
      <c r="Q307" s="118"/>
      <c r="R307" s="52">
        <v>13694.176187536226</v>
      </c>
      <c r="S307" s="182">
        <v>13420.292663785502</v>
      </c>
      <c r="T307" s="12">
        <v>13957.104370336921</v>
      </c>
      <c r="U307" s="12">
        <v>14493.916076888341</v>
      </c>
      <c r="V307" s="13"/>
      <c r="W307" s="13"/>
      <c r="X307" s="17"/>
    </row>
    <row r="308" spans="1:24">
      <c r="A308" s="21" t="s">
        <v>308</v>
      </c>
      <c r="B308" s="51" t="str">
        <f>IFERROR(HYPERLINK(VLOOKUP(A308,ÜRÜNLER!A:C,3,FALSE),VLOOKUP(A308,ÜRÜNLER!A:B,2,FALSE)),"")</f>
        <v>iQ100 Gazlı Ocak, 67cm, Sert Cam, Beyaz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0"/>
      <c r="M308" s="11"/>
      <c r="N308" s="134">
        <f t="shared" si="10"/>
        <v>1</v>
      </c>
      <c r="O308" s="135"/>
      <c r="P308" s="10"/>
      <c r="Q308" s="118"/>
      <c r="R308" s="74" t="s">
        <v>1593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163" t="s">
        <v>309</v>
      </c>
      <c r="B309" s="51" t="str">
        <f>IFERROR(HYPERLINK(VLOOKUP(A309,ÜRÜNLER!A:C,3,FALSE),VLOOKUP(A309,ÜRÜNLER!A:B,2,FALSE)),"")</f>
        <v>iQ300 Gazlı Ocak, 67cm, Sert Cam, Beyaz</v>
      </c>
      <c r="C309" s="8"/>
      <c r="D309" s="8"/>
      <c r="E309" s="9"/>
      <c r="F309" s="9"/>
      <c r="G309" s="10">
        <v>1</v>
      </c>
      <c r="H309" s="10"/>
      <c r="I309" s="11">
        <v>1</v>
      </c>
      <c r="J309" s="11"/>
      <c r="K309" s="10">
        <v>5</v>
      </c>
      <c r="L309" s="10"/>
      <c r="M309" s="11"/>
      <c r="N309" s="134">
        <f t="shared" si="10"/>
        <v>7</v>
      </c>
      <c r="O309" s="135"/>
      <c r="P309" s="10"/>
      <c r="Q309" s="118"/>
      <c r="R309" s="74" t="s">
        <v>1593</v>
      </c>
      <c r="S309" s="19">
        <v>16000</v>
      </c>
      <c r="T309" s="12">
        <v>16640</v>
      </c>
      <c r="U309" s="12">
        <v>17280</v>
      </c>
      <c r="V309" s="13"/>
      <c r="W309" s="13"/>
      <c r="X309" s="29">
        <v>500</v>
      </c>
    </row>
    <row r="310" spans="1:24">
      <c r="A310" s="21" t="s">
        <v>310</v>
      </c>
      <c r="B310" s="51" t="str">
        <f>IFERROR(HYPERLINK(VLOOKUP(A310,ÜRÜNLER!A:C,3,FALSE),VLOOKUP(A310,ÜRÜNLER!A:B,2,FALSE)),"")</f>
        <v>iQ300 Gazlı Ocak, 67cm, Sert Cam, Siyah, Wok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1593</v>
      </c>
      <c r="S310" s="19">
        <v>15000</v>
      </c>
      <c r="T310" s="12">
        <v>15600</v>
      </c>
      <c r="U310" s="12">
        <v>16200</v>
      </c>
      <c r="V310" s="13"/>
      <c r="W310" s="13"/>
      <c r="X310" s="29">
        <v>500</v>
      </c>
    </row>
    <row r="311" spans="1:24">
      <c r="A311" s="21" t="s">
        <v>311</v>
      </c>
      <c r="B311" s="51" t="str">
        <f>IFERROR(HYPERLINK(VLOOKUP(A311,ÜRÜNLER!A:C,3,FALSE),VLOOKUP(A311,ÜRÜNLER!A:B,2,FALSE)),"")</f>
        <v>iQ300 Gazlı Ocak, 67cm, Sert Cam, Siyah, Wok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0"/>
      <c r="M311" s="11"/>
      <c r="N311" s="134">
        <f t="shared" si="10"/>
        <v>3</v>
      </c>
      <c r="O311" s="135">
        <v>11</v>
      </c>
      <c r="P311" s="10"/>
      <c r="Q311" s="118"/>
      <c r="R311" s="52">
        <v>17126.883614565326</v>
      </c>
      <c r="S311" s="182">
        <v>16784.34594227402</v>
      </c>
      <c r="T311" s="12">
        <v>17455.71977996498</v>
      </c>
      <c r="U311" s="12">
        <v>18127.093617655941</v>
      </c>
      <c r="V311" s="13"/>
      <c r="W311" s="13"/>
      <c r="X311" s="17"/>
    </row>
    <row r="312" spans="1:24">
      <c r="A312" s="21" t="s">
        <v>312</v>
      </c>
      <c r="B312" s="51" t="str">
        <f>IFERROR(HYPERLINK(VLOOKUP(A312,ÜRÜNLER!A:C,3,FALSE),VLOOKUP(A312,ÜRÜNLER!A:B,2,FALSE)),"")</f>
        <v>iQ300 Gazlı Ocak, 67cm, Sert Cam, Siyah</v>
      </c>
      <c r="C312" s="8"/>
      <c r="D312" s="8"/>
      <c r="E312" s="9"/>
      <c r="F312" s="9"/>
      <c r="G312" s="10"/>
      <c r="H312" s="10"/>
      <c r="I312" s="11"/>
      <c r="J312" s="11">
        <v>2</v>
      </c>
      <c r="K312" s="10">
        <v>3</v>
      </c>
      <c r="L312" s="10"/>
      <c r="M312" s="11"/>
      <c r="N312" s="134">
        <f t="shared" si="10"/>
        <v>5</v>
      </c>
      <c r="O312" s="135"/>
      <c r="P312" s="10"/>
      <c r="Q312" s="118"/>
      <c r="R312" s="74" t="s">
        <v>1593</v>
      </c>
      <c r="S312" s="19">
        <v>14000</v>
      </c>
      <c r="T312" s="12">
        <v>14560</v>
      </c>
      <c r="U312" s="12">
        <v>15120</v>
      </c>
      <c r="V312" s="13"/>
      <c r="W312" s="13"/>
      <c r="X312" s="29">
        <v>500</v>
      </c>
    </row>
    <row r="313" spans="1:24">
      <c r="A313" s="21" t="s">
        <v>313</v>
      </c>
      <c r="B313" s="51" t="str">
        <f>IFERROR(HYPERLINK(VLOOKUP(A313,ÜRÜNLER!A:C,3,FALSE),VLOOKUP(A313,ÜRÜNLER!A:B,2,FALSE)),"")</f>
        <v>iQ300 Gazlı Ocak, 67cm, Sert Cam, Siyah</v>
      </c>
      <c r="C313" s="8">
        <v>21</v>
      </c>
      <c r="D313" s="8"/>
      <c r="E313" s="9"/>
      <c r="F313" s="9"/>
      <c r="G313" s="10"/>
      <c r="H313" s="10"/>
      <c r="I313" s="11">
        <v>1</v>
      </c>
      <c r="J313" s="11"/>
      <c r="K313" s="10">
        <v>1</v>
      </c>
      <c r="L313" s="10"/>
      <c r="M313" s="11">
        <v>1</v>
      </c>
      <c r="N313" s="134">
        <f t="shared" si="10"/>
        <v>24</v>
      </c>
      <c r="O313" s="135"/>
      <c r="P313" s="10"/>
      <c r="Q313" s="118"/>
      <c r="R313" s="52">
        <v>13694.176187536226</v>
      </c>
      <c r="S313" s="182">
        <v>13420.292663785502</v>
      </c>
      <c r="T313" s="12">
        <v>13957.104370336921</v>
      </c>
      <c r="U313" s="12">
        <v>14493.916076888341</v>
      </c>
      <c r="V313" s="13"/>
      <c r="W313" s="13"/>
      <c r="X313" s="17"/>
    </row>
    <row r="314" spans="1:24">
      <c r="A314" s="151" t="s">
        <v>314</v>
      </c>
      <c r="B314" s="51" t="str">
        <f>IFERROR(HYPERLINK(VLOOKUP(A314,ÜRÜNLER!A:C,3,FALSE),VLOOKUP(A314,ÜRÜNLER!A:B,2,FALSE)),"")</f>
        <v>iQ300 Gazlı Ocak, 67cm, Sert Cam, Antrasit Gri, Wok</v>
      </c>
      <c r="C314" s="8">
        <v>8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4">
        <f t="shared" si="10"/>
        <v>8</v>
      </c>
      <c r="O314" s="135">
        <v>11</v>
      </c>
      <c r="P314" s="10"/>
      <c r="Q314" s="118"/>
      <c r="R314" s="52">
        <v>17126.883614565326</v>
      </c>
      <c r="S314" s="182">
        <v>16784.34594227402</v>
      </c>
      <c r="T314" s="12">
        <v>17455.71977996498</v>
      </c>
      <c r="U314" s="12">
        <v>18127.093617655941</v>
      </c>
      <c r="V314" s="13"/>
      <c r="W314" s="13"/>
      <c r="X314" s="17"/>
    </row>
    <row r="315" spans="1:24">
      <c r="A315" s="151" t="s">
        <v>315</v>
      </c>
      <c r="B315" s="51" t="str">
        <f>IFERROR(HYPERLINK(VLOOKUP(A315,ÜRÜNLER!A:C,3,FALSE),VLOOKUP(A315,ÜRÜNLER!A:B,2,FALSE)),"")</f>
        <v>iQ100 Gazlı Ocak, 67cm, Sert Cam, Titanyum Gri</v>
      </c>
      <c r="C315" s="8">
        <v>13</v>
      </c>
      <c r="D315" s="8"/>
      <c r="E315" s="9"/>
      <c r="F315" s="9"/>
      <c r="G315" s="10"/>
      <c r="H315" s="10"/>
      <c r="I315" s="11"/>
      <c r="J315" s="11"/>
      <c r="K315" s="10">
        <v>2</v>
      </c>
      <c r="L315" s="10"/>
      <c r="M315" s="11"/>
      <c r="N315" s="134">
        <f t="shared" si="10"/>
        <v>15</v>
      </c>
      <c r="O315" s="135"/>
      <c r="P315" s="10"/>
      <c r="Q315" s="118"/>
      <c r="R315" s="74" t="s">
        <v>1593</v>
      </c>
      <c r="S315" s="19">
        <v>12500</v>
      </c>
      <c r="T315" s="12">
        <v>13000</v>
      </c>
      <c r="U315" s="12">
        <v>13500</v>
      </c>
      <c r="V315" s="13">
        <v>432.04407879822247</v>
      </c>
      <c r="W315" s="13"/>
      <c r="X315" s="29">
        <v>500</v>
      </c>
    </row>
    <row r="316" spans="1:24">
      <c r="A316" s="151" t="s">
        <v>316</v>
      </c>
      <c r="B316" s="51" t="str">
        <f>IFERROR(HYPERLINK(VLOOKUP(A316,ÜRÜNLER!A:C,3,FALSE),VLOOKUP(A316,ÜRÜNLER!A:B,2,FALSE)),"")</f>
        <v>iQ300 Gazlı Ocak, 67cm, Sert Cam, Antrasit Gri</v>
      </c>
      <c r="C316" s="8">
        <v>15</v>
      </c>
      <c r="D316" s="8"/>
      <c r="E316" s="9"/>
      <c r="F316" s="9"/>
      <c r="G316" s="10"/>
      <c r="H316" s="10"/>
      <c r="I316" s="11">
        <v>3</v>
      </c>
      <c r="J316" s="11"/>
      <c r="K316" s="10"/>
      <c r="L316" s="10"/>
      <c r="M316" s="11"/>
      <c r="N316" s="134">
        <f t="shared" si="10"/>
        <v>18</v>
      </c>
      <c r="O316" s="135">
        <v>11</v>
      </c>
      <c r="P316" s="10"/>
      <c r="Q316" s="118"/>
      <c r="R316" s="52">
        <v>13694.176187536226</v>
      </c>
      <c r="S316" s="182">
        <v>13420.292663785502</v>
      </c>
      <c r="T316" s="12">
        <v>13957.104370336921</v>
      </c>
      <c r="U316" s="12">
        <v>14493.916076888341</v>
      </c>
      <c r="V316" s="13"/>
      <c r="W316" s="13"/>
      <c r="X316" s="17"/>
    </row>
    <row r="317" spans="1:24">
      <c r="A317" s="151" t="s">
        <v>317</v>
      </c>
      <c r="B317" s="51" t="str">
        <f>IFERROR(HYPERLINK(VLOOKUP(A317,ÜRÜNLER!A:C,3,FALSE),VLOOKUP(A317,ÜRÜNLER!A:B,2,FALSE)),"")</f>
        <v>iQ300 Gazlı Ocak, 67cm, Sert Cam, Dark Silver</v>
      </c>
      <c r="C317" s="8">
        <v>1</v>
      </c>
      <c r="D317" s="8"/>
      <c r="E317" s="9"/>
      <c r="F317" s="9"/>
      <c r="G317" s="10"/>
      <c r="H317" s="10"/>
      <c r="I317" s="11"/>
      <c r="J317" s="11"/>
      <c r="K317" s="10">
        <v>1</v>
      </c>
      <c r="L317" s="10"/>
      <c r="M317" s="11">
        <v>1</v>
      </c>
      <c r="N317" s="134">
        <f t="shared" si="10"/>
        <v>3</v>
      </c>
      <c r="O317" s="135"/>
      <c r="P317" s="10"/>
      <c r="Q317" s="118"/>
      <c r="R317" s="74" t="s">
        <v>1593</v>
      </c>
      <c r="S317" s="19">
        <v>15000</v>
      </c>
      <c r="T317" s="12">
        <v>15600</v>
      </c>
      <c r="U317" s="12">
        <v>16200</v>
      </c>
      <c r="V317" s="13"/>
      <c r="W317" s="13"/>
      <c r="X317" s="17"/>
    </row>
    <row r="318" spans="1:24">
      <c r="A318" s="149" t="s">
        <v>318</v>
      </c>
      <c r="B318" s="51" t="str">
        <f>IFERROR(HYPERLINK(VLOOKUP(A318,ÜRÜNLER!A:C,3,FALSE),VLOOKUP(A318,ÜRÜNLER!A:B,2,FALSE)),"")</f>
        <v>iQ500 Gazlı Ocak, 60cm, Sert Cam, Siyah, Döküm, Wok</v>
      </c>
      <c r="C318" s="8">
        <v>2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34">
        <f t="shared" si="10"/>
        <v>2</v>
      </c>
      <c r="O318" s="135">
        <v>1</v>
      </c>
      <c r="P318" s="10"/>
      <c r="Q318" s="118"/>
      <c r="R318" s="52">
        <v>34898.328300365363</v>
      </c>
      <c r="S318" s="182">
        <v>34200.361734358055</v>
      </c>
      <c r="T318" s="12">
        <v>35568.376203732376</v>
      </c>
      <c r="U318" s="12">
        <v>36936.390673106696</v>
      </c>
      <c r="V318" s="13"/>
      <c r="W318" s="13"/>
      <c r="X318" s="29"/>
    </row>
    <row r="319" spans="1:24">
      <c r="A319" s="149" t="s">
        <v>319</v>
      </c>
      <c r="B319" s="51" t="str">
        <f>IFERROR(HYPERLINK(VLOOKUP(A319,ÜRÜNLER!A:C,3,FALSE),VLOOKUP(A319,ÜRÜNLER!A:B,2,FALSE)),"")</f>
        <v>iQ500 Gazlı Ocak, 60cm, Sert Cam, Siyah, Döküm</v>
      </c>
      <c r="C319" s="8">
        <v>2</v>
      </c>
      <c r="D319" s="8"/>
      <c r="E319" s="9"/>
      <c r="F319" s="9"/>
      <c r="G319" s="10"/>
      <c r="H319" s="10"/>
      <c r="I319" s="11"/>
      <c r="J319" s="11"/>
      <c r="K319" s="10"/>
      <c r="L319" s="10"/>
      <c r="M319" s="11">
        <v>1</v>
      </c>
      <c r="N319" s="134">
        <f t="shared" si="10"/>
        <v>3</v>
      </c>
      <c r="O319" s="135">
        <v>1</v>
      </c>
      <c r="P319" s="10"/>
      <c r="Q319" s="118"/>
      <c r="R319" s="52">
        <v>33306.545427542689</v>
      </c>
      <c r="S319" s="182">
        <v>32640.414518991834</v>
      </c>
      <c r="T319" s="12">
        <v>33946.031099751504</v>
      </c>
      <c r="U319" s="12">
        <v>35251.647680511182</v>
      </c>
      <c r="V319" s="13"/>
      <c r="W319" s="13"/>
      <c r="X319" s="29"/>
    </row>
    <row r="320" spans="1:24">
      <c r="A320" s="142" t="s">
        <v>320</v>
      </c>
      <c r="B320" s="51" t="str">
        <f>IFERROR(HYPERLINK(VLOOKUP(A320,ÜRÜNLER!A:C,3,FALSE),VLOOKUP(A320,ÜRÜNLER!A:B,2,FALSE)),"")</f>
        <v>iQ500 Gazlı Ocak, 60cm, Sert Cam, Beyaz, Döküm</v>
      </c>
      <c r="C320" s="8">
        <v>3</v>
      </c>
      <c r="D320" s="8"/>
      <c r="E320" s="9"/>
      <c r="F320" s="9"/>
      <c r="G320" s="10"/>
      <c r="H320" s="10"/>
      <c r="I320" s="11"/>
      <c r="J320" s="11">
        <v>1</v>
      </c>
      <c r="K320" s="10">
        <v>2</v>
      </c>
      <c r="L320" s="10"/>
      <c r="M320" s="11"/>
      <c r="N320" s="134">
        <f t="shared" si="10"/>
        <v>6</v>
      </c>
      <c r="O320" s="135"/>
      <c r="P320" s="10"/>
      <c r="Q320" s="118"/>
      <c r="R320" s="74" t="s">
        <v>1593</v>
      </c>
      <c r="S320" s="19">
        <v>35000</v>
      </c>
      <c r="T320" s="12">
        <v>36400</v>
      </c>
      <c r="U320" s="12">
        <v>37800</v>
      </c>
      <c r="V320" s="13"/>
      <c r="W320" s="13"/>
      <c r="X320" s="29">
        <v>500</v>
      </c>
    </row>
    <row r="321" spans="1:24">
      <c r="A321" s="142" t="s">
        <v>321</v>
      </c>
      <c r="B321" s="51" t="str">
        <f>IFERROR(HYPERLINK(VLOOKUP(A321,ÜRÜNLER!A:C,3,FALSE),VLOOKUP(A321,ÜRÜNLER!A:B,2,FALSE)),"")</f>
        <v>iQ500 Gazlı Ocak, 60cm, Sert Cam, Siyah, Döküm, Wok</v>
      </c>
      <c r="C321" s="8"/>
      <c r="D321" s="8"/>
      <c r="E321" s="9"/>
      <c r="F321" s="9">
        <v>2</v>
      </c>
      <c r="G321" s="10"/>
      <c r="H321" s="10"/>
      <c r="I321" s="11"/>
      <c r="J321" s="11"/>
      <c r="K321" s="10">
        <v>2</v>
      </c>
      <c r="L321" s="10"/>
      <c r="M321" s="11"/>
      <c r="N321" s="134">
        <f t="shared" si="10"/>
        <v>4</v>
      </c>
      <c r="O321" s="135"/>
      <c r="P321" s="10"/>
      <c r="Q321" s="118"/>
      <c r="R321" s="74" t="s">
        <v>1593</v>
      </c>
      <c r="S321" s="19">
        <v>30000</v>
      </c>
      <c r="T321" s="12">
        <v>31200</v>
      </c>
      <c r="U321" s="12">
        <v>32400</v>
      </c>
      <c r="V321" s="13"/>
      <c r="W321" s="13"/>
      <c r="X321" s="29">
        <v>500</v>
      </c>
    </row>
    <row r="322" spans="1:24">
      <c r="A322" s="142" t="s">
        <v>322</v>
      </c>
      <c r="B322" s="51" t="str">
        <f>IFERROR(HYPERLINK(VLOOKUP(A322,ÜRÜNLER!A:C,3,FALSE),VLOOKUP(A322,ÜRÜNLER!A:B,2,FALSE)),"")</f>
        <v>iQ500 Gazlı Ocak, 60cm, Sert Cam, Siyah, Döküm</v>
      </c>
      <c r="C322" s="8">
        <v>1</v>
      </c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/>
      <c r="N322" s="134">
        <f t="shared" si="10"/>
        <v>2</v>
      </c>
      <c r="O322" s="135"/>
      <c r="P322" s="10"/>
      <c r="Q322" s="118"/>
      <c r="R322" s="74" t="s">
        <v>1593</v>
      </c>
      <c r="S322" s="19">
        <v>30000</v>
      </c>
      <c r="T322" s="12">
        <v>31200</v>
      </c>
      <c r="U322" s="12">
        <v>32400</v>
      </c>
      <c r="V322" s="13"/>
      <c r="W322" s="13"/>
      <c r="X322" s="29">
        <v>500</v>
      </c>
    </row>
    <row r="323" spans="1:24">
      <c r="A323" s="151" t="s">
        <v>324</v>
      </c>
      <c r="B323" s="51" t="str">
        <f>IFERROR(HYPERLINK(VLOOKUP(A323,ÜRÜNLER!A:C,3,FALSE),VLOOKUP(A323,ÜRÜNLER!A:B,2,FALSE)),"")</f>
        <v>iQ500 Gazlı Ocak, 60cm, Sert Cam, Titanyum Gri, Döküm, Wok</v>
      </c>
      <c r="C323" s="8"/>
      <c r="D323" s="8"/>
      <c r="E323" s="9"/>
      <c r="F323" s="9"/>
      <c r="G323" s="10"/>
      <c r="H323" s="10"/>
      <c r="I323" s="11">
        <v>1</v>
      </c>
      <c r="J323" s="11"/>
      <c r="K323" s="10">
        <v>1</v>
      </c>
      <c r="L323" s="10"/>
      <c r="M323" s="11"/>
      <c r="N323" s="134">
        <f t="shared" si="10"/>
        <v>2</v>
      </c>
      <c r="O323" s="135"/>
      <c r="P323" s="10"/>
      <c r="Q323" s="118"/>
      <c r="R323" s="74" t="s">
        <v>1593</v>
      </c>
      <c r="S323" s="19">
        <v>21000</v>
      </c>
      <c r="T323" s="12">
        <v>21840</v>
      </c>
      <c r="U323" s="12">
        <v>22680</v>
      </c>
      <c r="V323" s="13"/>
      <c r="W323" s="13"/>
      <c r="X323" s="29">
        <v>500</v>
      </c>
    </row>
    <row r="324" spans="1:24">
      <c r="A324" s="151" t="s">
        <v>1366</v>
      </c>
      <c r="B324" s="51" t="str">
        <f>IFERROR(HYPERLINK(VLOOKUP(A324,ÜRÜNLER!A:C,3,FALSE),VLOOKUP(A324,ÜRÜNLER!A:B,2,FALSE)),"")</f>
        <v>iQ100 Gazlı Ocak, 60cm, Sert Cam, Antrasit, Wok</v>
      </c>
      <c r="C324" s="8">
        <v>1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34">
        <f t="shared" si="10"/>
        <v>1</v>
      </c>
      <c r="O324" s="135"/>
      <c r="P324" s="10"/>
      <c r="Q324" s="118"/>
      <c r="R324" s="74" t="s">
        <v>1593</v>
      </c>
      <c r="S324" s="19">
        <v>20000</v>
      </c>
      <c r="T324" s="12">
        <v>20800</v>
      </c>
      <c r="U324" s="12">
        <v>21600</v>
      </c>
      <c r="V324" s="13"/>
      <c r="W324" s="13"/>
      <c r="X324" s="29">
        <v>500</v>
      </c>
    </row>
    <row r="325" spans="1:24">
      <c r="A325" s="142" t="s">
        <v>325</v>
      </c>
      <c r="B325" s="51" t="str">
        <f>IFERROR(HYPERLINK(VLOOKUP(A325,ÜRÜNLER!A:C,3,FALSE),VLOOKUP(A325,ÜRÜNLER!A:B,2,FALSE)),"")</f>
        <v>iQ300 Gazlı Ocak, 60cm, Sert Cam, Siyah, Döküm</v>
      </c>
      <c r="C325" s="8"/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34">
        <f t="shared" si="10"/>
        <v>0</v>
      </c>
      <c r="O325" s="135">
        <v>6</v>
      </c>
      <c r="P325" s="10"/>
      <c r="Q325" s="118"/>
      <c r="R325" s="52">
        <v>20185.337301466021</v>
      </c>
      <c r="S325" s="182">
        <v>19781.630555436699</v>
      </c>
      <c r="T325" s="12">
        <v>20572.895777654168</v>
      </c>
      <c r="U325" s="12">
        <v>21364.160999871634</v>
      </c>
      <c r="V325" s="13">
        <v>1456.2675340241587</v>
      </c>
      <c r="W325" s="13"/>
      <c r="X325" s="17"/>
    </row>
    <row r="326" spans="1:24">
      <c r="A326" s="142" t="s">
        <v>326</v>
      </c>
      <c r="B326" s="51" t="str">
        <f>IFERROR(HYPERLINK(VLOOKUP(A326,ÜRÜNLER!A:C,3,FALSE),VLOOKUP(A326,ÜRÜNLER!A:B,2,FALSE)),"")</f>
        <v>iQ300 Gazlı Ocak, 75cm, 4 Gözlü, Sert Cam, Beyaz</v>
      </c>
      <c r="C326" s="8">
        <v>2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/>
      <c r="M326" s="11"/>
      <c r="N326" s="134">
        <f t="shared" si="10"/>
        <v>3</v>
      </c>
      <c r="O326" s="135"/>
      <c r="P326" s="10"/>
      <c r="Q326" s="118"/>
      <c r="R326" s="74" t="s">
        <v>1593</v>
      </c>
      <c r="S326" s="19">
        <v>16000</v>
      </c>
      <c r="T326" s="12">
        <v>16640</v>
      </c>
      <c r="U326" s="12">
        <v>17280</v>
      </c>
      <c r="V326" s="13"/>
      <c r="W326" s="13"/>
      <c r="X326" s="17"/>
    </row>
    <row r="327" spans="1:24">
      <c r="A327" s="142" t="s">
        <v>327</v>
      </c>
      <c r="B327" s="51" t="str">
        <f>IFERROR(HYPERLINK(VLOOKUP(A327,ÜRÜNLER!A:C,3,FALSE),VLOOKUP(A327,ÜRÜNLER!A:B,2,FALSE)),"")</f>
        <v>iQ300 Gazlı Ocak, 75cm, 5 Gözlü, Sert Cam, Beyaz, Wok</v>
      </c>
      <c r="C327" s="8">
        <v>1</v>
      </c>
      <c r="D327" s="8"/>
      <c r="E327" s="9"/>
      <c r="F327" s="9">
        <v>1</v>
      </c>
      <c r="G327" s="10"/>
      <c r="H327" s="10"/>
      <c r="I327" s="11"/>
      <c r="J327" s="11">
        <v>1</v>
      </c>
      <c r="K327" s="10"/>
      <c r="L327" s="10"/>
      <c r="M327" s="11"/>
      <c r="N327" s="134">
        <f t="shared" si="10"/>
        <v>3</v>
      </c>
      <c r="O327" s="135"/>
      <c r="P327" s="10"/>
      <c r="Q327" s="118"/>
      <c r="R327" s="74" t="s">
        <v>1593</v>
      </c>
      <c r="S327" s="19">
        <v>16000</v>
      </c>
      <c r="T327" s="12">
        <v>16640</v>
      </c>
      <c r="U327" s="12">
        <v>17280</v>
      </c>
      <c r="V327" s="13"/>
      <c r="W327" s="13"/>
      <c r="X327" s="17"/>
    </row>
    <row r="328" spans="1:24">
      <c r="A328" s="21" t="s">
        <v>328</v>
      </c>
      <c r="B328" s="51" t="str">
        <f>IFERROR(HYPERLINK(VLOOKUP(A328,ÜRÜNLER!A:C,3,FALSE),VLOOKUP(A328,ÜRÜNLER!A:B,2,FALSE)),"")</f>
        <v>iQ300 Gazlı Ocak, 75cm, 5 Gözlü, Sert Cam, Beyaz, Wok</v>
      </c>
      <c r="C328" s="8">
        <v>5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>
        <v>1</v>
      </c>
      <c r="N328" s="134">
        <f t="shared" si="10"/>
        <v>6</v>
      </c>
      <c r="O328" s="135">
        <v>6</v>
      </c>
      <c r="P328" s="10"/>
      <c r="Q328" s="118"/>
      <c r="R328" s="52">
        <v>22743.918596729458</v>
      </c>
      <c r="S328" s="182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42" t="s">
        <v>329</v>
      </c>
      <c r="B329" s="51" t="str">
        <f>IFERROR(HYPERLINK(VLOOKUP(A329,ÜRÜNLER!A:C,3,FALSE),VLOOKUP(A329,ÜRÜNLER!A:B,2,FALSE)),"")</f>
        <v>iQ300 Gazlı Ocak, 75cm, 5 Gözlü, Sert Cam, Siyah, Wok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0"/>
      <c r="M329" s="11"/>
      <c r="N329" s="134">
        <f t="shared" si="10"/>
        <v>1</v>
      </c>
      <c r="O329" s="135"/>
      <c r="P329" s="10"/>
      <c r="Q329" s="118"/>
      <c r="R329" s="74" t="s">
        <v>1593</v>
      </c>
      <c r="S329" s="19">
        <v>20000</v>
      </c>
      <c r="T329" s="12">
        <v>20800</v>
      </c>
      <c r="U329" s="12">
        <v>21600</v>
      </c>
      <c r="V329" s="13"/>
      <c r="W329" s="13"/>
      <c r="X329" s="29">
        <v>500</v>
      </c>
    </row>
    <row r="330" spans="1:24">
      <c r="A330" s="149" t="s">
        <v>330</v>
      </c>
      <c r="B330" s="51" t="str">
        <f>IFERROR(HYPERLINK(VLOOKUP(A330,ÜRÜNLER!A:C,3,FALSE),VLOOKUP(A330,ÜRÜNLER!A:B,2,FALSE)),"")</f>
        <v>iQ300 Gazlı Ocak, 75cm, 5 Gözlü, Sert Cam, Siyah, Wok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34">
        <f t="shared" si="10"/>
        <v>0</v>
      </c>
      <c r="O330" s="135">
        <v>6</v>
      </c>
      <c r="P330" s="10"/>
      <c r="Q330" s="118"/>
      <c r="R330" s="52">
        <v>22743.918596729458</v>
      </c>
      <c r="S330" s="182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51" t="s">
        <v>331</v>
      </c>
      <c r="B331" s="51" t="str">
        <f>IFERROR(HYPERLINK(VLOOKUP(A331,ÜRÜNLER!A:C,3,FALSE),VLOOKUP(A331,ÜRÜNLER!A:B,2,FALSE)),"")</f>
        <v>iQ300 Gazlı Ocak, 75cm, 5 Gözlü, Sert Cam, Titanyum Gri, Wok</v>
      </c>
      <c r="C331" s="8">
        <v>3</v>
      </c>
      <c r="D331" s="8"/>
      <c r="E331" s="9"/>
      <c r="F331" s="9">
        <v>1</v>
      </c>
      <c r="G331" s="10"/>
      <c r="H331" s="10"/>
      <c r="I331" s="11">
        <v>2</v>
      </c>
      <c r="J331" s="11"/>
      <c r="K331" s="10">
        <v>1</v>
      </c>
      <c r="L331" s="10"/>
      <c r="M331" s="11"/>
      <c r="N331" s="134">
        <f t="shared" si="10"/>
        <v>7</v>
      </c>
      <c r="O331" s="135"/>
      <c r="P331" s="10"/>
      <c r="Q331" s="118"/>
      <c r="R331" s="74" t="s">
        <v>1593</v>
      </c>
      <c r="S331" s="19">
        <v>25000</v>
      </c>
      <c r="T331" s="12">
        <v>26000</v>
      </c>
      <c r="U331" s="12">
        <v>27000</v>
      </c>
      <c r="V331" s="13"/>
      <c r="W331" s="13"/>
      <c r="X331" s="29">
        <v>500</v>
      </c>
    </row>
    <row r="332" spans="1:24">
      <c r="A332" s="151" t="s">
        <v>467</v>
      </c>
      <c r="B332" s="51" t="str">
        <f>IFERROR(HYPERLINK(VLOOKUP(A332,ÜRÜNLER!A:C,3,FALSE),VLOOKUP(A332,ÜRÜNLER!A:B,2,FALSE)),"")</f>
        <v>iQ300 Gazlı Ocak, 75cm, Sert Cam, Antrasit, Wok</v>
      </c>
      <c r="C332" s="8">
        <v>2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2</v>
      </c>
      <c r="O332" s="135">
        <v>6</v>
      </c>
      <c r="P332" s="10"/>
      <c r="Q332" s="118"/>
      <c r="R332" s="52">
        <v>22743.918596729458</v>
      </c>
      <c r="S332" s="182">
        <v>22289.04022479487</v>
      </c>
      <c r="T332" s="12">
        <v>23180.601833786663</v>
      </c>
      <c r="U332" s="12">
        <v>24072.163442778459</v>
      </c>
      <c r="V332" s="13"/>
      <c r="W332" s="13"/>
      <c r="X332" s="17"/>
    </row>
    <row r="333" spans="1:24">
      <c r="A333" s="142" t="s">
        <v>1327</v>
      </c>
      <c r="B333" s="51" t="str">
        <f>IFERROR(HYPERLINK(VLOOKUP(A333,ÜRÜNLER!A:C,3,FALSE),VLOOKUP(A333,ÜRÜNLER!A:B,2,FALSE)),"")</f>
        <v>iQ500 Gazlı Ocak, 75cm, 5 Gözlü, Sert Cam, Beyaz, Wok</v>
      </c>
      <c r="C333" s="8">
        <v>2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4">
        <f t="shared" si="10"/>
        <v>2</v>
      </c>
      <c r="O333" s="135">
        <v>6</v>
      </c>
      <c r="P333" s="10"/>
      <c r="Q333" s="118"/>
      <c r="R333" s="52">
        <v>44942.679719379281</v>
      </c>
      <c r="S333" s="182">
        <v>44043.826124991698</v>
      </c>
      <c r="T333" s="12">
        <v>45805.579169991368</v>
      </c>
      <c r="U333" s="12">
        <v>47567.332214991031</v>
      </c>
      <c r="V333" s="13"/>
      <c r="W333" s="13"/>
      <c r="X333" s="29">
        <v>500</v>
      </c>
    </row>
    <row r="334" spans="1:24">
      <c r="A334" s="142" t="s">
        <v>332</v>
      </c>
      <c r="B334" s="51" t="str">
        <f>IFERROR(HYPERLINK(VLOOKUP(A334,ÜRÜNLER!A:C,3,FALSE),VLOOKUP(A334,ÜRÜNLER!A:B,2,FALSE)),"")</f>
        <v>iQ500 Gazlı Ocak, 75cm, 5 Gözlü, Sert Cam, Beyaz, Döküm, Wok</v>
      </c>
      <c r="C334" s="8"/>
      <c r="D334" s="8"/>
      <c r="E334" s="9"/>
      <c r="F334" s="9"/>
      <c r="G334" s="10"/>
      <c r="H334" s="10"/>
      <c r="I334" s="11">
        <v>2</v>
      </c>
      <c r="J334" s="11">
        <v>1</v>
      </c>
      <c r="K334" s="10">
        <v>2</v>
      </c>
      <c r="L334" s="10"/>
      <c r="M334" s="11">
        <v>1</v>
      </c>
      <c r="N334" s="134">
        <f t="shared" si="10"/>
        <v>6</v>
      </c>
      <c r="O334" s="135"/>
      <c r="P334" s="10"/>
      <c r="Q334" s="118"/>
      <c r="R334" s="74" t="s">
        <v>1593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142" t="s">
        <v>333</v>
      </c>
      <c r="B335" s="51" t="str">
        <f>IFERROR(HYPERLINK(VLOOKUP(A335,ÜRÜNLER!A:C,3,FALSE),VLOOKUP(A335,ÜRÜNLER!A:B,2,FALSE)),"")</f>
        <v>iQ500 Gazlı Ocak, 75cm, 5 Gözlü, Sert Cam, Siyah, Wok</v>
      </c>
      <c r="C335" s="8"/>
      <c r="D335" s="8"/>
      <c r="E335" s="9"/>
      <c r="F335" s="9"/>
      <c r="G335" s="10"/>
      <c r="H335" s="10"/>
      <c r="I335" s="11">
        <v>1</v>
      </c>
      <c r="J335" s="11">
        <v>1</v>
      </c>
      <c r="K335" s="10">
        <v>2</v>
      </c>
      <c r="L335" s="10"/>
      <c r="M335" s="11"/>
      <c r="N335" s="134">
        <f t="shared" si="10"/>
        <v>4</v>
      </c>
      <c r="O335" s="135"/>
      <c r="P335" s="10"/>
      <c r="Q335" s="118"/>
      <c r="R335" s="74" t="s">
        <v>1593</v>
      </c>
      <c r="S335" s="19">
        <v>42000</v>
      </c>
      <c r="T335" s="12">
        <v>43680</v>
      </c>
      <c r="U335" s="12">
        <v>45360</v>
      </c>
      <c r="V335" s="13"/>
      <c r="W335" s="13"/>
      <c r="X335" s="29">
        <v>500</v>
      </c>
    </row>
    <row r="336" spans="1:24">
      <c r="A336" s="21" t="s">
        <v>334</v>
      </c>
      <c r="B336" s="51" t="str">
        <f>IFERROR(HYPERLINK(VLOOKUP(A336,ÜRÜNLER!A:C,3,FALSE),VLOOKUP(A336,ÜRÜNLER!A:B,2,FALSE)),"")</f>
        <v>iQ500 Gazlı Ocak, 75cm, 5 Gözlü, Sert Cam, Siyah,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0"/>
      <c r="M336" s="11"/>
      <c r="N336" s="134">
        <f t="shared" si="10"/>
        <v>1</v>
      </c>
      <c r="O336" s="135"/>
      <c r="P336" s="10"/>
      <c r="Q336" s="118"/>
      <c r="R336" s="74" t="s">
        <v>1593</v>
      </c>
      <c r="S336" s="19">
        <v>42000</v>
      </c>
      <c r="T336" s="12">
        <v>43680</v>
      </c>
      <c r="U336" s="12">
        <v>45360</v>
      </c>
      <c r="V336" s="13"/>
      <c r="W336" s="13"/>
      <c r="X336" s="29">
        <v>500</v>
      </c>
    </row>
    <row r="337" spans="1:24">
      <c r="A337" s="21" t="s">
        <v>335</v>
      </c>
      <c r="B337" s="51" t="str">
        <f>IFERROR(HYPERLINK(VLOOKUP(A337,ÜRÜNLER!A:C,3,FALSE),VLOOKUP(A337,ÜRÜNLER!A:B,2,FALSE)),"")</f>
        <v>iQ500 Gazlı Ocak, 75cm, 5 Gözlü, Inox, Döküm, Wok</v>
      </c>
      <c r="C337" s="8">
        <v>1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34">
        <f t="shared" si="10"/>
        <v>1</v>
      </c>
      <c r="O337" s="135">
        <v>1</v>
      </c>
      <c r="P337" s="10"/>
      <c r="Q337" s="118"/>
      <c r="R337" s="52">
        <v>40852.498159068411</v>
      </c>
      <c r="S337" s="182">
        <v>40035.448195887046</v>
      </c>
      <c r="T337" s="12">
        <v>41636.866123722524</v>
      </c>
      <c r="U337" s="12">
        <v>43238.28405155801</v>
      </c>
      <c r="V337" s="13"/>
      <c r="W337" s="13"/>
      <c r="X337" s="29"/>
    </row>
    <row r="338" spans="1:24">
      <c r="A338" s="142" t="s">
        <v>336</v>
      </c>
      <c r="B338" s="51" t="str">
        <f>IFERROR(HYPERLINK(VLOOKUP(A338,ÜRÜNLER!A:C,3,FALSE),VLOOKUP(A338,ÜRÜNLER!A:B,2,FALSE)),"")</f>
        <v>iQ500 Gazlı Ocak, 75cm, 5 Gözlü, Inox,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1593</v>
      </c>
      <c r="S338" s="19">
        <v>40000</v>
      </c>
      <c r="T338" s="12">
        <v>41600</v>
      </c>
      <c r="U338" s="12">
        <v>43200</v>
      </c>
      <c r="V338" s="13"/>
      <c r="W338" s="13"/>
      <c r="X338" s="29">
        <v>500</v>
      </c>
    </row>
    <row r="339" spans="1:24">
      <c r="A339" s="164" t="s">
        <v>337</v>
      </c>
      <c r="B339" s="51" t="str">
        <f>IFERROR(HYPERLINK(VLOOKUP(A339,ÜRÜNLER!A:C,3,FALSE),VLOOKUP(A339,ÜRÜNLER!A:B,2,FALSE)),"")</f>
        <v>iQ500 Gazlı Ocak, 90cm, 5 Gözlü, Sert Cam, Siyah, Döküm, Wok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0"/>
      <c r="M339" s="11"/>
      <c r="N339" s="134">
        <f t="shared" si="10"/>
        <v>1</v>
      </c>
      <c r="O339" s="135"/>
      <c r="P339" s="10"/>
      <c r="Q339" s="118"/>
      <c r="R339" s="74" t="s">
        <v>1593</v>
      </c>
      <c r="S339" s="19">
        <v>45000</v>
      </c>
      <c r="T339" s="12">
        <v>46800</v>
      </c>
      <c r="U339" s="12">
        <v>48600</v>
      </c>
      <c r="V339" s="13"/>
      <c r="W339" s="13"/>
      <c r="X339" s="29">
        <v>500</v>
      </c>
    </row>
    <row r="340" spans="1:24">
      <c r="A340" s="165" t="s">
        <v>338</v>
      </c>
      <c r="B340" s="51" t="str">
        <f>IFERROR(HYPERLINK(VLOOKUP(A340,ÜRÜNLER!A:C,3,FALSE),VLOOKUP(A340,ÜRÜNLER!A:B,2,FALSE)),"")</f>
        <v>iQ500 Gazlı Ocak, 90cm, 5 Gözlü, Sert Cam, Siyah, Döküm, Wok</v>
      </c>
      <c r="C340" s="8"/>
      <c r="D340" s="8"/>
      <c r="E340" s="9"/>
      <c r="F340" s="9">
        <v>2</v>
      </c>
      <c r="G340" s="10"/>
      <c r="H340" s="10"/>
      <c r="I340" s="11"/>
      <c r="J340" s="11">
        <v>1</v>
      </c>
      <c r="K340" s="10"/>
      <c r="L340" s="10"/>
      <c r="M340" s="11"/>
      <c r="N340" s="134">
        <f t="shared" si="10"/>
        <v>3</v>
      </c>
      <c r="O340" s="135">
        <v>1</v>
      </c>
      <c r="P340" s="10"/>
      <c r="Q340" s="118"/>
      <c r="R340" s="52">
        <v>56065.010678849081</v>
      </c>
      <c r="S340" s="182">
        <v>54943.710465272103</v>
      </c>
      <c r="T340" s="12">
        <v>57141.458883882988</v>
      </c>
      <c r="U340" s="12">
        <v>59339.207302493873</v>
      </c>
      <c r="V340" s="13"/>
      <c r="W340" s="13"/>
      <c r="X340" s="29">
        <v>500</v>
      </c>
    </row>
    <row r="341" spans="1:24">
      <c r="A341" s="21" t="s">
        <v>340</v>
      </c>
      <c r="B341" s="51" t="str">
        <f>IFERROR(HYPERLINK(VLOOKUP(A341,ÜRÜNLER!A:C,3,FALSE),VLOOKUP(A341,ÜRÜNLER!A:B,2,FALSE)),"")</f>
        <v>iQ500 Gazlı Ocak, 67cm, Sert Cam, Siyah, Wok, Döküm</v>
      </c>
      <c r="C341" s="8">
        <v>1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34">
        <f t="shared" si="10"/>
        <v>1</v>
      </c>
      <c r="O341" s="135">
        <v>1</v>
      </c>
      <c r="P341" s="10"/>
      <c r="Q341" s="118"/>
      <c r="R341" s="52">
        <v>44942.679719379281</v>
      </c>
      <c r="S341" s="182">
        <v>44043.826124991698</v>
      </c>
      <c r="T341" s="12">
        <v>45805.579169991368</v>
      </c>
      <c r="U341" s="12">
        <v>47567.332214991031</v>
      </c>
      <c r="V341" s="13"/>
      <c r="W341" s="13"/>
      <c r="X341" s="29"/>
    </row>
    <row r="342" spans="1:24">
      <c r="A342" s="164" t="s">
        <v>1323</v>
      </c>
      <c r="B342" s="51" t="str">
        <f>IFERROR(HYPERLINK(VLOOKUP(A342,ÜRÜNLER!A:C,3,FALSE),VLOOKUP(A342,ÜRÜNLER!A:B,2,FALSE)),"")</f>
        <v>iQ700 Gazlı Ocak, 90cm, 5 Gözlü, Sert Cam, Siyah, Döküm, Wok</v>
      </c>
      <c r="C342" s="8"/>
      <c r="D342" s="8">
        <v>1</v>
      </c>
      <c r="E342" s="9"/>
      <c r="F342" s="9"/>
      <c r="G342" s="10"/>
      <c r="H342" s="10"/>
      <c r="I342" s="11"/>
      <c r="J342" s="11"/>
      <c r="K342" s="10"/>
      <c r="L342" s="10"/>
      <c r="M342" s="11"/>
      <c r="N342" s="134">
        <f t="shared" si="10"/>
        <v>1</v>
      </c>
      <c r="O342" s="135"/>
      <c r="P342" s="10"/>
      <c r="Q342" s="118"/>
      <c r="R342" s="52">
        <v>80225.462019230792</v>
      </c>
      <c r="S342" s="18">
        <v>72202.915817307716</v>
      </c>
      <c r="T342" s="12">
        <v>75091.032450000028</v>
      </c>
      <c r="U342" s="12">
        <v>77979.14908269234</v>
      </c>
      <c r="V342" s="13"/>
      <c r="W342" s="13"/>
      <c r="X342" s="29"/>
    </row>
    <row r="343" spans="1:24">
      <c r="A343" s="164" t="s">
        <v>342</v>
      </c>
      <c r="B343" s="51" t="str">
        <f>IFERROR(HYPERLINK(VLOOKUP(A343,ÜRÜNLER!A:C,3,FALSE),VLOOKUP(A343,ÜRÜNLER!A:B,2,FALSE)),"")</f>
        <v>iQ700 Gazlı Ocak, 60cm, Seramik, Siyah, Döküm</v>
      </c>
      <c r="C343" s="8"/>
      <c r="D343" s="8"/>
      <c r="E343" s="9"/>
      <c r="F343" s="9"/>
      <c r="G343" s="10"/>
      <c r="H343" s="10"/>
      <c r="I343" s="11">
        <v>1</v>
      </c>
      <c r="J343" s="11"/>
      <c r="K343" s="10">
        <v>3</v>
      </c>
      <c r="L343" s="10"/>
      <c r="M343" s="11"/>
      <c r="N343" s="134">
        <f t="shared" si="10"/>
        <v>4</v>
      </c>
      <c r="O343" s="135"/>
      <c r="P343" s="10"/>
      <c r="Q343" s="118"/>
      <c r="R343" s="74" t="s">
        <v>1593</v>
      </c>
      <c r="S343" s="19">
        <v>40000</v>
      </c>
      <c r="T343" s="12">
        <v>41600</v>
      </c>
      <c r="U343" s="12">
        <v>43200</v>
      </c>
      <c r="V343" s="13"/>
      <c r="W343" s="13"/>
      <c r="X343" s="29">
        <v>1000</v>
      </c>
    </row>
    <row r="344" spans="1:24">
      <c r="A344" s="21" t="s">
        <v>343</v>
      </c>
      <c r="B344" s="51" t="str">
        <f>IFERROR(HYPERLINK(VLOOKUP(A344,ÜRÜNLER!A:C,3,FALSE),VLOOKUP(A344,ÜRÜNLER!A:B,2,FALSE)),"")</f>
        <v>iQ500 Moduler Teppanyaki, 40cm, Inox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2</v>
      </c>
      <c r="O344" s="135"/>
      <c r="P344" s="10"/>
      <c r="Q344" s="118"/>
      <c r="R344" s="74" t="s">
        <v>1593</v>
      </c>
      <c r="S344" s="19">
        <v>120000</v>
      </c>
      <c r="T344" s="12">
        <v>124800</v>
      </c>
      <c r="U344" s="12">
        <v>129600</v>
      </c>
      <c r="V344" s="13"/>
      <c r="W344" s="13"/>
      <c r="X344" s="29">
        <v>1000</v>
      </c>
    </row>
    <row r="345" spans="1:24">
      <c r="A345" s="21" t="s">
        <v>341</v>
      </c>
      <c r="B345" s="51" t="str">
        <f>IFERROR(HYPERLINK(VLOOKUP(A345,ÜRÜNLER!A:C,3,FALSE),VLOOKUP(A345,ÜRÜNLER!A:B,2,FALSE)),"")</f>
        <v>iQ700 Gazlı Domino Ocak, 30cm, 2 Gözlü, Seramik, Siyah</v>
      </c>
      <c r="C345" s="8">
        <v>2</v>
      </c>
      <c r="D345" s="8"/>
      <c r="E345" s="9"/>
      <c r="F345" s="9">
        <v>1</v>
      </c>
      <c r="G345" s="10"/>
      <c r="H345" s="10"/>
      <c r="I345" s="11"/>
      <c r="J345" s="11"/>
      <c r="K345" s="10"/>
      <c r="L345" s="10"/>
      <c r="M345" s="11"/>
      <c r="N345" s="134">
        <f t="shared" si="10"/>
        <v>3</v>
      </c>
      <c r="O345" s="135"/>
      <c r="P345" s="10"/>
      <c r="Q345" s="118"/>
      <c r="R345" s="74" t="s">
        <v>1593</v>
      </c>
      <c r="S345" s="19">
        <v>35000</v>
      </c>
      <c r="T345" s="12">
        <v>36400</v>
      </c>
      <c r="U345" s="12">
        <v>37800</v>
      </c>
      <c r="V345" s="13"/>
      <c r="W345" s="13"/>
      <c r="X345" s="29">
        <v>500</v>
      </c>
    </row>
    <row r="346" spans="1:24">
      <c r="A346" s="21" t="s">
        <v>339</v>
      </c>
      <c r="B346" s="51" t="str">
        <f>IFERROR(HYPERLINK(VLOOKUP(A346,ÜRÜNLER!A:C,3,FALSE),VLOOKUP(A346,ÜRÜNLER!A:B,2,FALSE)),"")</f>
        <v>iQ700 Gazlı Domino Ocak, 30cm, Tek Gözlü, Seramik, Siyah, Wok</v>
      </c>
      <c r="C346" s="8">
        <v>5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5</v>
      </c>
      <c r="O346" s="135"/>
      <c r="P346" s="10"/>
      <c r="Q346" s="118"/>
      <c r="R346" s="74" t="s">
        <v>1593</v>
      </c>
      <c r="S346" s="19">
        <v>35000</v>
      </c>
      <c r="T346" s="12">
        <v>36400</v>
      </c>
      <c r="U346" s="12">
        <v>37800</v>
      </c>
      <c r="V346" s="13"/>
      <c r="W346" s="13"/>
      <c r="X346" s="29">
        <v>500</v>
      </c>
    </row>
    <row r="347" spans="1:24" ht="27.75" customHeight="1">
      <c r="A347" s="58" t="s">
        <v>344</v>
      </c>
      <c r="B347" s="51" t="str">
        <f>IFERROR(HYPERLINK(VLOOKUP(A347,ÜRÜNLER!A:C,3,FALSE),VLOOKUP(A347,ÜRÜNLER!A:B,2,FALSE)),"")</f>
        <v/>
      </c>
      <c r="C347" s="8"/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4"/>
      <c r="O347" s="135"/>
      <c r="P347" s="10"/>
      <c r="Q347" s="9"/>
      <c r="R347" s="74"/>
      <c r="S347" s="19"/>
      <c r="T347" s="12"/>
      <c r="U347" s="12"/>
      <c r="V347" s="13"/>
      <c r="W347" s="13"/>
      <c r="X347" s="17"/>
    </row>
    <row r="348" spans="1:24">
      <c r="A348" s="142" t="s">
        <v>345</v>
      </c>
      <c r="B348" s="51" t="str">
        <f>IFERROR(HYPERLINK(VLOOKUP(A348,ÜRÜNLER!A:C,3,FALSE),VLOOKUP(A348,ÜRÜNLER!A:B,2,FALSE)),"")</f>
        <v>iQ100 Elektrikli Ocak, 60cm, Çerçevesiz, Siyah</v>
      </c>
      <c r="C348" s="8">
        <v>12</v>
      </c>
      <c r="D348" s="8"/>
      <c r="E348" s="9"/>
      <c r="F348" s="9"/>
      <c r="G348" s="10"/>
      <c r="H348" s="10"/>
      <c r="I348" s="11">
        <v>1</v>
      </c>
      <c r="J348" s="11">
        <v>1</v>
      </c>
      <c r="K348" s="10">
        <v>1</v>
      </c>
      <c r="L348" s="10"/>
      <c r="M348" s="11">
        <v>1</v>
      </c>
      <c r="N348" s="134">
        <f>M348+L348+K348+J348+I348+H348+G348+F348+E348+D348+C348</f>
        <v>16</v>
      </c>
      <c r="O348" s="135">
        <v>1</v>
      </c>
      <c r="P348" s="10"/>
      <c r="Q348" s="118"/>
      <c r="R348" s="52">
        <v>22367.863733929771</v>
      </c>
      <c r="S348" s="182">
        <v>21920.506459251177</v>
      </c>
      <c r="T348" s="12">
        <v>22797.326717621225</v>
      </c>
      <c r="U348" s="12">
        <v>23674.146975991272</v>
      </c>
      <c r="V348" s="13"/>
      <c r="W348" s="13"/>
      <c r="X348" s="17"/>
    </row>
    <row r="349" spans="1:24">
      <c r="A349" s="142" t="s">
        <v>346</v>
      </c>
      <c r="B349" s="51" t="str">
        <f>IFERROR(HYPERLINK(VLOOKUP(A349,ÜRÜNLER!A:C,3,FALSE),VLOOKUP(A349,ÜRÜNLER!A:B,2,FALSE)),"")</f>
        <v>iQ100 Elektrikli Ocak, 60cm, Çerçevesiz, Beyaz</v>
      </c>
      <c r="C349" s="8">
        <v>10</v>
      </c>
      <c r="D349" s="8"/>
      <c r="E349" s="9"/>
      <c r="F349" s="9"/>
      <c r="G349" s="10"/>
      <c r="H349" s="10"/>
      <c r="I349" s="11">
        <v>2</v>
      </c>
      <c r="J349" s="11"/>
      <c r="K349" s="10"/>
      <c r="L349" s="10"/>
      <c r="M349" s="11"/>
      <c r="N349" s="134">
        <f>M349+L349+K349+J349+I349+H349+G349+F349+E349+D349+C349</f>
        <v>12</v>
      </c>
      <c r="O349" s="135">
        <v>1</v>
      </c>
      <c r="P349" s="10"/>
      <c r="Q349" s="118"/>
      <c r="R349" s="52">
        <v>27869.095188746775</v>
      </c>
      <c r="S349" s="182">
        <v>27311.71328497184</v>
      </c>
      <c r="T349" s="12">
        <v>28404.181816370714</v>
      </c>
      <c r="U349" s="12">
        <v>29496.650347769588</v>
      </c>
      <c r="V349" s="13"/>
      <c r="W349" s="13"/>
      <c r="X349" s="17"/>
    </row>
    <row r="350" spans="1:24">
      <c r="A350" s="142" t="s">
        <v>347</v>
      </c>
      <c r="B350" s="51" t="str">
        <f>IFERROR(HYPERLINK(VLOOKUP(A350,ÜRÜNLER!A:C,3,FALSE),VLOOKUP(A350,ÜRÜNLER!A:B,2,FALSE)),"")</f>
        <v>iQ300 Elektrikli Ocak, 60cm, Çerçevesiz, Siyah</v>
      </c>
      <c r="C350" s="8">
        <v>5</v>
      </c>
      <c r="D350" s="8"/>
      <c r="E350" s="9"/>
      <c r="F350" s="9"/>
      <c r="G350" s="10">
        <v>1</v>
      </c>
      <c r="H350" s="10"/>
      <c r="I350" s="11"/>
      <c r="J350" s="11"/>
      <c r="K350" s="10"/>
      <c r="L350" s="10"/>
      <c r="M350" s="11"/>
      <c r="N350" s="134">
        <f>M350+L350+K350+J350+I350+H350+G350+F350+E350+D350+C350</f>
        <v>6</v>
      </c>
      <c r="O350" s="135">
        <v>11</v>
      </c>
      <c r="P350" s="10"/>
      <c r="Q350" s="118"/>
      <c r="R350" s="52">
        <v>27630.70393916102</v>
      </c>
      <c r="S350" s="182">
        <v>27078.089860377801</v>
      </c>
      <c r="T350" s="12">
        <v>28161.213454792913</v>
      </c>
      <c r="U350" s="12">
        <v>29244.337049208025</v>
      </c>
      <c r="V350" s="13"/>
      <c r="W350" s="13"/>
      <c r="X350" s="17"/>
    </row>
    <row r="351" spans="1:24">
      <c r="A351" s="142" t="s">
        <v>348</v>
      </c>
      <c r="B351" s="51" t="str">
        <f>IFERROR(HYPERLINK(VLOOKUP(A351,ÜRÜNLER!A:C,3,FALSE),VLOOKUP(A351,ÜRÜNLER!A:B,2,FALSE)),"")</f>
        <v>iQ300 Elektrikli Ocak, 70cm, Çerçeveli, Siyah</v>
      </c>
      <c r="C351" s="8">
        <v>1</v>
      </c>
      <c r="D351" s="8"/>
      <c r="E351" s="9"/>
      <c r="F351" s="9">
        <v>1</v>
      </c>
      <c r="G351" s="10"/>
      <c r="H351" s="10"/>
      <c r="I351" s="11">
        <v>1</v>
      </c>
      <c r="J351" s="11"/>
      <c r="K351" s="10"/>
      <c r="L351" s="10"/>
      <c r="M351" s="11"/>
      <c r="N351" s="134">
        <f>M351+L351+K351+J351+I351+H351+G351+F351+E351+D351+C351</f>
        <v>3</v>
      </c>
      <c r="O351" s="135"/>
      <c r="P351" s="10"/>
      <c r="Q351" s="118"/>
      <c r="R351" s="74" t="s">
        <v>1593</v>
      </c>
      <c r="S351" s="77">
        <v>50000</v>
      </c>
      <c r="T351" s="12">
        <v>52000</v>
      </c>
      <c r="U351" s="12">
        <v>54000</v>
      </c>
      <c r="V351" s="13"/>
      <c r="W351" s="13"/>
      <c r="X351" s="29">
        <v>1000</v>
      </c>
    </row>
    <row r="352" spans="1:24">
      <c r="A352" s="142" t="s">
        <v>349</v>
      </c>
      <c r="B352" s="51" t="str">
        <f>IFERROR(HYPERLINK(VLOOKUP(A352,ÜRÜNLER!A:C,3,FALSE),VLOOKUP(A352,ÜRÜNLER!A:B,2,FALSE)),"")</f>
        <v>iQ500 Elektrikli Ocak, 80cm, Çerçeveli, Siyah</v>
      </c>
      <c r="C352" s="8">
        <v>4</v>
      </c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34">
        <f>M352+L352+K352+J352+I352+H352+G352+F352+E352+D352+C352</f>
        <v>4</v>
      </c>
      <c r="O352" s="135">
        <v>3</v>
      </c>
      <c r="P352" s="10"/>
      <c r="Q352" s="118"/>
      <c r="R352" s="52">
        <v>53659.609982519942</v>
      </c>
      <c r="S352" s="182">
        <v>52586.417782869539</v>
      </c>
      <c r="T352" s="12">
        <v>54689.874494184318</v>
      </c>
      <c r="U352" s="12">
        <v>56793.331205499104</v>
      </c>
      <c r="V352" s="13"/>
      <c r="W352" s="13"/>
      <c r="X352" s="17"/>
    </row>
    <row r="353" spans="1:24" ht="30">
      <c r="A353" s="58" t="s">
        <v>350</v>
      </c>
      <c r="B353" s="51" t="str">
        <f>IFERROR(HYPERLINK(VLOOKUP(A353,ÜRÜNLER!A:C,3,FALSE),VLOOKUP(A353,ÜRÜNLER!A:B,2,FALSE)),"")</f>
        <v/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4"/>
      <c r="O353" s="135"/>
      <c r="P353" s="10"/>
      <c r="Q353" s="9"/>
      <c r="R353" s="74"/>
      <c r="S353" s="19"/>
      <c r="T353" s="12"/>
      <c r="U353" s="12">
        <v>0</v>
      </c>
      <c r="V353" s="13"/>
      <c r="W353" s="13"/>
      <c r="X353" s="17"/>
    </row>
    <row r="354" spans="1:24">
      <c r="A354" s="142" t="s">
        <v>351</v>
      </c>
      <c r="B354" s="51" t="str">
        <f>IFERROR(HYPERLINK(VLOOKUP(A354,ÜRÜNLER!A:C,3,FALSE),VLOOKUP(A354,ÜRÜNLER!A:B,2,FALSE)),"")</f>
        <v>iQ100 İndüksiyonlu Ocak, 60cm, Çerçevesiz, Siyah</v>
      </c>
      <c r="C354" s="8">
        <v>9</v>
      </c>
      <c r="D354" s="8"/>
      <c r="E354" s="9">
        <v>1</v>
      </c>
      <c r="F354" s="9"/>
      <c r="G354" s="10"/>
      <c r="H354" s="10"/>
      <c r="I354" s="11">
        <v>1</v>
      </c>
      <c r="J354" s="11">
        <v>1</v>
      </c>
      <c r="K354" s="10"/>
      <c r="L354" s="10"/>
      <c r="M354" s="11">
        <v>1</v>
      </c>
      <c r="N354" s="134">
        <f t="shared" ref="N354:N361" si="11">M354+L354+K354+J354+I354+H354+G354+F354+E354+D354+C354</f>
        <v>13</v>
      </c>
      <c r="O354" s="135">
        <v>16</v>
      </c>
      <c r="P354" s="10"/>
      <c r="Q354" s="118"/>
      <c r="R354" s="52">
        <v>22386.25435861975</v>
      </c>
      <c r="S354" s="182">
        <v>21938.529271447354</v>
      </c>
      <c r="T354" s="12">
        <v>22816.070442305248</v>
      </c>
      <c r="U354" s="12">
        <v>23693.611613163142</v>
      </c>
      <c r="V354" s="13"/>
      <c r="W354" s="13"/>
      <c r="X354" s="17"/>
    </row>
    <row r="355" spans="1:24">
      <c r="A355" s="22" t="s">
        <v>352</v>
      </c>
      <c r="B355" s="51" t="str">
        <f>IFERROR(HYPERLINK(VLOOKUP(A355,ÜRÜNLER!A:C,3,FALSE),VLOOKUP(A355,ÜRÜNLER!A:B,2,FALSE)),"")</f>
        <v>iQ700 İndüksiyonlu Ocak, 60cm, Çerçeveli, Siyah</v>
      </c>
      <c r="C355" s="8"/>
      <c r="D355" s="8"/>
      <c r="E355" s="9"/>
      <c r="F355" s="9"/>
      <c r="G355" s="10">
        <v>1</v>
      </c>
      <c r="H355" s="10"/>
      <c r="I355" s="11"/>
      <c r="J355" s="11"/>
      <c r="K355" s="10"/>
      <c r="L355" s="10"/>
      <c r="M355" s="11"/>
      <c r="N355" s="134">
        <f t="shared" si="11"/>
        <v>1</v>
      </c>
      <c r="O355" s="135">
        <v>3</v>
      </c>
      <c r="P355" s="10"/>
      <c r="Q355" s="118"/>
      <c r="R355" s="52">
        <v>71748.727339019053</v>
      </c>
      <c r="S355" s="25">
        <v>71748.727339019053</v>
      </c>
      <c r="T355" s="12">
        <v>74618.676432579814</v>
      </c>
      <c r="U355" s="12">
        <v>77488.625526140575</v>
      </c>
      <c r="V355" s="13"/>
      <c r="W355" s="13"/>
      <c r="X355" s="29">
        <v>500</v>
      </c>
    </row>
    <row r="356" spans="1:24">
      <c r="A356" s="22" t="s">
        <v>353</v>
      </c>
      <c r="B356" s="51" t="str">
        <f>IFERROR(HYPERLINK(VLOOKUP(A356,ÜRÜNLER!A:C,3,FALSE),VLOOKUP(A356,ÜRÜNLER!A:B,2,FALSE)),"")</f>
        <v>iQ700 studioLine İndüksiyonlu Ocak, 80cm, FlushMount, Siyah</v>
      </c>
      <c r="C356" s="8"/>
      <c r="D356" s="8">
        <v>3</v>
      </c>
      <c r="E356" s="9"/>
      <c r="F356" s="9"/>
      <c r="G356" s="10"/>
      <c r="H356" s="10"/>
      <c r="I356" s="11"/>
      <c r="J356" s="11"/>
      <c r="K356" s="10"/>
      <c r="L356" s="10"/>
      <c r="M356" s="11"/>
      <c r="N356" s="134">
        <f t="shared" si="11"/>
        <v>3</v>
      </c>
      <c r="O356" s="135"/>
      <c r="P356" s="10"/>
      <c r="Q356" s="118"/>
      <c r="R356" s="52">
        <v>79689.739420189508</v>
      </c>
      <c r="S356" s="18">
        <v>71720.765478170564</v>
      </c>
      <c r="T356" s="12">
        <v>74589.596097297384</v>
      </c>
      <c r="U356" s="12">
        <v>77458.426716424205</v>
      </c>
      <c r="V356" s="13"/>
      <c r="W356" s="13"/>
      <c r="X356" s="29">
        <v>500</v>
      </c>
    </row>
    <row r="357" spans="1:24">
      <c r="A357" s="22" t="s">
        <v>354</v>
      </c>
      <c r="B357" s="51" t="str">
        <f>IFERROR(HYPERLINK(VLOOKUP(A357,ÜRÜNLER!A:C,3,FALSE),VLOOKUP(A357,ÜRÜNLER!A:B,2,FALSE)),"")</f>
        <v>iQ700 studioLine İndüksiyonlu Ocak, 80cm, FlushMount, Siyah</v>
      </c>
      <c r="C357" s="8"/>
      <c r="D357" s="8">
        <v>3</v>
      </c>
      <c r="E357" s="9"/>
      <c r="F357" s="9"/>
      <c r="G357" s="10"/>
      <c r="H357" s="10">
        <v>1</v>
      </c>
      <c r="I357" s="11"/>
      <c r="J357" s="11"/>
      <c r="K357" s="10"/>
      <c r="L357" s="10"/>
      <c r="M357" s="11"/>
      <c r="N357" s="134">
        <f t="shared" si="11"/>
        <v>4</v>
      </c>
      <c r="O357" s="135"/>
      <c r="P357" s="10"/>
      <c r="Q357" s="118"/>
      <c r="R357" s="74" t="s">
        <v>1593</v>
      </c>
      <c r="S357" s="18">
        <v>105000</v>
      </c>
      <c r="T357" s="12">
        <v>109200</v>
      </c>
      <c r="U357" s="12">
        <v>113400</v>
      </c>
      <c r="V357" s="13"/>
      <c r="W357" s="13"/>
      <c r="X357" s="29">
        <v>500</v>
      </c>
    </row>
    <row r="358" spans="1:24">
      <c r="A358" s="142" t="s">
        <v>358</v>
      </c>
      <c r="B358" s="51" t="str">
        <f>IFERROR(HYPERLINK(VLOOKUP(A358,ÜRÜNLER!A:C,3,FALSE),VLOOKUP(A358,ÜRÜNLER!A:B,2,FALSE)),"")</f>
        <v>iQ300 İndüksiyonlu Ocak, 90cm, Çerçeveli, Siyah</v>
      </c>
      <c r="C358" s="8">
        <v>2</v>
      </c>
      <c r="D358" s="8"/>
      <c r="E358" s="9"/>
      <c r="F358" s="9"/>
      <c r="G358" s="10"/>
      <c r="H358" s="10"/>
      <c r="I358" s="11"/>
      <c r="J358" s="11">
        <v>1</v>
      </c>
      <c r="K358" s="10">
        <v>1</v>
      </c>
      <c r="L358" s="10"/>
      <c r="M358" s="11"/>
      <c r="N358" s="134">
        <f t="shared" si="11"/>
        <v>4</v>
      </c>
      <c r="O358" s="135"/>
      <c r="P358" s="10"/>
      <c r="Q358" s="118"/>
      <c r="R358" s="52">
        <v>95319.970489077241</v>
      </c>
      <c r="S358" s="182">
        <v>93413.571079295696</v>
      </c>
      <c r="T358" s="12">
        <v>97150.113922467528</v>
      </c>
      <c r="U358" s="12">
        <v>100886.65676563935</v>
      </c>
      <c r="V358" s="13"/>
      <c r="W358" s="13"/>
      <c r="X358" s="29">
        <v>1000</v>
      </c>
    </row>
    <row r="359" spans="1:24">
      <c r="A359" s="142" t="s">
        <v>1508</v>
      </c>
      <c r="B359" s="51" t="str">
        <f>IFERROR(HYPERLINK(VLOOKUP(A359,ÜRÜNLER!A:C,3,FALSE),VLOOKUP(A359,ÜRÜNLER!A:B,2,FALSE)),"")</f>
        <v>iQ700 studioLine İndüksiyonlu Ocak, 90cm, FlushMount, Siyah</v>
      </c>
      <c r="C359" s="8"/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34">
        <f t="shared" si="11"/>
        <v>0</v>
      </c>
      <c r="O359" s="135"/>
      <c r="P359" s="176">
        <v>1</v>
      </c>
      <c r="Q359" s="118"/>
      <c r="R359" s="52">
        <v>118263</v>
      </c>
      <c r="S359" s="25">
        <v>118263</v>
      </c>
      <c r="T359" s="12">
        <v>122993.52</v>
      </c>
      <c r="U359" s="12">
        <v>127724.04000000001</v>
      </c>
      <c r="V359" s="13"/>
      <c r="W359" s="13"/>
      <c r="X359" s="29"/>
    </row>
    <row r="360" spans="1:24">
      <c r="A360" s="22" t="s">
        <v>359</v>
      </c>
      <c r="B360" s="51" t="str">
        <f>IFERROR(HYPERLINK(VLOOKUP(A360,ÜRÜNLER!A:C,3,FALSE),VLOOKUP(A360,ÜRÜNLER!A:B,2,FALSE)),"")</f>
        <v>iQ700 İndüksiyonlu Ocak, 90cm, Çerçeveli, Siyah</v>
      </c>
      <c r="C360" s="8">
        <v>5</v>
      </c>
      <c r="D360" s="8"/>
      <c r="E360" s="9"/>
      <c r="F360" s="9">
        <v>1</v>
      </c>
      <c r="G360" s="10"/>
      <c r="H360" s="10"/>
      <c r="I360" s="11"/>
      <c r="J360" s="11"/>
      <c r="K360" s="10"/>
      <c r="L360" s="10"/>
      <c r="M360" s="11"/>
      <c r="N360" s="134">
        <f t="shared" si="11"/>
        <v>6</v>
      </c>
      <c r="O360" s="135"/>
      <c r="P360" s="10"/>
      <c r="Q360" s="118"/>
      <c r="R360" s="52">
        <v>103280.99415627483</v>
      </c>
      <c r="S360" s="182">
        <v>101215.37427314933</v>
      </c>
      <c r="T360" s="12">
        <v>105263.9892440753</v>
      </c>
      <c r="U360" s="12">
        <v>109312.60421500127</v>
      </c>
      <c r="V360" s="13"/>
      <c r="W360" s="13"/>
      <c r="X360" s="29">
        <v>1000</v>
      </c>
    </row>
    <row r="361" spans="1:24">
      <c r="A361" s="142" t="s">
        <v>1563</v>
      </c>
      <c r="B361" s="51" t="str">
        <f>IFERROR(HYPERLINK(VLOOKUP(A361,ÜRÜNLER!A:C,3,FALSE),VLOOKUP(A361,ÜRÜNLER!A:B,2,FALSE)),"")</f>
        <v>iQ500 İndüksiyonlu Ocak, 60cm, Çerçevesiz,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>
        <v>2</v>
      </c>
      <c r="P361" s="10"/>
      <c r="Q361" s="118"/>
      <c r="R361" s="52">
        <v>52726.73</v>
      </c>
      <c r="S361" s="25">
        <v>52726.73</v>
      </c>
      <c r="T361" s="12">
        <v>54835.799200000001</v>
      </c>
      <c r="U361" s="12">
        <v>56944.868400000007</v>
      </c>
      <c r="V361" s="13"/>
      <c r="W361" s="13"/>
      <c r="X361" s="29"/>
    </row>
    <row r="362" spans="1:24" ht="33.75">
      <c r="A362" s="59" t="s">
        <v>475</v>
      </c>
      <c r="B362" s="51" t="str">
        <f>IFERROR(HYPERLINK(VLOOKUP(A362,ÜRÜNLER!A:C,3,FALSE),VLOOKUP(A362,ÜRÜNLER!A:B,2,FALSE)),"")</f>
        <v/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4"/>
      <c r="O362" s="135"/>
      <c r="P362" s="10"/>
      <c r="Q362" s="9"/>
      <c r="R362" s="74"/>
      <c r="S362" s="19"/>
      <c r="T362" s="12"/>
      <c r="U362" s="12"/>
      <c r="V362" s="13"/>
      <c r="W362" s="13"/>
      <c r="X362" s="17"/>
    </row>
    <row r="363" spans="1:24">
      <c r="A363" s="142" t="s">
        <v>465</v>
      </c>
      <c r="B363" s="51" t="str">
        <f>IFERROR(HYPERLINK(VLOOKUP(A363,ÜRÜNLER!A:C,3,FALSE),VLOOKUP(A363,ÜRÜNLER!A:B,2,FALSE)),"")</f>
        <v>iQ300 Davlumbaz Entegreli İndüksiyonlu Ocak, 80cm, Çerçevesiz,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>M363+L363+K363+J363+I363+H363+G363+F363+E363+D363+C363</f>
        <v>0</v>
      </c>
      <c r="O363" s="135">
        <v>6</v>
      </c>
      <c r="P363" s="10"/>
      <c r="Q363" s="118"/>
      <c r="R363" s="52">
        <v>81803.559457107054</v>
      </c>
      <c r="S363" s="25">
        <v>81803.559457107054</v>
      </c>
      <c r="T363" s="12">
        <v>85075.70183539133</v>
      </c>
      <c r="U363" s="12">
        <v>88347.84421367562</v>
      </c>
      <c r="V363" s="13"/>
      <c r="W363" s="13"/>
      <c r="X363" s="29">
        <v>500</v>
      </c>
    </row>
    <row r="364" spans="1:24">
      <c r="A364" s="142" t="s">
        <v>357</v>
      </c>
      <c r="B364" s="51" t="str">
        <f>IFERROR(HYPERLINK(VLOOKUP(A364,ÜRÜNLER!A:C,3,FALSE),VLOOKUP(A364,ÜRÜNLER!A:B,2,FALSE)),"")</f>
        <v>iQ300 Davlumbaz Entegreli İndüksiyonlu Ocak, 80cm, Çerçevesiz, Siyah</v>
      </c>
      <c r="C364" s="8"/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1</v>
      </c>
      <c r="O364" s="135"/>
      <c r="P364" s="10"/>
      <c r="Q364" s="118"/>
      <c r="R364" s="74" t="s">
        <v>1593</v>
      </c>
      <c r="S364" s="19">
        <v>80000</v>
      </c>
      <c r="T364" s="12">
        <v>83200</v>
      </c>
      <c r="U364" s="12">
        <v>86400</v>
      </c>
      <c r="V364" s="13"/>
      <c r="W364" s="13"/>
      <c r="X364" s="29">
        <v>1000</v>
      </c>
    </row>
    <row r="365" spans="1:24">
      <c r="A365" s="142" t="s">
        <v>464</v>
      </c>
      <c r="B365" s="51" t="str">
        <f>IFERROR(HYPERLINK(VLOOKUP(A365,ÜRÜNLER!A:C,3,FALSE),VLOOKUP(A365,ÜRÜNLER!A:B,2,FALSE)),"")</f>
        <v>iQ700 Davlumbaz Entegreli İndüksiyonlu Ocak, 80cm, Çerçeveli,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3</v>
      </c>
      <c r="P365" s="10"/>
      <c r="Q365" s="118"/>
      <c r="R365" s="52">
        <v>95119.993823823155</v>
      </c>
      <c r="S365" s="25">
        <v>95119.993823823155</v>
      </c>
      <c r="T365" s="12">
        <v>98924.793576776079</v>
      </c>
      <c r="U365" s="12">
        <v>102729.593329729</v>
      </c>
      <c r="V365" s="13"/>
      <c r="W365" s="13"/>
      <c r="X365" s="29">
        <v>500</v>
      </c>
    </row>
    <row r="366" spans="1:24">
      <c r="A366" s="142" t="s">
        <v>356</v>
      </c>
      <c r="B366" s="51" t="str">
        <f>IFERROR(HYPERLINK(VLOOKUP(A366,ÜRÜNLER!A:C,3,FALSE),VLOOKUP(A366,ÜRÜNLER!A:B,2,FALSE)),"")</f>
        <v>iQ700 studioLine Davlumbaz Entegreli İndüksiyonlu Ocak, 80cm, Çerçeveli, Siyah</v>
      </c>
      <c r="C366" s="8"/>
      <c r="D366" s="8">
        <v>4</v>
      </c>
      <c r="E366" s="9"/>
      <c r="F366" s="9"/>
      <c r="G366" s="10"/>
      <c r="H366" s="10">
        <v>1</v>
      </c>
      <c r="I366" s="11"/>
      <c r="J366" s="11"/>
      <c r="K366" s="10"/>
      <c r="L366" s="10"/>
      <c r="M366" s="11"/>
      <c r="N366" s="134">
        <f>M366+L366+K366+J366+I366+H366+G366+F366+E366+D366+C366</f>
        <v>5</v>
      </c>
      <c r="O366" s="135"/>
      <c r="P366" s="10"/>
      <c r="Q366" s="118"/>
      <c r="R366" s="52">
        <v>121937.08168357836</v>
      </c>
      <c r="S366" s="18">
        <v>109743.37351522053</v>
      </c>
      <c r="T366" s="12">
        <v>114133.10845582935</v>
      </c>
      <c r="U366" s="12">
        <v>118522.84339643817</v>
      </c>
      <c r="V366" s="13"/>
      <c r="W366" s="13"/>
      <c r="X366" s="29">
        <v>500</v>
      </c>
    </row>
    <row r="367" spans="1:24" s="32" customFormat="1" ht="31.5">
      <c r="A367" s="34" t="s">
        <v>360</v>
      </c>
      <c r="B367" s="51" t="str">
        <f>IFERROR(HYPERLINK(VLOOKUP(A367,ÜRÜNLER!A:C,3,FALSE),VLOOKUP(A367,ÜRÜNLER!A:B,2,FALSE)),"")</f>
        <v/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/>
      <c r="O367" s="135"/>
      <c r="P367" s="10"/>
      <c r="Q367" s="9"/>
      <c r="R367" s="74"/>
      <c r="S367" s="19"/>
      <c r="T367" s="12"/>
      <c r="U367" s="12"/>
      <c r="V367" s="117"/>
      <c r="W367" s="13"/>
      <c r="X367" s="17"/>
    </row>
    <row r="368" spans="1:24">
      <c r="A368" s="22" t="s">
        <v>361</v>
      </c>
      <c r="B368" s="51" t="str">
        <f>IFERROR(HYPERLINK(VLOOKUP(A368,ÜRÜNLER!A:C,3,FALSE),VLOOKUP(A368,ÜRÜNLER!A:B,2,FALSE)),"")</f>
        <v>iQ700 Ankastre Tam Otomatik Kahve Makinesi, Siyah/Inox</v>
      </c>
      <c r="C368" s="8"/>
      <c r="D368" s="8"/>
      <c r="E368" s="9"/>
      <c r="F368" s="9"/>
      <c r="G368" s="10"/>
      <c r="H368" s="10"/>
      <c r="I368" s="11"/>
      <c r="J368" s="11"/>
      <c r="K368" s="10">
        <v>1</v>
      </c>
      <c r="L368" s="10"/>
      <c r="M368" s="11"/>
      <c r="N368" s="134">
        <f t="shared" ref="N368:N398" si="12">M368+L368+K368+J368+I368+H368+G368+F368+E368+D368+C368</f>
        <v>1</v>
      </c>
      <c r="O368" s="135"/>
      <c r="P368" s="10"/>
      <c r="Q368" s="118"/>
      <c r="R368" s="74" t="s">
        <v>1593</v>
      </c>
      <c r="S368" s="19">
        <v>100000</v>
      </c>
      <c r="T368" s="12">
        <v>104000</v>
      </c>
      <c r="U368" s="12">
        <v>108000</v>
      </c>
      <c r="V368" s="13"/>
      <c r="W368" s="13"/>
      <c r="X368" s="27">
        <v>1000</v>
      </c>
    </row>
    <row r="369" spans="1:25">
      <c r="A369" s="22" t="s">
        <v>362</v>
      </c>
      <c r="B369" s="51" t="str">
        <f>IFERROR(HYPERLINK(VLOOKUP(A369,ÜRÜNLER!A:C,3,FALSE),VLOOKUP(A369,ÜRÜNLER!A:B,2,FALSE)),"")</f>
        <v>iQ700 Ankastre Tam Otomatik Kahve Makinesi, Siyah</v>
      </c>
      <c r="C369" s="8">
        <v>3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>
        <f t="shared" si="12"/>
        <v>3</v>
      </c>
      <c r="O369" s="135"/>
      <c r="P369" s="10"/>
      <c r="Q369" s="118"/>
      <c r="R369" s="52">
        <v>156223.26391127042</v>
      </c>
      <c r="S369" s="47">
        <v>148412.10071570691</v>
      </c>
      <c r="T369" s="12">
        <v>154348.58474433518</v>
      </c>
      <c r="U369" s="12">
        <v>160285.06877296345</v>
      </c>
      <c r="V369" s="13"/>
      <c r="W369" s="13"/>
      <c r="X369" s="27">
        <v>500</v>
      </c>
    </row>
    <row r="370" spans="1:25">
      <c r="A370" s="22" t="s">
        <v>363</v>
      </c>
      <c r="B370" s="51" t="str">
        <f>IFERROR(HYPERLINK(VLOOKUP(A370,ÜRÜNLER!A:C,3,FALSE),VLOOKUP(A370,ÜRÜNLER!A:B,2,FALSE)),"")</f>
        <v>iQ700 studioLine Ankastre Tam Otomatik Kahve Makinesi, Siyah</v>
      </c>
      <c r="C370" s="8"/>
      <c r="D370" s="8">
        <v>5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134">
        <f t="shared" si="12"/>
        <v>6</v>
      </c>
      <c r="O370" s="135"/>
      <c r="P370" s="10"/>
      <c r="Q370" s="118"/>
      <c r="R370" s="52">
        <v>175670.34580559586</v>
      </c>
      <c r="S370" s="18">
        <v>158103.31122503628</v>
      </c>
      <c r="T370" s="12">
        <v>164427.44367403773</v>
      </c>
      <c r="U370" s="12">
        <v>170751.57612303918</v>
      </c>
      <c r="V370" s="13"/>
      <c r="W370" s="13"/>
      <c r="X370" s="27">
        <v>500</v>
      </c>
    </row>
    <row r="371" spans="1:25">
      <c r="A371" s="21" t="s">
        <v>364</v>
      </c>
      <c r="B371" s="51" t="str">
        <f>IFERROR(HYPERLINK(VLOOKUP(A371,ÜRÜNLER!A:C,3,FALSE),VLOOKUP(A371,ÜRÜNLER!A:B,2,FALSE)),"")</f>
        <v>EQ6 plus s100 Tam Otomatik Kahve Makinesi, Metalik Elmas Titanyum</v>
      </c>
      <c r="C371" s="8">
        <v>3</v>
      </c>
      <c r="D371" s="8"/>
      <c r="E371" s="9"/>
      <c r="F371" s="9"/>
      <c r="G371" s="10"/>
      <c r="H371" s="10"/>
      <c r="I371" s="11">
        <v>5</v>
      </c>
      <c r="J371" s="11">
        <v>3</v>
      </c>
      <c r="K371" s="10">
        <v>2</v>
      </c>
      <c r="L371" s="10"/>
      <c r="M371" s="11">
        <v>2</v>
      </c>
      <c r="N371" s="134">
        <f t="shared" si="12"/>
        <v>15</v>
      </c>
      <c r="O371" s="135"/>
      <c r="P371" s="10"/>
      <c r="Q371" s="118"/>
      <c r="R371" s="52">
        <v>29076.337558441104</v>
      </c>
      <c r="S371" s="25">
        <v>29076.337558441104</v>
      </c>
      <c r="T371" s="12">
        <v>30239.391060778747</v>
      </c>
      <c r="U371" s="12">
        <v>31402.444563116391</v>
      </c>
      <c r="V371" s="125">
        <v>5804</v>
      </c>
      <c r="W371" s="13"/>
      <c r="X371" s="17">
        <v>250</v>
      </c>
      <c r="Y371" t="s">
        <v>1615</v>
      </c>
    </row>
    <row r="372" spans="1:25">
      <c r="A372" s="21" t="s">
        <v>365</v>
      </c>
      <c r="B372" s="51" t="str">
        <f>IFERROR(HYPERLINK(VLOOKUP(A372,ÜRÜNLER!A:C,3,FALSE),VLOOKUP(A372,ÜRÜNLER!A:B,2,FALSE)),"")</f>
        <v>EQ6 plus s100 Tam Otomatik Kahve Makinesi, Metalik Safir Siyahı</v>
      </c>
      <c r="C372" s="8"/>
      <c r="D372" s="8"/>
      <c r="E372" s="9"/>
      <c r="F372" s="9"/>
      <c r="G372" s="10"/>
      <c r="H372" s="10"/>
      <c r="I372" s="11"/>
      <c r="J372" s="11">
        <v>1</v>
      </c>
      <c r="K372" s="10"/>
      <c r="L372" s="10"/>
      <c r="M372" s="11"/>
      <c r="N372" s="134">
        <f t="shared" si="12"/>
        <v>1</v>
      </c>
      <c r="O372" s="135"/>
      <c r="P372" s="10"/>
      <c r="Q372" s="118"/>
      <c r="R372" s="74" t="s">
        <v>1593</v>
      </c>
      <c r="S372" s="19">
        <v>22999</v>
      </c>
      <c r="T372" s="12">
        <v>23918.959999999999</v>
      </c>
      <c r="U372" s="12">
        <v>24838.92</v>
      </c>
      <c r="V372" s="13"/>
      <c r="W372" s="13"/>
      <c r="X372" s="17">
        <v>250</v>
      </c>
    </row>
    <row r="373" spans="1:25">
      <c r="A373" s="21" t="s">
        <v>366</v>
      </c>
      <c r="B373" s="51" t="str">
        <f>IFERROR(HYPERLINK(VLOOKUP(A373,ÜRÜNLER!A:C,3,FALSE),VLOOKUP(A373,ÜRÜNLER!A:B,2,FALSE)),"")</f>
        <v>EQ6 plus s300 Tam Otomatik Kahve Makinesi, Gümüş</v>
      </c>
      <c r="C373" s="8"/>
      <c r="D373" s="8"/>
      <c r="E373" s="9"/>
      <c r="F373" s="9">
        <v>1</v>
      </c>
      <c r="G373" s="10"/>
      <c r="H373" s="10"/>
      <c r="I373" s="11"/>
      <c r="J373" s="11">
        <v>1</v>
      </c>
      <c r="K373" s="10"/>
      <c r="L373" s="10"/>
      <c r="M373" s="11">
        <v>1</v>
      </c>
      <c r="N373" s="134">
        <f t="shared" si="12"/>
        <v>3</v>
      </c>
      <c r="O373" s="135"/>
      <c r="P373" s="10"/>
      <c r="Q373" s="118"/>
      <c r="R373" s="74" t="s">
        <v>1593</v>
      </c>
      <c r="S373" s="18">
        <v>29000</v>
      </c>
      <c r="T373" s="12">
        <v>30160</v>
      </c>
      <c r="U373" s="12">
        <v>31320</v>
      </c>
      <c r="V373" s="13"/>
      <c r="W373" s="13"/>
      <c r="X373" s="17">
        <v>250</v>
      </c>
    </row>
    <row r="374" spans="1:25">
      <c r="A374" s="21" t="s">
        <v>367</v>
      </c>
      <c r="B374" s="51" t="str">
        <f>IFERROR(HYPERLINK(VLOOKUP(A374,ÜRÜNLER!A:C,3,FALSE),VLOOKUP(A374,ÜRÜNLER!A:B,2,FALSE)),"")</f>
        <v>EQ6 plus s500 Tam Otomatik Kahve Makinesi, Sabah Sisi Grisi</v>
      </c>
      <c r="C374" s="8">
        <v>52</v>
      </c>
      <c r="D374" s="8"/>
      <c r="E374" s="9"/>
      <c r="F374" s="9">
        <v>5</v>
      </c>
      <c r="G374" s="10"/>
      <c r="H374" s="10"/>
      <c r="I374" s="11">
        <v>6</v>
      </c>
      <c r="J374" s="11"/>
      <c r="K374" s="10">
        <v>2</v>
      </c>
      <c r="L374" s="10"/>
      <c r="M374" s="11">
        <v>2</v>
      </c>
      <c r="N374" s="134">
        <f t="shared" si="12"/>
        <v>67</v>
      </c>
      <c r="O374" s="135"/>
      <c r="P374" s="10"/>
      <c r="Q374" s="118"/>
      <c r="R374" s="52">
        <v>43538.239389450049</v>
      </c>
      <c r="S374" s="45">
        <v>43538.239389450049</v>
      </c>
      <c r="T374" s="12">
        <v>45279.768965028052</v>
      </c>
      <c r="U374" s="12">
        <v>47021.298540606054</v>
      </c>
      <c r="V374" s="125">
        <v>5014</v>
      </c>
      <c r="W374" s="13"/>
      <c r="X374" s="17">
        <v>250</v>
      </c>
      <c r="Y374" t="s">
        <v>1615</v>
      </c>
    </row>
    <row r="375" spans="1:25">
      <c r="A375" s="21" t="s">
        <v>368</v>
      </c>
      <c r="B375" s="51" t="str">
        <f>IFERROR(HYPERLINK(VLOOKUP(A375,ÜRÜNLER!A:C,3,FALSE),VLOOKUP(A375,ÜRÜNLER!A:B,2,FALSE)),"")</f>
        <v>EQ6 plus s700 Tam Otomatik Kahve Makinesi, DarkInox/Siyah</v>
      </c>
      <c r="C375" s="8">
        <v>64</v>
      </c>
      <c r="D375" s="8"/>
      <c r="E375" s="9"/>
      <c r="F375" s="9">
        <v>6</v>
      </c>
      <c r="G375" s="10"/>
      <c r="H375" s="10"/>
      <c r="I375" s="11">
        <v>1</v>
      </c>
      <c r="J375" s="11">
        <v>2</v>
      </c>
      <c r="K375" s="10">
        <v>1</v>
      </c>
      <c r="L375" s="10"/>
      <c r="M375" s="11">
        <v>4</v>
      </c>
      <c r="N375" s="134">
        <f t="shared" si="12"/>
        <v>78</v>
      </c>
      <c r="O375" s="135"/>
      <c r="P375" s="10"/>
      <c r="Q375" s="118"/>
      <c r="R375" s="52">
        <v>47135.971069032945</v>
      </c>
      <c r="S375" s="25">
        <v>47135.971069032945</v>
      </c>
      <c r="T375" s="12">
        <v>49021.409911794261</v>
      </c>
      <c r="U375" s="12">
        <v>50906.848754555584</v>
      </c>
      <c r="V375" s="125">
        <v>7006</v>
      </c>
      <c r="W375" s="13"/>
      <c r="X375" s="17">
        <v>250</v>
      </c>
      <c r="Y375" t="s">
        <v>1615</v>
      </c>
    </row>
    <row r="376" spans="1:25">
      <c r="A376" s="142" t="s">
        <v>369</v>
      </c>
      <c r="B376" s="51" t="str">
        <f>IFERROR(HYPERLINK(VLOOKUP(A376,ÜRÜNLER!A:C,3,FALSE),VLOOKUP(A376,ÜRÜNLER!A:B,2,FALSE)),"")</f>
        <v>EQ300 Tam Otomatik Kahve Makinesi, Siyah</v>
      </c>
      <c r="C376" s="8"/>
      <c r="D376" s="8"/>
      <c r="E376" s="9"/>
      <c r="F376" s="9">
        <v>3</v>
      </c>
      <c r="G376" s="10"/>
      <c r="H376" s="10"/>
      <c r="I376" s="11">
        <v>2</v>
      </c>
      <c r="J376" s="11">
        <v>1</v>
      </c>
      <c r="K376" s="10">
        <v>2</v>
      </c>
      <c r="L376" s="10"/>
      <c r="M376" s="11"/>
      <c r="N376" s="134">
        <f t="shared" si="12"/>
        <v>8</v>
      </c>
      <c r="O376" s="135"/>
      <c r="P376" s="10"/>
      <c r="Q376" s="118"/>
      <c r="R376" s="74" t="s">
        <v>1593</v>
      </c>
      <c r="S376" s="19">
        <v>15999</v>
      </c>
      <c r="T376" s="12">
        <v>16638.96</v>
      </c>
      <c r="U376" s="12">
        <v>17278.919999999998</v>
      </c>
      <c r="V376" s="13"/>
      <c r="W376" s="13"/>
      <c r="X376" s="17">
        <v>250</v>
      </c>
    </row>
    <row r="377" spans="1:25">
      <c r="A377" s="142" t="s">
        <v>370</v>
      </c>
      <c r="B377" s="51" t="str">
        <f>IFERROR(HYPERLINK(VLOOKUP(A377,ÜRÜNLER!A:C,3,FALSE),VLOOKUP(A377,ÜRÜNLER!A:B,2,FALSE)),"")</f>
        <v>EQ300 Tam Otomatik Kahve Makinesi, Şampanya/Siyah</v>
      </c>
      <c r="C377" s="8"/>
      <c r="D377" s="8"/>
      <c r="E377" s="9"/>
      <c r="F377" s="9">
        <v>1</v>
      </c>
      <c r="G377" s="10"/>
      <c r="H377" s="10"/>
      <c r="I377" s="11">
        <v>1</v>
      </c>
      <c r="J377" s="11">
        <v>1</v>
      </c>
      <c r="K377" s="10">
        <v>2</v>
      </c>
      <c r="L377" s="10"/>
      <c r="M377" s="11">
        <v>1</v>
      </c>
      <c r="N377" s="134">
        <f t="shared" si="12"/>
        <v>6</v>
      </c>
      <c r="O377" s="135"/>
      <c r="P377" s="10"/>
      <c r="Q377" s="118"/>
      <c r="R377" s="74" t="s">
        <v>1593</v>
      </c>
      <c r="S377" s="19">
        <v>15999</v>
      </c>
      <c r="T377" s="12">
        <v>16638.96</v>
      </c>
      <c r="U377" s="12">
        <v>17278.919999999998</v>
      </c>
      <c r="V377" s="13"/>
      <c r="W377" s="13"/>
      <c r="X377" s="17">
        <v>250</v>
      </c>
    </row>
    <row r="378" spans="1:25">
      <c r="A378" s="142" t="s">
        <v>371</v>
      </c>
      <c r="B378" s="51" t="str">
        <f>IFERROR(HYPERLINK(VLOOKUP(A378,ÜRÜNLER!A:C,3,FALSE),VLOOKUP(A378,ÜRÜNLER!A:B,2,FALSE)),"")</f>
        <v>EQ9 s300 Tam Otomatik Kahve Makinesi, Siyah</v>
      </c>
      <c r="C378" s="8"/>
      <c r="D378" s="8"/>
      <c r="E378" s="9"/>
      <c r="F378" s="9">
        <v>7</v>
      </c>
      <c r="G378" s="10"/>
      <c r="H378" s="10"/>
      <c r="I378" s="11">
        <v>1</v>
      </c>
      <c r="J378" s="11"/>
      <c r="K378" s="10">
        <v>5</v>
      </c>
      <c r="L378" s="10"/>
      <c r="M378" s="11">
        <v>1</v>
      </c>
      <c r="N378" s="134">
        <f t="shared" si="12"/>
        <v>14</v>
      </c>
      <c r="O378" s="135"/>
      <c r="P378" s="10"/>
      <c r="Q378" s="118"/>
      <c r="R378" s="74" t="s">
        <v>1593</v>
      </c>
      <c r="S378" s="19">
        <v>49999</v>
      </c>
      <c r="T378" s="12">
        <v>51998.96</v>
      </c>
      <c r="U378" s="12">
        <v>53998.92</v>
      </c>
      <c r="V378" s="13"/>
      <c r="W378" s="13"/>
      <c r="X378" s="17">
        <v>250</v>
      </c>
    </row>
    <row r="379" spans="1:25">
      <c r="A379" s="142" t="s">
        <v>372</v>
      </c>
      <c r="B379" s="51" t="str">
        <f>IFERROR(HYPERLINK(VLOOKUP(A379,ÜRÜNLER!A:C,3,FALSE),VLOOKUP(A379,ÜRÜNLER!A:B,2,FALSE)),"")</f>
        <v>EQ9 plus connect s500 Tam Otomatik Kahve Makinesi, Siyah</v>
      </c>
      <c r="C379" s="8"/>
      <c r="D379" s="8"/>
      <c r="E379" s="9"/>
      <c r="F379" s="9">
        <v>2</v>
      </c>
      <c r="G379" s="10"/>
      <c r="H379" s="10"/>
      <c r="I379" s="11">
        <v>2</v>
      </c>
      <c r="J379" s="11">
        <v>1</v>
      </c>
      <c r="K379" s="10">
        <v>2</v>
      </c>
      <c r="L379" s="10"/>
      <c r="M379" s="11">
        <v>1</v>
      </c>
      <c r="N379" s="134">
        <f t="shared" si="12"/>
        <v>8</v>
      </c>
      <c r="O379" s="135"/>
      <c r="P379" s="10"/>
      <c r="Q379" s="118"/>
      <c r="R379" s="74" t="s">
        <v>1593</v>
      </c>
      <c r="S379" s="19">
        <v>59999</v>
      </c>
      <c r="T379" s="12">
        <v>62398.96</v>
      </c>
      <c r="U379" s="12">
        <v>64798.92</v>
      </c>
      <c r="V379" s="13"/>
      <c r="W379" s="13"/>
      <c r="X379" s="17">
        <v>250</v>
      </c>
    </row>
    <row r="380" spans="1:25">
      <c r="A380" s="143" t="s">
        <v>373</v>
      </c>
      <c r="B380" s="51" t="str">
        <f>IFERROR(HYPERLINK(VLOOKUP(A380,ÜRÜNLER!A:C,3,FALSE),VLOOKUP(A380,ÜRÜNLER!A:B,2,FALSE)),"")</f>
        <v>EQ500 classic Tam Otomatik Kahve Makinesi, Piyano Siyahı</v>
      </c>
      <c r="C380" s="8"/>
      <c r="D380" s="8"/>
      <c r="E380" s="9"/>
      <c r="F380" s="9">
        <v>9</v>
      </c>
      <c r="G380" s="10"/>
      <c r="H380" s="10"/>
      <c r="I380" s="11">
        <v>4</v>
      </c>
      <c r="J380" s="11">
        <v>2</v>
      </c>
      <c r="K380" s="10">
        <v>1</v>
      </c>
      <c r="L380" s="10"/>
      <c r="M380" s="11"/>
      <c r="N380" s="134">
        <f t="shared" si="12"/>
        <v>16</v>
      </c>
      <c r="O380" s="135"/>
      <c r="P380" s="10"/>
      <c r="Q380" s="118"/>
      <c r="R380" s="74" t="s">
        <v>1593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43" t="s">
        <v>374</v>
      </c>
      <c r="B381" s="51" t="str">
        <f>IFERROR(HYPERLINK(VLOOKUP(A381,ÜRÜNLER!A:C,3,FALSE),VLOOKUP(A381,ÜRÜNLER!A:B,2,FALSE)),"")</f>
        <v>EQ500 classic Tam Otomatik Kahve Makinesi, Piyano Siyahı</v>
      </c>
      <c r="C381" s="8"/>
      <c r="D381" s="8"/>
      <c r="E381" s="9"/>
      <c r="F381" s="9">
        <v>4</v>
      </c>
      <c r="G381" s="10"/>
      <c r="H381" s="10"/>
      <c r="I381" s="11"/>
      <c r="J381" s="11">
        <v>1</v>
      </c>
      <c r="K381" s="10"/>
      <c r="L381" s="10"/>
      <c r="M381" s="11">
        <v>1</v>
      </c>
      <c r="N381" s="134">
        <f t="shared" si="12"/>
        <v>6</v>
      </c>
      <c r="O381" s="135"/>
      <c r="P381" s="10"/>
      <c r="Q381" s="118"/>
      <c r="R381" s="74" t="s">
        <v>1593</v>
      </c>
      <c r="S381" s="19">
        <v>19999</v>
      </c>
      <c r="T381" s="12">
        <v>20798.96</v>
      </c>
      <c r="U381" s="12">
        <v>21598.92</v>
      </c>
      <c r="V381" s="13"/>
      <c r="W381" s="13"/>
      <c r="X381" s="17">
        <v>250</v>
      </c>
    </row>
    <row r="382" spans="1:25">
      <c r="A382" s="166" t="s">
        <v>375</v>
      </c>
      <c r="B382" s="51" t="str">
        <f>IFERROR(HYPERLINK(VLOOKUP(A382,ÜRÜNLER!A:C,3,FALSE),VLOOKUP(A382,ÜRÜNLER!A:B,2,FALSE)),"")</f>
        <v>EQ500 classic Tam Otomatik Kahve Makinesi, Metalik Inox/Gümüş</v>
      </c>
      <c r="C382" s="8"/>
      <c r="D382" s="8"/>
      <c r="E382" s="9"/>
      <c r="F382" s="9">
        <v>3</v>
      </c>
      <c r="G382" s="10"/>
      <c r="H382" s="10"/>
      <c r="I382" s="11">
        <v>1</v>
      </c>
      <c r="J382" s="11"/>
      <c r="K382" s="10">
        <v>1</v>
      </c>
      <c r="L382" s="10"/>
      <c r="M382" s="11"/>
      <c r="N382" s="134">
        <f t="shared" si="12"/>
        <v>5</v>
      </c>
      <c r="O382" s="135"/>
      <c r="P382" s="10"/>
      <c r="Q382" s="118"/>
      <c r="R382" s="74" t="s">
        <v>1593</v>
      </c>
      <c r="S382" s="19">
        <v>19999</v>
      </c>
      <c r="T382" s="12">
        <v>20798.96</v>
      </c>
      <c r="U382" s="12">
        <v>21598.92</v>
      </c>
      <c r="V382" s="13"/>
      <c r="W382" s="13"/>
      <c r="X382" s="17">
        <v>250</v>
      </c>
    </row>
    <row r="383" spans="1:25">
      <c r="A383" s="166" t="s">
        <v>376</v>
      </c>
      <c r="B383" s="51" t="str">
        <f>IFERROR(HYPERLINK(VLOOKUP(A383,ÜRÜNLER!A:C,3,FALSE),VLOOKUP(A383,ÜRÜNLER!A:B,2,FALSE)),"")</f>
        <v>EQ500 classic Tam Otomatik Kahve Makinesi, Sabah Sisi Grisi</v>
      </c>
      <c r="C383" s="8"/>
      <c r="D383" s="8"/>
      <c r="E383" s="9"/>
      <c r="F383" s="9">
        <v>1</v>
      </c>
      <c r="G383" s="10"/>
      <c r="H383" s="10"/>
      <c r="I383" s="11"/>
      <c r="J383" s="11"/>
      <c r="K383" s="10"/>
      <c r="L383" s="10"/>
      <c r="M383" s="11">
        <v>1</v>
      </c>
      <c r="N383" s="134">
        <f t="shared" si="12"/>
        <v>2</v>
      </c>
      <c r="O383" s="135"/>
      <c r="P383" s="10"/>
      <c r="Q383" s="118"/>
      <c r="R383" s="74" t="s">
        <v>1593</v>
      </c>
      <c r="S383" s="19">
        <v>24999</v>
      </c>
      <c r="T383" s="12">
        <v>25998.959999999999</v>
      </c>
      <c r="U383" s="12">
        <v>26998.92</v>
      </c>
      <c r="V383" s="13"/>
      <c r="W383" s="13"/>
      <c r="X383" s="17">
        <v>250</v>
      </c>
    </row>
    <row r="384" spans="1:25">
      <c r="A384" s="167" t="s">
        <v>377</v>
      </c>
      <c r="B384" s="51" t="str">
        <f>IFERROR(HYPERLINK(VLOOKUP(A384,ÜRÜNLER!A:C,3,FALSE),VLOOKUP(A384,ÜRÜNLER!A:B,2,FALSE)),"")</f>
        <v>EQ500 classic connect Tam Otomatik Kahve Makinesi, Inox/Siyah</v>
      </c>
      <c r="C384" s="8">
        <v>13</v>
      </c>
      <c r="D384" s="8"/>
      <c r="E384" s="9"/>
      <c r="F384" s="9">
        <v>10</v>
      </c>
      <c r="G384" s="10"/>
      <c r="H384" s="10"/>
      <c r="I384" s="11">
        <v>2</v>
      </c>
      <c r="J384" s="11"/>
      <c r="K384" s="10">
        <v>1</v>
      </c>
      <c r="L384" s="10"/>
      <c r="M384" s="11">
        <v>1</v>
      </c>
      <c r="N384" s="134">
        <f t="shared" si="12"/>
        <v>27</v>
      </c>
      <c r="O384" s="135"/>
      <c r="P384" s="10"/>
      <c r="Q384" s="118"/>
      <c r="R384" s="52">
        <v>38484.25199305846</v>
      </c>
      <c r="S384" s="132">
        <v>38484.25199305846</v>
      </c>
      <c r="T384" s="12">
        <v>40023.622072780796</v>
      </c>
      <c r="U384" s="12">
        <v>41562.992152503139</v>
      </c>
      <c r="V384" s="125">
        <v>6382</v>
      </c>
      <c r="W384" s="13"/>
      <c r="X384" s="17">
        <v>250</v>
      </c>
      <c r="Y384" t="s">
        <v>1615</v>
      </c>
    </row>
    <row r="385" spans="1:25">
      <c r="A385" s="167" t="s">
        <v>378</v>
      </c>
      <c r="B385" s="51" t="str">
        <f>IFERROR(HYPERLINK(VLOOKUP(A385,ÜRÜNLER!A:C,3,FALSE),VLOOKUP(A385,ÜRÜNLER!A:B,2,FALSE)),"")</f>
        <v>EQ500 classic Tam Otomatik Kahve Makinesi, Inox/Siyah</v>
      </c>
      <c r="C385" s="8">
        <v>77</v>
      </c>
      <c r="D385" s="8"/>
      <c r="E385" s="9"/>
      <c r="F385" s="9">
        <v>4</v>
      </c>
      <c r="G385" s="10"/>
      <c r="H385" s="10"/>
      <c r="I385" s="11">
        <v>11</v>
      </c>
      <c r="J385" s="11">
        <v>5</v>
      </c>
      <c r="K385" s="10">
        <v>1</v>
      </c>
      <c r="L385" s="10"/>
      <c r="M385" s="11">
        <v>3</v>
      </c>
      <c r="N385" s="134">
        <f t="shared" si="12"/>
        <v>101</v>
      </c>
      <c r="O385" s="135">
        <v>5</v>
      </c>
      <c r="P385" s="10"/>
      <c r="Q385" s="118"/>
      <c r="R385" s="52">
        <v>30282.690092898465</v>
      </c>
      <c r="S385" s="132">
        <v>30282.690092898465</v>
      </c>
      <c r="T385" s="12">
        <v>31493.997696614402</v>
      </c>
      <c r="U385" s="12">
        <v>32705.305300330343</v>
      </c>
      <c r="V385" s="125">
        <v>4602</v>
      </c>
      <c r="W385" s="13"/>
      <c r="X385" s="17">
        <v>250</v>
      </c>
      <c r="Y385" t="s">
        <v>1615</v>
      </c>
    </row>
    <row r="386" spans="1:25">
      <c r="A386" s="143" t="s">
        <v>379</v>
      </c>
      <c r="B386" s="51" t="str">
        <f>IFERROR(HYPERLINK(VLOOKUP(A386,ÜRÜNLER!A:C,3,FALSE),VLOOKUP(A386,ÜRÜNLER!A:B,2,FALSE)),"")</f>
        <v>EQ700 classic Tam Otomatik Kahve Makinesi, Piyano Siyahı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/>
      <c r="N386" s="134">
        <f t="shared" si="12"/>
        <v>1</v>
      </c>
      <c r="O386" s="135"/>
      <c r="P386" s="10"/>
      <c r="Q386" s="118"/>
      <c r="R386" s="74" t="s">
        <v>1593</v>
      </c>
      <c r="S386" s="19">
        <v>45000</v>
      </c>
      <c r="T386" s="12">
        <v>46800</v>
      </c>
      <c r="U386" s="12">
        <v>48600</v>
      </c>
      <c r="V386" s="13"/>
      <c r="W386" s="13"/>
      <c r="X386" s="17">
        <v>250</v>
      </c>
    </row>
    <row r="387" spans="1:25">
      <c r="A387" s="166" t="s">
        <v>380</v>
      </c>
      <c r="B387" s="51" t="str">
        <f>IFERROR(HYPERLINK(VLOOKUP(A387,ÜRÜNLER!A:C,3,FALSE),VLOOKUP(A387,ÜRÜNLER!A:B,2,FALSE)),"")</f>
        <v>EQ700 classic Tam Otomatik Kahve Makinesi, Piyano Siyahı</v>
      </c>
      <c r="C387" s="8"/>
      <c r="D387" s="8"/>
      <c r="E387" s="9"/>
      <c r="F387" s="9"/>
      <c r="G387" s="10"/>
      <c r="H387" s="10"/>
      <c r="I387" s="11">
        <v>1</v>
      </c>
      <c r="J387" s="11"/>
      <c r="K387" s="10"/>
      <c r="L387" s="10"/>
      <c r="M387" s="11"/>
      <c r="N387" s="134">
        <f t="shared" si="12"/>
        <v>1</v>
      </c>
      <c r="O387" s="135"/>
      <c r="P387" s="10"/>
      <c r="Q387" s="118"/>
      <c r="R387" s="74" t="s">
        <v>1593</v>
      </c>
      <c r="S387" s="19">
        <v>40000</v>
      </c>
      <c r="T387" s="12">
        <v>41600</v>
      </c>
      <c r="U387" s="12">
        <v>43200</v>
      </c>
      <c r="V387" s="13"/>
      <c r="W387" s="13"/>
      <c r="X387" s="17">
        <v>250</v>
      </c>
    </row>
    <row r="388" spans="1:25">
      <c r="A388" s="166" t="s">
        <v>381</v>
      </c>
      <c r="B388" s="51" t="str">
        <f>IFERROR(HYPERLINK(VLOOKUP(A388,ÜRÜNLER!A:C,3,FALSE),VLOOKUP(A388,ÜRÜNLER!A:B,2,FALSE)),"")</f>
        <v>EQ700 classic Tam Otomatik Kahve Makinesi, Piyano Siyahı</v>
      </c>
      <c r="C388" s="8">
        <v>17</v>
      </c>
      <c r="D388" s="8"/>
      <c r="E388" s="9"/>
      <c r="F388" s="9"/>
      <c r="G388" s="10"/>
      <c r="H388" s="10"/>
      <c r="I388" s="11"/>
      <c r="J388" s="11">
        <v>3</v>
      </c>
      <c r="K388" s="10"/>
      <c r="L388" s="10"/>
      <c r="M388" s="11">
        <v>3</v>
      </c>
      <c r="N388" s="134">
        <f t="shared" si="12"/>
        <v>23</v>
      </c>
      <c r="O388" s="135"/>
      <c r="P388" s="10"/>
      <c r="Q388" s="118"/>
      <c r="R388" s="52">
        <v>52494.176938714467</v>
      </c>
      <c r="S388" s="18">
        <v>52494.176938714467</v>
      </c>
      <c r="T388" s="12">
        <v>54593.944016263049</v>
      </c>
      <c r="U388" s="12">
        <v>56693.711093811624</v>
      </c>
      <c r="V388" s="125">
        <v>4337</v>
      </c>
      <c r="W388" s="13"/>
      <c r="X388" s="17">
        <v>250</v>
      </c>
      <c r="Y388" t="s">
        <v>1615</v>
      </c>
    </row>
    <row r="389" spans="1:25">
      <c r="A389" s="142" t="s">
        <v>382</v>
      </c>
      <c r="B389" s="51" t="str">
        <f>IFERROR(HYPERLINK(VLOOKUP(A389,ÜRÜNLER!A:C,3,FALSE),VLOOKUP(A389,ÜRÜNLER!A:B,2,FALSE)),"")</f>
        <v>EQ500 integral Tam Otomatik Kahve Makinesi, Metalik Safir Siyahı</v>
      </c>
      <c r="C389" s="8"/>
      <c r="D389" s="8"/>
      <c r="E389" s="9"/>
      <c r="F389" s="9"/>
      <c r="G389" s="10"/>
      <c r="H389" s="10"/>
      <c r="I389" s="11">
        <v>3</v>
      </c>
      <c r="J389" s="11">
        <v>1</v>
      </c>
      <c r="K389" s="10">
        <v>1</v>
      </c>
      <c r="L389" s="10"/>
      <c r="M389" s="11">
        <v>2</v>
      </c>
      <c r="N389" s="134">
        <f t="shared" si="12"/>
        <v>7</v>
      </c>
      <c r="O389" s="135"/>
      <c r="P389" s="10"/>
      <c r="Q389" s="118"/>
      <c r="R389" s="74" t="s">
        <v>1593</v>
      </c>
      <c r="S389" s="19">
        <v>24000</v>
      </c>
      <c r="T389" s="12">
        <v>24960</v>
      </c>
      <c r="U389" s="12">
        <v>25920</v>
      </c>
      <c r="V389" s="13"/>
      <c r="W389" s="13"/>
      <c r="X389" s="17">
        <v>250</v>
      </c>
    </row>
    <row r="390" spans="1:25">
      <c r="A390" s="148" t="s">
        <v>383</v>
      </c>
      <c r="B390" s="51" t="str">
        <f>IFERROR(HYPERLINK(VLOOKUP(A390,ÜRÜNLER!A:C,3,FALSE),VLOOKUP(A390,ÜRÜNLER!A:B,2,FALSE)),"")</f>
        <v>EQ500 integral Tam Otomatik Kahve Makinesi, Inox</v>
      </c>
      <c r="C390" s="8"/>
      <c r="D390" s="8"/>
      <c r="E390" s="9"/>
      <c r="F390" s="9">
        <v>4</v>
      </c>
      <c r="G390" s="10"/>
      <c r="H390" s="10"/>
      <c r="I390" s="11">
        <v>1</v>
      </c>
      <c r="J390" s="11">
        <v>1</v>
      </c>
      <c r="K390" s="10">
        <v>1</v>
      </c>
      <c r="L390" s="10"/>
      <c r="M390" s="11">
        <v>1</v>
      </c>
      <c r="N390" s="134">
        <f t="shared" si="12"/>
        <v>8</v>
      </c>
      <c r="O390" s="135"/>
      <c r="P390" s="10"/>
      <c r="Q390" s="118"/>
      <c r="R390" s="74" t="s">
        <v>1593</v>
      </c>
      <c r="S390" s="19">
        <v>23000</v>
      </c>
      <c r="T390" s="12">
        <v>23920</v>
      </c>
      <c r="U390" s="12">
        <v>24840</v>
      </c>
      <c r="V390" s="13"/>
      <c r="W390" s="13"/>
      <c r="X390" s="17">
        <v>250</v>
      </c>
    </row>
    <row r="391" spans="1:25">
      <c r="A391" s="168" t="s">
        <v>384</v>
      </c>
      <c r="B391" s="51" t="str">
        <f>IFERROR(HYPERLINK(VLOOKUP(A391,ÜRÜNLER!A:C,3,FALSE),VLOOKUP(A391,ÜRÜNLER!A:B,2,FALSE)),"")</f>
        <v>EQ700 integral Tam Otomatik Kahve Makinesi, Metalik Inox/Gümüş</v>
      </c>
      <c r="C391" s="8"/>
      <c r="D391" s="8"/>
      <c r="E391" s="9"/>
      <c r="F391" s="9">
        <v>1</v>
      </c>
      <c r="G391" s="10"/>
      <c r="H391" s="10"/>
      <c r="I391" s="11">
        <v>1</v>
      </c>
      <c r="J391" s="11">
        <v>1</v>
      </c>
      <c r="K391" s="10"/>
      <c r="L391" s="10"/>
      <c r="M391" s="11"/>
      <c r="N391" s="134">
        <f t="shared" si="12"/>
        <v>3</v>
      </c>
      <c r="O391" s="135"/>
      <c r="P391" s="10"/>
      <c r="Q391" s="118"/>
      <c r="R391" s="74" t="s">
        <v>1593</v>
      </c>
      <c r="S391" s="19">
        <v>39999</v>
      </c>
      <c r="T391" s="12">
        <v>41598.959999999999</v>
      </c>
      <c r="U391" s="12">
        <v>43198.92</v>
      </c>
      <c r="V391" s="13"/>
      <c r="W391" s="13"/>
      <c r="X391" s="17">
        <v>250</v>
      </c>
    </row>
    <row r="392" spans="1:25">
      <c r="A392" s="168" t="s">
        <v>385</v>
      </c>
      <c r="B392" s="51" t="str">
        <f>IFERROR(HYPERLINK(VLOOKUP(A392,ÜRÜNLER!A:C,3,FALSE),VLOOKUP(A392,ÜRÜNLER!A:B,2,FALSE)),"")</f>
        <v>EQ700 Tam Otomatik Kahve Makinesi, Paslanmaz Çelik</v>
      </c>
      <c r="C392" s="8">
        <v>5</v>
      </c>
      <c r="D392" s="8"/>
      <c r="E392" s="9"/>
      <c r="F392" s="9">
        <v>4</v>
      </c>
      <c r="G392" s="10"/>
      <c r="H392" s="10"/>
      <c r="I392" s="11"/>
      <c r="J392" s="11"/>
      <c r="K392" s="10"/>
      <c r="L392" s="10"/>
      <c r="M392" s="11">
        <v>1</v>
      </c>
      <c r="N392" s="134">
        <f t="shared" si="12"/>
        <v>10</v>
      </c>
      <c r="O392" s="135"/>
      <c r="P392" s="10"/>
      <c r="Q392" s="118"/>
      <c r="R392" s="52">
        <v>56989.324165687103</v>
      </c>
      <c r="S392" s="25">
        <v>56989.324165687103</v>
      </c>
      <c r="T392" s="12">
        <v>59268.897132314589</v>
      </c>
      <c r="U392" s="12">
        <v>61548.470098942074</v>
      </c>
      <c r="V392" s="125">
        <v>6423</v>
      </c>
      <c r="W392" s="13"/>
      <c r="X392" s="17">
        <v>250</v>
      </c>
      <c r="Y392" t="s">
        <v>1615</v>
      </c>
    </row>
    <row r="393" spans="1:25">
      <c r="A393" s="142" t="s">
        <v>386</v>
      </c>
      <c r="B393" s="51" t="str">
        <f>IFERROR(HYPERLINK(VLOOKUP(A393,ÜRÜNLER!A:C,3,FALSE),VLOOKUP(A393,ÜRÜNLER!A:B,2,FALSE)),"")</f>
        <v>EQ900 Tam Otomatik Kahve Makinesi, Paslanmaz Çelik</v>
      </c>
      <c r="C393" s="8">
        <v>19</v>
      </c>
      <c r="D393" s="8"/>
      <c r="E393" s="9"/>
      <c r="F393" s="9"/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4">
        <f t="shared" si="12"/>
        <v>23</v>
      </c>
      <c r="O393" s="135"/>
      <c r="P393" s="10"/>
      <c r="Q393" s="118"/>
      <c r="R393" s="52">
        <v>80886.471339026728</v>
      </c>
      <c r="S393" s="25">
        <v>80886.471339026728</v>
      </c>
      <c r="T393" s="12">
        <v>84121.930192587795</v>
      </c>
      <c r="U393" s="12">
        <v>87357.389046148863</v>
      </c>
      <c r="V393" s="125">
        <v>8646</v>
      </c>
      <c r="W393" s="13"/>
      <c r="X393" s="17">
        <v>250</v>
      </c>
      <c r="Y393" t="s">
        <v>1615</v>
      </c>
    </row>
    <row r="394" spans="1:25">
      <c r="A394" s="142" t="s">
        <v>387</v>
      </c>
      <c r="B394" s="51" t="str">
        <f>IFERROR(HYPERLINK(VLOOKUP(A394,ÜRÜNLER!A:C,3,FALSE),VLOOKUP(A394,ÜRÜNLER!A:B,2,FALSE)),"")</f>
        <v>EQ900 plus Tam Otomatik Kahve Makinesi, Inox</v>
      </c>
      <c r="C394" s="8">
        <v>10</v>
      </c>
      <c r="D394" s="8"/>
      <c r="E394" s="9"/>
      <c r="F394" s="9"/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11</v>
      </c>
      <c r="O394" s="135">
        <v>1</v>
      </c>
      <c r="P394" s="10"/>
      <c r="Q394" s="118"/>
      <c r="R394" s="52">
        <v>101776.37741443558</v>
      </c>
      <c r="S394" s="25">
        <v>101776.37741443558</v>
      </c>
      <c r="T394" s="12">
        <v>105847.432511013</v>
      </c>
      <c r="U394" s="12">
        <v>109918.48760759043</v>
      </c>
      <c r="V394" s="125">
        <v>13481</v>
      </c>
      <c r="W394" s="13"/>
      <c r="X394" s="17">
        <v>250</v>
      </c>
      <c r="Y394" t="s">
        <v>1615</v>
      </c>
    </row>
    <row r="395" spans="1:25">
      <c r="A395" s="148" t="s">
        <v>388</v>
      </c>
      <c r="B395" s="51" t="str">
        <f>IFERROR(HYPERLINK(VLOOKUP(A395,ÜRÜNLER!A:C,3,FALSE),VLOOKUP(A395,ÜRÜNLER!A:B,2,FALSE)),"")</f>
        <v>iQ700 Sıcak Tutma Çekmecesi, 60x14cm, Siyah</v>
      </c>
      <c r="C395" s="8">
        <v>1</v>
      </c>
      <c r="D395" s="8"/>
      <c r="E395" s="9"/>
      <c r="F395" s="9">
        <v>1</v>
      </c>
      <c r="G395" s="10"/>
      <c r="H395" s="10"/>
      <c r="I395" s="11">
        <v>1</v>
      </c>
      <c r="J395" s="11">
        <v>1</v>
      </c>
      <c r="K395" s="10">
        <v>1</v>
      </c>
      <c r="L395" s="10"/>
      <c r="M395" s="11"/>
      <c r="N395" s="134">
        <f t="shared" si="12"/>
        <v>5</v>
      </c>
      <c r="O395" s="135"/>
      <c r="P395" s="10"/>
      <c r="Q395" s="118"/>
      <c r="R395" s="74" t="s">
        <v>1593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8" t="s">
        <v>1501</v>
      </c>
      <c r="B396" s="51" t="str">
        <f>IFERROR(HYPERLINK(VLOOKUP(A396,ÜRÜNLER!A:C,3,FALSE),VLOOKUP(A396,ÜRÜNLER!A:B,2,FALSE)),"")</f>
        <v>iQ700 Sıcak Tutma Çekmecesi, 60x14cm, Siyah</v>
      </c>
      <c r="C396" s="8"/>
      <c r="D396" s="8"/>
      <c r="E396" s="9"/>
      <c r="F396" s="9"/>
      <c r="G396" s="10"/>
      <c r="H396" s="10"/>
      <c r="I396" s="11"/>
      <c r="J396" s="11"/>
      <c r="K396" s="10"/>
      <c r="L396" s="10"/>
      <c r="M396" s="11"/>
      <c r="N396" s="134">
        <f t="shared" si="12"/>
        <v>0</v>
      </c>
      <c r="O396" s="135">
        <v>1</v>
      </c>
      <c r="P396" s="176">
        <v>1</v>
      </c>
      <c r="Q396" s="118"/>
      <c r="R396" s="52">
        <v>51351</v>
      </c>
      <c r="S396" s="25">
        <v>51351</v>
      </c>
      <c r="T396" s="12">
        <v>53405.04</v>
      </c>
      <c r="U396" s="12">
        <v>55459.08</v>
      </c>
      <c r="V396" s="13"/>
      <c r="W396" s="13"/>
      <c r="X396" s="17"/>
    </row>
    <row r="397" spans="1:25">
      <c r="A397" s="141" t="s">
        <v>389</v>
      </c>
      <c r="B397" s="51" t="str">
        <f>IFERROR(HYPERLINK(VLOOKUP(A397,ÜRÜNLER!A:C,3,FALSE),VLOOKUP(A397,ÜRÜNLER!A:B,2,FALSE)),"")</f>
        <v>iQ700 Sıcak Tutma Çekmecesi, 60x14cm, Beyaz</v>
      </c>
      <c r="C397" s="8">
        <v>1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/>
      <c r="N397" s="134">
        <f t="shared" si="12"/>
        <v>1</v>
      </c>
      <c r="O397" s="135"/>
      <c r="P397" s="10"/>
      <c r="Q397" s="118"/>
      <c r="R397" s="74" t="s">
        <v>1593</v>
      </c>
      <c r="S397" s="19">
        <v>49999</v>
      </c>
      <c r="T397" s="12">
        <v>51998.96</v>
      </c>
      <c r="U397" s="12">
        <v>53998.92</v>
      </c>
      <c r="V397" s="13"/>
      <c r="W397" s="13"/>
      <c r="X397" s="17">
        <v>250</v>
      </c>
    </row>
    <row r="398" spans="1:25">
      <c r="A398" s="141" t="s">
        <v>390</v>
      </c>
      <c r="B398" s="51" t="str">
        <f>IFERROR(HYPERLINK(VLOOKUP(A398,ÜRÜNLER!A:C,3,FALSE),VLOOKUP(A398,ÜRÜNLER!A:B,2,FALSE)),"")</f>
        <v>iQ700 studioLine Sıcak Tutma Çekmecesi, 60x14cm, Siyah</v>
      </c>
      <c r="C398" s="8"/>
      <c r="D398" s="8">
        <v>1</v>
      </c>
      <c r="E398" s="9"/>
      <c r="F398" s="9"/>
      <c r="G398" s="10"/>
      <c r="H398" s="10">
        <v>1</v>
      </c>
      <c r="I398" s="11"/>
      <c r="J398" s="11"/>
      <c r="K398" s="10"/>
      <c r="L398" s="10"/>
      <c r="M398" s="11"/>
      <c r="N398" s="134">
        <f t="shared" si="12"/>
        <v>2</v>
      </c>
      <c r="O398" s="135"/>
      <c r="P398" s="10"/>
      <c r="Q398" s="118"/>
      <c r="R398" s="74" t="s">
        <v>1593</v>
      </c>
      <c r="S398" s="18">
        <v>40000</v>
      </c>
      <c r="T398" s="12">
        <v>41600</v>
      </c>
      <c r="U398" s="12">
        <v>43200</v>
      </c>
      <c r="V398" s="13"/>
      <c r="W398" s="13"/>
      <c r="X398" s="14">
        <v>500</v>
      </c>
    </row>
    <row r="399" spans="1:25" ht="21">
      <c r="A399" s="35" t="s">
        <v>393</v>
      </c>
      <c r="B399" s="51" t="str">
        <f>IFERROR(HYPERLINK(VLOOKUP(A399,ÜRÜNLER!A:C,3,FALSE),VLOOKUP(A399,ÜRÜNLER!A:B,2,FALSE)),"")</f>
        <v/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/>
      <c r="O399" s="135"/>
      <c r="P399" s="10"/>
      <c r="Q399" s="118"/>
      <c r="S399" s="15"/>
      <c r="T399" s="12"/>
      <c r="U399" s="12"/>
      <c r="V399" s="174"/>
      <c r="W399" s="13"/>
      <c r="X399" s="50"/>
    </row>
    <row r="400" spans="1:25">
      <c r="A400" s="21" t="s">
        <v>394</v>
      </c>
      <c r="B400" s="51" t="str">
        <f>IFERROR(HYPERLINK(VLOOKUP(A400,ÜRÜNLER!A:C,3,FALSE),VLOOKUP(A400,ÜRÜNLER!A:B,2,FALSE)),"")</f>
        <v>iQ500 Dik Şarjlı Elektrik Süpürgesi</v>
      </c>
      <c r="C400" s="8">
        <v>5</v>
      </c>
      <c r="D400" s="8"/>
      <c r="E400" s="9"/>
      <c r="F400" s="9">
        <v>1</v>
      </c>
      <c r="G400" s="10"/>
      <c r="H400" s="10"/>
      <c r="I400" s="11">
        <v>2</v>
      </c>
      <c r="J400" s="11">
        <v>7</v>
      </c>
      <c r="K400" s="10">
        <v>1</v>
      </c>
      <c r="L400" s="10"/>
      <c r="M400" s="11">
        <v>4</v>
      </c>
      <c r="N400" s="134">
        <f t="shared" ref="N400:N416" si="13">M400+L400+K400+J400+I400+H400+G400+F400+E400+D400+C400</f>
        <v>20</v>
      </c>
      <c r="O400" s="135"/>
      <c r="P400" s="10"/>
      <c r="Q400" s="118"/>
      <c r="R400" s="52">
        <v>15127.921517402399</v>
      </c>
      <c r="S400" s="25">
        <v>15127.921517402399</v>
      </c>
      <c r="T400" s="12">
        <v>15733.038378098496</v>
      </c>
      <c r="U400" s="12">
        <v>16338.155238794592</v>
      </c>
      <c r="V400" s="76">
        <v>2853</v>
      </c>
      <c r="W400" s="13"/>
      <c r="X400" s="14">
        <v>250</v>
      </c>
      <c r="Y400" t="s">
        <v>1616</v>
      </c>
    </row>
    <row r="401" spans="1:25">
      <c r="A401" s="21" t="s">
        <v>395</v>
      </c>
      <c r="B401" s="51" t="str">
        <f>IFERROR(HYPERLINK(VLOOKUP(A401,ÜRÜNLER!A:C,3,FALSE),VLOOKUP(A401,ÜRÜNLER!A:B,2,FALSE)),"")</f>
        <v>iQ500 Dik Şarjlı Elektrik Süpürgesi, Çift Bataryalı</v>
      </c>
      <c r="C401" s="8">
        <v>26</v>
      </c>
      <c r="D401" s="8"/>
      <c r="E401" s="9"/>
      <c r="F401" s="9"/>
      <c r="G401" s="10"/>
      <c r="H401" s="10"/>
      <c r="I401" s="11">
        <v>2</v>
      </c>
      <c r="J401" s="11">
        <v>6</v>
      </c>
      <c r="K401" s="10">
        <v>2</v>
      </c>
      <c r="L401" s="10"/>
      <c r="M401" s="11">
        <v>2</v>
      </c>
      <c r="N401" s="134">
        <f t="shared" si="13"/>
        <v>38</v>
      </c>
      <c r="O401" s="135"/>
      <c r="P401" s="10"/>
      <c r="Q401" s="118"/>
      <c r="R401" s="52">
        <v>20676.612007837331</v>
      </c>
      <c r="S401" s="25">
        <v>20676.612007837331</v>
      </c>
      <c r="T401" s="12">
        <v>21503.676488150824</v>
      </c>
      <c r="U401" s="12">
        <v>22330.740968464317</v>
      </c>
      <c r="V401" s="76">
        <v>2853</v>
      </c>
      <c r="W401" s="13"/>
      <c r="X401" s="14">
        <v>250</v>
      </c>
      <c r="Y401" t="s">
        <v>1616</v>
      </c>
    </row>
    <row r="402" spans="1:25">
      <c r="A402" s="21" t="s">
        <v>396</v>
      </c>
      <c r="B402" s="51" t="str">
        <f>IFERROR(HYPERLINK(VLOOKUP(A402,ÜRÜNLER!A:C,3,FALSE),VLOOKUP(A402,ÜRÜNLER!A:B,2,FALSE)),"")</f>
        <v>iQ500 Dik Şarjlı 2'li Süpürme&amp;Silme Elektrik Süpürgesi</v>
      </c>
      <c r="C402" s="8">
        <v>24</v>
      </c>
      <c r="D402" s="8"/>
      <c r="E402" s="9"/>
      <c r="F402" s="9"/>
      <c r="G402" s="10"/>
      <c r="H402" s="10"/>
      <c r="I402" s="11">
        <v>9</v>
      </c>
      <c r="J402" s="11">
        <v>5</v>
      </c>
      <c r="K402" s="10">
        <v>2</v>
      </c>
      <c r="L402" s="10"/>
      <c r="M402" s="11">
        <v>2</v>
      </c>
      <c r="N402" s="134">
        <f t="shared" si="13"/>
        <v>42</v>
      </c>
      <c r="O402" s="135"/>
      <c r="P402" s="10"/>
      <c r="Q402" s="118"/>
      <c r="R402" s="52">
        <v>21392.065710530664</v>
      </c>
      <c r="S402" s="25">
        <v>21392.065710530664</v>
      </c>
      <c r="T402" s="12">
        <v>22247.748338951889</v>
      </c>
      <c r="U402" s="12">
        <v>23103.430967373119</v>
      </c>
      <c r="V402" s="76">
        <v>4035</v>
      </c>
      <c r="W402" s="13"/>
      <c r="X402" s="14">
        <v>250</v>
      </c>
      <c r="Y402" t="s">
        <v>1616</v>
      </c>
    </row>
    <row r="403" spans="1:25">
      <c r="A403" s="21" t="s">
        <v>397</v>
      </c>
      <c r="B403" s="51" t="str">
        <f>IFERROR(HYPERLINK(VLOOKUP(A403,ÜRÜNLER!A:C,3,FALSE),VLOOKUP(A403,ÜRÜNLER!A:B,2,FALSE)),"")</f>
        <v>Toz torbalı Süpürge synchropower, 600w, Mavi</v>
      </c>
      <c r="C403" s="8"/>
      <c r="D403" s="8"/>
      <c r="E403" s="9"/>
      <c r="F403" s="9">
        <v>1</v>
      </c>
      <c r="G403" s="10"/>
      <c r="H403" s="10"/>
      <c r="I403" s="11">
        <v>1</v>
      </c>
      <c r="J403" s="11"/>
      <c r="K403" s="10">
        <v>1</v>
      </c>
      <c r="L403" s="10"/>
      <c r="M403" s="11"/>
      <c r="N403" s="134">
        <f t="shared" si="13"/>
        <v>3</v>
      </c>
      <c r="O403" s="135"/>
      <c r="P403" s="10"/>
      <c r="Q403" s="118"/>
      <c r="R403" s="52">
        <v>6792.3783293638653</v>
      </c>
      <c r="S403" s="25">
        <v>6792.3783293638653</v>
      </c>
      <c r="T403" s="12">
        <v>7064.0734625384202</v>
      </c>
      <c r="U403" s="12">
        <v>7335.7685957129743</v>
      </c>
      <c r="V403" s="13"/>
      <c r="W403" s="13"/>
      <c r="X403" s="14">
        <v>250</v>
      </c>
    </row>
    <row r="404" spans="1:25">
      <c r="A404" s="21" t="s">
        <v>398</v>
      </c>
      <c r="B404" s="51" t="str">
        <f>IFERROR(HYPERLINK(VLOOKUP(A404,ÜRÜNLER!A:C,3,FALSE),VLOOKUP(A404,ÜRÜNLER!A:B,2,FALSE)),"")</f>
        <v>iQ300 Toz Torbalı Süpürge, 600w, Kırmızı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/>
      <c r="L404" s="10"/>
      <c r="M404" s="11"/>
      <c r="N404" s="134">
        <f t="shared" si="13"/>
        <v>4</v>
      </c>
      <c r="O404" s="135"/>
      <c r="P404" s="10"/>
      <c r="Q404" s="118"/>
      <c r="R404" s="52">
        <v>7443.4323494792798</v>
      </c>
      <c r="S404" s="25">
        <v>7443.4323494792798</v>
      </c>
      <c r="T404" s="12">
        <v>7741.169643458451</v>
      </c>
      <c r="U404" s="12">
        <v>8038.9069374376222</v>
      </c>
      <c r="V404" s="13"/>
      <c r="W404" s="13"/>
      <c r="X404" s="14">
        <v>250</v>
      </c>
    </row>
    <row r="405" spans="1:25">
      <c r="A405" s="154" t="s">
        <v>399</v>
      </c>
      <c r="B405" s="51" t="str">
        <f>IFERROR(HYPERLINK(VLOOKUP(A405,ÜRÜNLER!A:C,3,FALSE),VLOOKUP(A405,ÜRÜNLER!A:B,2,FALSE)),"")</f>
        <v>iQ300 Toz Torbalı Süpürge, 600w, Mavi</v>
      </c>
      <c r="C405" s="8"/>
      <c r="D405" s="8"/>
      <c r="E405" s="9"/>
      <c r="F405" s="9"/>
      <c r="G405" s="10"/>
      <c r="H405" s="10"/>
      <c r="I405" s="11">
        <v>1</v>
      </c>
      <c r="J405" s="11">
        <v>1</v>
      </c>
      <c r="K405" s="10">
        <v>2</v>
      </c>
      <c r="L405" s="10"/>
      <c r="M405" s="11">
        <v>1</v>
      </c>
      <c r="N405" s="134">
        <f t="shared" si="13"/>
        <v>5</v>
      </c>
      <c r="O405" s="135"/>
      <c r="P405" s="10"/>
      <c r="Q405" s="118"/>
      <c r="R405" s="74" t="s">
        <v>1593</v>
      </c>
      <c r="S405" s="15">
        <v>6599</v>
      </c>
      <c r="T405" s="12">
        <v>6862.96</v>
      </c>
      <c r="U405" s="12">
        <v>7126.92</v>
      </c>
      <c r="V405" s="13"/>
      <c r="W405" s="13"/>
      <c r="X405" s="14">
        <v>250</v>
      </c>
    </row>
    <row r="406" spans="1:25">
      <c r="A406" s="154" t="s">
        <v>400</v>
      </c>
      <c r="B406" s="51" t="str">
        <f>IFERROR(HYPERLINK(VLOOKUP(A406,ÜRÜNLER!A:C,3,FALSE),VLOOKUP(A406,ÜRÜNLER!A:B,2,FALSE)),"")</f>
        <v>iQ300 Toz Torbalı Süpürge, 600w, Açık Mavi</v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>
        <v>1</v>
      </c>
      <c r="N406" s="134">
        <f t="shared" si="13"/>
        <v>1</v>
      </c>
      <c r="O406" s="135"/>
      <c r="P406" s="10"/>
      <c r="Q406" s="118"/>
      <c r="R406" s="74" t="s">
        <v>1593</v>
      </c>
      <c r="S406" s="19">
        <v>5999</v>
      </c>
      <c r="T406" s="12">
        <v>6238.96</v>
      </c>
      <c r="U406" s="12">
        <v>6478.92</v>
      </c>
      <c r="V406" s="13"/>
      <c r="W406" s="13"/>
      <c r="X406" s="14">
        <v>250</v>
      </c>
    </row>
    <row r="407" spans="1:25">
      <c r="A407" s="21" t="s">
        <v>401</v>
      </c>
      <c r="B407" s="51" t="str">
        <f>IFERROR(HYPERLINK(VLOOKUP(A407,ÜRÜNLER!A:C,3,FALSE),VLOOKUP(A407,ÜRÜNLER!A:B,2,FALSE)),"")</f>
        <v>iQ700 Toz Torbalı Süpürge, 650w, Beyaz</v>
      </c>
      <c r="C407" s="8"/>
      <c r="D407" s="8"/>
      <c r="E407" s="9"/>
      <c r="F407" s="9">
        <v>12</v>
      </c>
      <c r="G407" s="10"/>
      <c r="H407" s="10"/>
      <c r="I407" s="11">
        <v>5</v>
      </c>
      <c r="J407" s="11">
        <v>1</v>
      </c>
      <c r="K407" s="10">
        <v>2</v>
      </c>
      <c r="L407" s="10"/>
      <c r="M407" s="11">
        <v>3</v>
      </c>
      <c r="N407" s="134">
        <f t="shared" si="13"/>
        <v>23</v>
      </c>
      <c r="O407" s="135">
        <v>2</v>
      </c>
      <c r="P407" s="10"/>
      <c r="Q407" s="118"/>
      <c r="R407" s="52">
        <v>17385.606197683526</v>
      </c>
      <c r="S407" s="25">
        <v>17385.606197683526</v>
      </c>
      <c r="T407" s="12">
        <v>18081.030445590866</v>
      </c>
      <c r="U407" s="12">
        <v>18776.45469349821</v>
      </c>
      <c r="V407" s="13"/>
      <c r="W407" s="13"/>
      <c r="X407" s="14">
        <v>250</v>
      </c>
    </row>
    <row r="408" spans="1:25">
      <c r="A408" s="21" t="s">
        <v>402</v>
      </c>
      <c r="B408" s="51" t="str">
        <f>IFERROR(HYPERLINK(VLOOKUP(A408,ÜRÜNLER!A:C,3,FALSE),VLOOKUP(A408,ÜRÜNLER!A:B,2,FALSE)),"")</f>
        <v>iQ700 Toz Torbalı Süpürge, 650w, Kırmızı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0"/>
      <c r="M408" s="11">
        <v>1</v>
      </c>
      <c r="N408" s="134">
        <f t="shared" si="13"/>
        <v>2</v>
      </c>
      <c r="O408" s="135"/>
      <c r="P408" s="10"/>
      <c r="Q408" s="118"/>
      <c r="R408" s="74" t="s">
        <v>1593</v>
      </c>
      <c r="S408" s="19">
        <v>10999</v>
      </c>
      <c r="T408" s="12">
        <v>11438.96</v>
      </c>
      <c r="U408" s="12">
        <v>11878.92</v>
      </c>
      <c r="V408" s="13"/>
      <c r="W408" s="13"/>
      <c r="X408" s="14">
        <v>250</v>
      </c>
    </row>
    <row r="409" spans="1:25">
      <c r="A409" s="21" t="s">
        <v>403</v>
      </c>
      <c r="B409" s="51" t="str">
        <f>IFERROR(HYPERLINK(VLOOKUP(A409,ÜRÜNLER!A:C,3,FALSE),VLOOKUP(A409,ÜRÜNLER!A:B,2,FALSE)),"")</f>
        <v>iQ300 Plus Limited Edition Toz Torbalı Elektrik Süpürgesi, 750w, Kırmızı</v>
      </c>
      <c r="C409" s="8">
        <v>4</v>
      </c>
      <c r="D409" s="8"/>
      <c r="E409" s="9"/>
      <c r="F409" s="9"/>
      <c r="G409" s="10"/>
      <c r="H409" s="10"/>
      <c r="I409" s="11">
        <v>2</v>
      </c>
      <c r="J409" s="11">
        <v>5</v>
      </c>
      <c r="K409" s="10"/>
      <c r="L409" s="10"/>
      <c r="M409" s="11">
        <v>4</v>
      </c>
      <c r="N409" s="134">
        <f t="shared" si="13"/>
        <v>15</v>
      </c>
      <c r="O409" s="135"/>
      <c r="P409" s="10"/>
      <c r="Q409" s="118"/>
      <c r="R409" s="52">
        <v>11767.523492193133</v>
      </c>
      <c r="S409" s="25">
        <v>11767.523492193133</v>
      </c>
      <c r="T409" s="12">
        <v>12238.224431880859</v>
      </c>
      <c r="U409" s="12">
        <v>12708.925371568585</v>
      </c>
      <c r="V409" s="13"/>
      <c r="W409" s="13"/>
      <c r="X409" s="14">
        <v>250</v>
      </c>
    </row>
    <row r="410" spans="1:25">
      <c r="A410" s="142" t="s">
        <v>404</v>
      </c>
      <c r="B410" s="51" t="str">
        <f>IFERROR(HYPERLINK(VLOOKUP(A410,ÜRÜNLER!A:C,3,FALSE),VLOOKUP(A410,ÜRÜNLER!A:B,2,FALSE)),"")</f>
        <v>iQ300 Toz Torbasız Süpürge, 550w, Kırmızı</v>
      </c>
      <c r="C410" s="8">
        <v>1</v>
      </c>
      <c r="D410" s="8"/>
      <c r="E410" s="9"/>
      <c r="F410" s="9">
        <v>13</v>
      </c>
      <c r="G410" s="10"/>
      <c r="H410" s="10"/>
      <c r="I410" s="11">
        <v>6</v>
      </c>
      <c r="J410" s="11">
        <v>1</v>
      </c>
      <c r="K410" s="10">
        <v>24</v>
      </c>
      <c r="L410" s="10"/>
      <c r="M410" s="11">
        <v>2</v>
      </c>
      <c r="N410" s="134">
        <f t="shared" si="13"/>
        <v>47</v>
      </c>
      <c r="O410" s="135"/>
      <c r="P410" s="10"/>
      <c r="Q410" s="118"/>
      <c r="R410" s="52">
        <v>8503.8640100416742</v>
      </c>
      <c r="S410" s="25">
        <v>8503.8640100416742</v>
      </c>
      <c r="T410" s="12">
        <v>8844.0185704433406</v>
      </c>
      <c r="U410" s="12">
        <v>9184.1731308450089</v>
      </c>
      <c r="V410" s="76">
        <v>1534</v>
      </c>
      <c r="W410" s="13"/>
      <c r="X410" s="14">
        <v>250</v>
      </c>
      <c r="Y410" t="s">
        <v>1616</v>
      </c>
    </row>
    <row r="411" spans="1:25">
      <c r="A411" s="142" t="s">
        <v>405</v>
      </c>
      <c r="B411" s="51" t="str">
        <f>IFERROR(HYPERLINK(VLOOKUP(A411,ÜRÜNLER!A:C,3,FALSE),VLOOKUP(A411,ÜRÜNLER!A:B,2,FALSE)),"")</f>
        <v>iQ300 Toz Torbasız Süpürge, 750w, Mavi</v>
      </c>
      <c r="C411" s="8">
        <v>9</v>
      </c>
      <c r="D411" s="8"/>
      <c r="E411" s="9"/>
      <c r="F411" s="9">
        <v>5</v>
      </c>
      <c r="G411" s="10"/>
      <c r="H411" s="10"/>
      <c r="I411" s="11">
        <v>1</v>
      </c>
      <c r="J411" s="11">
        <v>4</v>
      </c>
      <c r="K411" s="10">
        <v>4</v>
      </c>
      <c r="L411" s="10"/>
      <c r="M411" s="11">
        <v>1</v>
      </c>
      <c r="N411" s="134">
        <f t="shared" si="13"/>
        <v>24</v>
      </c>
      <c r="O411" s="135"/>
      <c r="P411" s="10"/>
      <c r="Q411" s="118"/>
      <c r="R411" s="52">
        <v>10698.894345902496</v>
      </c>
      <c r="S411" s="25">
        <v>10698.894345902496</v>
      </c>
      <c r="T411" s="12">
        <v>11126.850119738596</v>
      </c>
      <c r="U411" s="12">
        <v>11554.805893574696</v>
      </c>
      <c r="V411" s="76">
        <v>1860</v>
      </c>
      <c r="W411" s="13"/>
      <c r="X411" s="14">
        <v>250</v>
      </c>
      <c r="Y411" t="s">
        <v>1616</v>
      </c>
    </row>
    <row r="412" spans="1:25">
      <c r="A412" s="142" t="s">
        <v>406</v>
      </c>
      <c r="B412" s="51" t="str">
        <f>IFERROR(HYPERLINK(VLOOKUP(A412,ÜRÜNLER!A:C,3,FALSE),VLOOKUP(A412,ÜRÜNLER!A:B,2,FALSE)),"")</f>
        <v>iQ500 Toz Torbasız Süpürge, 550w, Kırmızı</v>
      </c>
      <c r="C412" s="8">
        <v>36</v>
      </c>
      <c r="D412" s="8"/>
      <c r="E412" s="9"/>
      <c r="F412" s="9">
        <v>3</v>
      </c>
      <c r="G412" s="10"/>
      <c r="H412" s="10"/>
      <c r="I412" s="11">
        <v>1</v>
      </c>
      <c r="J412" s="11">
        <v>1</v>
      </c>
      <c r="K412" s="10">
        <v>4</v>
      </c>
      <c r="L412" s="10"/>
      <c r="M412" s="11">
        <v>3</v>
      </c>
      <c r="N412" s="134">
        <f t="shared" si="13"/>
        <v>48</v>
      </c>
      <c r="O412" s="135"/>
      <c r="P412" s="10"/>
      <c r="Q412" s="118"/>
      <c r="R412" s="52">
        <v>8997.8845468867039</v>
      </c>
      <c r="S412" s="25">
        <v>8997.8845468867039</v>
      </c>
      <c r="T412" s="12">
        <v>9357.7999287621715</v>
      </c>
      <c r="U412" s="12">
        <v>9717.7153106376409</v>
      </c>
      <c r="V412" s="13"/>
      <c r="W412" s="13"/>
      <c r="X412" s="14">
        <v>250</v>
      </c>
    </row>
    <row r="413" spans="1:25">
      <c r="A413" s="142" t="s">
        <v>407</v>
      </c>
      <c r="B413" s="51" t="str">
        <f>IFERROR(HYPERLINK(VLOOKUP(A413,ÜRÜNLER!A:C,3,FALSE),VLOOKUP(A413,ÜRÜNLER!A:B,2,FALSE)),"")</f>
        <v>iQ500 Toz Torbasız Süpürge, 550w, Mavi</v>
      </c>
      <c r="C413" s="8"/>
      <c r="D413" s="8"/>
      <c r="E413" s="9"/>
      <c r="F413" s="9">
        <v>1</v>
      </c>
      <c r="G413" s="10"/>
      <c r="H413" s="10"/>
      <c r="I413" s="11">
        <v>1</v>
      </c>
      <c r="J413" s="11"/>
      <c r="K413" s="10">
        <v>2</v>
      </c>
      <c r="L413" s="10"/>
      <c r="M413" s="11">
        <v>1</v>
      </c>
      <c r="N413" s="134">
        <f t="shared" si="13"/>
        <v>5</v>
      </c>
      <c r="O413" s="135"/>
      <c r="P413" s="10"/>
      <c r="Q413" s="118"/>
      <c r="R413" s="74" t="s">
        <v>1593</v>
      </c>
      <c r="S413" s="15">
        <v>6548.6702364651073</v>
      </c>
      <c r="T413" s="12">
        <v>6810.6170459237119</v>
      </c>
      <c r="U413" s="12">
        <v>7072.5638553823155</v>
      </c>
      <c r="V413" s="13"/>
      <c r="W413" s="13"/>
      <c r="X413" s="14">
        <v>250</v>
      </c>
    </row>
    <row r="414" spans="1:25">
      <c r="A414" s="142" t="s">
        <v>408</v>
      </c>
      <c r="B414" s="51" t="str">
        <f>IFERROR(HYPERLINK(VLOOKUP(A414,ÜRÜNLER!A:C,3,FALSE),VLOOKUP(A414,ÜRÜNLER!A:B,2,FALSE)),"")</f>
        <v>iQ500 Toz Torbasız Elektrik Süpürgesi, 750w, Siyah</v>
      </c>
      <c r="C414" s="8">
        <v>5</v>
      </c>
      <c r="D414" s="8"/>
      <c r="E414" s="9"/>
      <c r="F414" s="9">
        <v>1</v>
      </c>
      <c r="G414" s="10"/>
      <c r="H414" s="10"/>
      <c r="I414" s="11">
        <v>14</v>
      </c>
      <c r="J414" s="11">
        <v>6</v>
      </c>
      <c r="K414" s="10">
        <v>4</v>
      </c>
      <c r="L414" s="10"/>
      <c r="M414" s="11">
        <v>3</v>
      </c>
      <c r="N414" s="134">
        <f t="shared" si="13"/>
        <v>33</v>
      </c>
      <c r="O414" s="135">
        <v>53</v>
      </c>
      <c r="P414" s="10"/>
      <c r="Q414" s="118"/>
      <c r="R414" s="52">
        <v>11695.536950353717</v>
      </c>
      <c r="S414" s="19">
        <v>11695.536950353717</v>
      </c>
      <c r="T414" s="12">
        <v>12163.358428367865</v>
      </c>
      <c r="U414" s="12">
        <v>12631.179906382014</v>
      </c>
      <c r="V414" s="76">
        <v>1861</v>
      </c>
      <c r="W414" s="13"/>
      <c r="X414" s="14">
        <v>250</v>
      </c>
      <c r="Y414" t="s">
        <v>1616</v>
      </c>
    </row>
    <row r="415" spans="1:25">
      <c r="A415" s="142" t="s">
        <v>409</v>
      </c>
      <c r="B415" s="51" t="str">
        <f>IFERROR(HYPERLINK(VLOOKUP(A415,ÜRÜNLER!A:C,3,FALSE),VLOOKUP(A415,ÜRÜNLER!A:B,2,FALSE)),"")</f>
        <v>Siemens Toz Torbasız Süpürge, 600w, Kırmızı</v>
      </c>
      <c r="C415" s="8"/>
      <c r="D415" s="8"/>
      <c r="E415" s="9"/>
      <c r="F415" s="9"/>
      <c r="G415" s="10"/>
      <c r="H415" s="10"/>
      <c r="I415" s="11">
        <v>1</v>
      </c>
      <c r="J415" s="11"/>
      <c r="K415" s="10"/>
      <c r="L415" s="10"/>
      <c r="M415" s="11"/>
      <c r="N415" s="134">
        <f t="shared" si="13"/>
        <v>1</v>
      </c>
      <c r="O415" s="135"/>
      <c r="P415" s="10"/>
      <c r="Q415" s="118"/>
      <c r="R415" s="74" t="s">
        <v>1593</v>
      </c>
      <c r="S415" s="19">
        <v>4999</v>
      </c>
      <c r="T415" s="12">
        <v>5198.96</v>
      </c>
      <c r="U415" s="12">
        <v>5398.92</v>
      </c>
      <c r="V415" s="13"/>
      <c r="W415" s="13"/>
      <c r="X415" s="14">
        <v>250</v>
      </c>
    </row>
    <row r="416" spans="1:25">
      <c r="A416" s="142" t="s">
        <v>410</v>
      </c>
      <c r="B416" s="51" t="str">
        <f>IFERROR(HYPERLINK(VLOOKUP(A416,ÜRÜNLER!A:C,3,FALSE),VLOOKUP(A416,ÜRÜNLER!A:B,2,FALSE)),"")</f>
        <v>iQ700 Toz Torbasız Elektrik Süpürgesi, 850w, Siyah</v>
      </c>
      <c r="C416" s="8"/>
      <c r="D416" s="8"/>
      <c r="E416" s="9"/>
      <c r="F416" s="9">
        <v>32</v>
      </c>
      <c r="G416" s="10"/>
      <c r="H416" s="10"/>
      <c r="I416" s="11">
        <v>10</v>
      </c>
      <c r="J416" s="11">
        <v>12</v>
      </c>
      <c r="K416" s="10">
        <v>8</v>
      </c>
      <c r="L416" s="10"/>
      <c r="M416" s="11">
        <v>5</v>
      </c>
      <c r="N416" s="134">
        <f t="shared" si="13"/>
        <v>67</v>
      </c>
      <c r="O416" s="135"/>
      <c r="P416" s="10"/>
      <c r="Q416" s="118"/>
      <c r="R416" s="52">
        <v>20504.68551240184</v>
      </c>
      <c r="S416" s="25">
        <v>20504.68551240184</v>
      </c>
      <c r="T416" s="12">
        <v>21324.872932897913</v>
      </c>
      <c r="U416" s="12">
        <v>22145.060353393987</v>
      </c>
      <c r="V416" s="76">
        <v>3260</v>
      </c>
      <c r="W416" s="13"/>
      <c r="X416" s="14">
        <v>250</v>
      </c>
      <c r="Y416" t="s">
        <v>1616</v>
      </c>
    </row>
    <row r="417" spans="1:26" ht="34.5" customHeight="1">
      <c r="A417" s="177" t="s">
        <v>413</v>
      </c>
      <c r="B417" s="51" t="str">
        <f>IFERROR(HYPERLINK(VLOOKUP(A417,ÜRÜNLER!A:C,3,FALSE),VLOOKUP(A417,ÜRÜNLER!A:B,2,FALSE)),"")</f>
        <v/>
      </c>
      <c r="C417" s="8"/>
      <c r="D417" s="8"/>
      <c r="E417" s="9"/>
      <c r="F417" s="9"/>
      <c r="G417" s="10"/>
      <c r="H417" s="10"/>
      <c r="I417" s="11"/>
      <c r="J417" s="11"/>
      <c r="K417" s="10"/>
      <c r="L417" s="10"/>
      <c r="M417" s="11"/>
      <c r="N417" s="134"/>
      <c r="O417" s="135"/>
      <c r="P417" s="10"/>
      <c r="Q417" s="9"/>
      <c r="S417" s="19"/>
      <c r="T417" s="12"/>
      <c r="U417" s="12"/>
      <c r="V417" s="13"/>
      <c r="W417" s="13"/>
      <c r="X417" s="17"/>
    </row>
    <row r="418" spans="1:26">
      <c r="A418" s="21" t="s">
        <v>416</v>
      </c>
      <c r="B418" s="51" t="str">
        <f>IFERROR(HYPERLINK(VLOOKUP(A418,ÜRÜNLER!A:C,3,FALSE),VLOOKUP(A418,ÜRÜNLER!A:B,2,FALSE)),"")</f>
        <v>Soğuk Su Sebili, Gri</v>
      </c>
      <c r="C418" s="8">
        <v>473</v>
      </c>
      <c r="D418" s="8"/>
      <c r="E418" s="9"/>
      <c r="F418" s="9">
        <v>3</v>
      </c>
      <c r="G418" s="10"/>
      <c r="H418" s="10"/>
      <c r="I418" s="11">
        <v>2</v>
      </c>
      <c r="J418" s="11">
        <v>1</v>
      </c>
      <c r="K418" s="10">
        <v>3</v>
      </c>
      <c r="L418" s="10"/>
      <c r="M418" s="11">
        <v>1</v>
      </c>
      <c r="N418" s="134">
        <f t="shared" ref="N418:N450" si="14">M418+L418+K418+J418+I418+H418+G418+F418+E418+D418+C418</f>
        <v>483</v>
      </c>
      <c r="O418" s="135">
        <v>101</v>
      </c>
      <c r="P418" s="10"/>
      <c r="Q418" s="118"/>
      <c r="R418" s="52">
        <v>10412.280518405883</v>
      </c>
      <c r="S418" s="47">
        <v>11974.122596166766</v>
      </c>
      <c r="T418" s="12">
        <v>12453.087500013437</v>
      </c>
      <c r="U418" s="12">
        <v>12932.052403860107</v>
      </c>
      <c r="V418" s="105"/>
      <c r="W418" s="13"/>
      <c r="Z418" s="27" t="s">
        <v>1594</v>
      </c>
    </row>
    <row r="419" spans="1:26">
      <c r="A419" s="21" t="s">
        <v>417</v>
      </c>
      <c r="B419" s="51" t="str">
        <f>IFERROR(HYPERLINK(VLOOKUP(A419,ÜRÜNLER!A:C,3,FALSE),VLOOKUP(A419,ÜRÜNLER!A:B,2,FALSE)),"")</f>
        <v>Soğuk Su Sebili, Siyah/Gri, Dokunmatik</v>
      </c>
      <c r="C419" s="8"/>
      <c r="D419" s="8"/>
      <c r="E419" s="9"/>
      <c r="F419" s="9">
        <v>9</v>
      </c>
      <c r="G419" s="10"/>
      <c r="H419" s="10"/>
      <c r="I419" s="11"/>
      <c r="J419" s="11">
        <v>2</v>
      </c>
      <c r="K419" s="10">
        <v>1</v>
      </c>
      <c r="L419" s="10"/>
      <c r="M419" s="11">
        <v>1</v>
      </c>
      <c r="N419" s="134">
        <f t="shared" si="14"/>
        <v>13</v>
      </c>
      <c r="O419" s="135">
        <v>87</v>
      </c>
      <c r="P419" s="10"/>
      <c r="Q419" s="118"/>
      <c r="R419" s="52">
        <v>15159.194999120318</v>
      </c>
      <c r="S419" s="47">
        <v>17433.074248988367</v>
      </c>
      <c r="T419" s="12">
        <v>18130.397218947903</v>
      </c>
      <c r="U419" s="12">
        <v>18827.720188907435</v>
      </c>
      <c r="V419" s="105"/>
      <c r="W419" s="13"/>
      <c r="X419" s="17">
        <v>50</v>
      </c>
    </row>
    <row r="420" spans="1:26">
      <c r="A420" s="21" t="s">
        <v>418</v>
      </c>
      <c r="B420" s="51" t="str">
        <f>IFERROR(HYPERLINK(VLOOKUP(A420,ÜRÜNLER!A:C,3,FALSE),VLOOKUP(A420,ÜRÜNLER!A:B,2,FALSE)),"")</f>
        <v>Soğuk Su Sebili, Siyah/Gri</v>
      </c>
      <c r="C420" s="8"/>
      <c r="D420" s="8"/>
      <c r="E420" s="9"/>
      <c r="F420" s="9">
        <v>3</v>
      </c>
      <c r="G420" s="10"/>
      <c r="H420" s="10"/>
      <c r="I420" s="11">
        <v>1</v>
      </c>
      <c r="J420" s="11"/>
      <c r="K420" s="10">
        <v>1</v>
      </c>
      <c r="L420" s="10"/>
      <c r="M420" s="11"/>
      <c r="N420" s="134">
        <f t="shared" si="14"/>
        <v>5</v>
      </c>
      <c r="O420" s="135">
        <v>301</v>
      </c>
      <c r="P420" s="10"/>
      <c r="Q420" s="118"/>
      <c r="R420" s="52">
        <v>14978.950144916385</v>
      </c>
      <c r="S420" s="47">
        <v>17225.792666653844</v>
      </c>
      <c r="T420" s="12">
        <v>17914.82437332</v>
      </c>
      <c r="U420" s="12">
        <v>18603.856079986152</v>
      </c>
      <c r="V420" s="13"/>
      <c r="W420" s="13"/>
      <c r="X420" s="17">
        <v>50</v>
      </c>
    </row>
    <row r="421" spans="1:26">
      <c r="A421" s="21" t="s">
        <v>419</v>
      </c>
      <c r="B421" s="51" t="str">
        <f>IFERROR(HYPERLINK(VLOOKUP(A421,ÜRÜNLER!A:C,3,FALSE),VLOOKUP(A421,ÜRÜNLER!A:B,2,FALSE)),"")</f>
        <v>Sıcak/Soğuk Su Sebili, Beyaz</v>
      </c>
      <c r="C421" s="8">
        <v>109</v>
      </c>
      <c r="D421" s="8"/>
      <c r="E421" s="9"/>
      <c r="F421" s="9">
        <v>5</v>
      </c>
      <c r="G421" s="10"/>
      <c r="H421" s="10"/>
      <c r="I421" s="11">
        <v>2</v>
      </c>
      <c r="J421" s="11">
        <v>3</v>
      </c>
      <c r="K421" s="10"/>
      <c r="L421" s="10"/>
      <c r="M421" s="11">
        <v>1</v>
      </c>
      <c r="N421" s="134">
        <f t="shared" si="14"/>
        <v>120</v>
      </c>
      <c r="O421" s="135">
        <v>50</v>
      </c>
      <c r="P421" s="10"/>
      <c r="Q421" s="118"/>
      <c r="R421" s="52">
        <v>13867.0707767613</v>
      </c>
      <c r="S421" s="47">
        <v>15947.131393275495</v>
      </c>
      <c r="T421" s="12">
        <v>16585.016649006513</v>
      </c>
      <c r="U421" s="12">
        <v>17222.901904737533</v>
      </c>
      <c r="V421" s="105"/>
      <c r="W421" s="13"/>
      <c r="X421" s="17">
        <v>50</v>
      </c>
    </row>
    <row r="422" spans="1:26">
      <c r="A422" s="21" t="s">
        <v>420</v>
      </c>
      <c r="B422" s="51" t="str">
        <f>IFERROR(HYPERLINK(VLOOKUP(A422,ÜRÜNLER!A:C,3,FALSE),VLOOKUP(A422,ÜRÜNLER!A:B,2,FALSE)),"")</f>
        <v>Soğuk Su Sebili, Siyah/Gri, Sensörlü</v>
      </c>
      <c r="C422" s="8"/>
      <c r="D422" s="8"/>
      <c r="E422" s="9"/>
      <c r="F422" s="9">
        <v>2</v>
      </c>
      <c r="G422" s="10"/>
      <c r="H422" s="10"/>
      <c r="I422" s="11"/>
      <c r="J422" s="11"/>
      <c r="K422" s="10"/>
      <c r="L422" s="10"/>
      <c r="M422" s="11"/>
      <c r="N422" s="134">
        <f t="shared" si="14"/>
        <v>2</v>
      </c>
      <c r="O422" s="135">
        <v>235</v>
      </c>
      <c r="P422" s="10"/>
      <c r="Q422" s="118"/>
      <c r="R422" s="52">
        <v>15878.152251444433</v>
      </c>
      <c r="S422" s="47">
        <v>18259.875089161098</v>
      </c>
      <c r="T422" s="12">
        <v>18990.270092727544</v>
      </c>
      <c r="U422" s="12">
        <v>19720.665096293986</v>
      </c>
      <c r="V422" s="13"/>
      <c r="W422" s="13"/>
      <c r="X422" s="17">
        <v>50</v>
      </c>
    </row>
    <row r="423" spans="1:26">
      <c r="A423" s="141" t="s">
        <v>391</v>
      </c>
      <c r="B423" s="51" t="str">
        <f>IFERROR(HYPERLINK(VLOOKUP(A423,ÜRÜNLER!A:C,3,FALSE),VLOOKUP(A423,ÜRÜNLER!A:B,2,FALSE)),"")</f>
        <v>Temizleme Tableti</v>
      </c>
      <c r="C423" s="8"/>
      <c r="D423" s="8"/>
      <c r="E423" s="9"/>
      <c r="F423" s="9">
        <v>120</v>
      </c>
      <c r="G423" s="10"/>
      <c r="H423" s="10"/>
      <c r="I423" s="11">
        <v>31</v>
      </c>
      <c r="J423" s="11">
        <v>37</v>
      </c>
      <c r="K423" s="10">
        <v>14</v>
      </c>
      <c r="L423" s="10"/>
      <c r="M423" s="11">
        <v>3</v>
      </c>
      <c r="N423" s="134">
        <f t="shared" si="14"/>
        <v>205</v>
      </c>
      <c r="O423" s="135"/>
      <c r="P423" s="10"/>
      <c r="Q423" s="118"/>
      <c r="R423" s="52">
        <v>452.60361139646415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1" t="s">
        <v>392</v>
      </c>
      <c r="B424" s="51" t="str">
        <f>IFERROR(HYPERLINK(VLOOKUP(A424,ÜRÜNLER!A:C,3,FALSE),VLOOKUP(A424,ÜRÜNLER!A:B,2,FALSE)),"")</f>
        <v>Kireç Temizleme Tableti</v>
      </c>
      <c r="C424" s="8"/>
      <c r="D424" s="8"/>
      <c r="E424" s="9"/>
      <c r="F424" s="9"/>
      <c r="G424" s="10"/>
      <c r="H424" s="10"/>
      <c r="I424" s="11">
        <v>3</v>
      </c>
      <c r="J424" s="11"/>
      <c r="K424" s="10">
        <v>1</v>
      </c>
      <c r="L424" s="10"/>
      <c r="M424" s="11"/>
      <c r="N424" s="134">
        <f t="shared" si="14"/>
        <v>4</v>
      </c>
      <c r="O424" s="135"/>
      <c r="P424" s="10"/>
      <c r="Q424" s="118"/>
      <c r="R424" s="52">
        <v>452.60361139646415</v>
      </c>
      <c r="S424" s="19">
        <v>650</v>
      </c>
      <c r="T424" s="12">
        <v>700</v>
      </c>
      <c r="U424" s="12">
        <v>702</v>
      </c>
      <c r="V424" s="13"/>
      <c r="W424" s="13"/>
      <c r="X424" s="17">
        <v>50</v>
      </c>
    </row>
    <row r="425" spans="1:26">
      <c r="A425" s="142" t="s">
        <v>202</v>
      </c>
      <c r="B425" s="51" t="str">
        <f>IFERROR(HYPERLINK(VLOOKUP(A425,ÜRÜNLER!A:C,3,FALSE),VLOOKUP(A425,ÜRÜNLER!A:B,2,FALSE)),"")</f>
        <v>3D Fry Tepsi</v>
      </c>
      <c r="C425" s="8">
        <v>8</v>
      </c>
      <c r="D425" s="8"/>
      <c r="E425" s="9"/>
      <c r="F425" s="9">
        <v>12</v>
      </c>
      <c r="G425" s="10"/>
      <c r="H425" s="10"/>
      <c r="I425" s="11">
        <v>5</v>
      </c>
      <c r="J425" s="11">
        <v>8</v>
      </c>
      <c r="K425" s="10">
        <v>9</v>
      </c>
      <c r="L425" s="10"/>
      <c r="M425" s="11">
        <v>4</v>
      </c>
      <c r="N425" s="134">
        <f t="shared" si="14"/>
        <v>46</v>
      </c>
      <c r="O425" s="135">
        <v>17</v>
      </c>
      <c r="P425" s="10"/>
      <c r="Q425" s="118"/>
      <c r="R425" s="52">
        <v>344</v>
      </c>
      <c r="S425" s="19">
        <v>650</v>
      </c>
      <c r="T425" s="12">
        <v>700</v>
      </c>
      <c r="U425" s="12">
        <v>702</v>
      </c>
      <c r="V425" s="13"/>
      <c r="W425" s="13"/>
      <c r="X425" s="17">
        <v>50</v>
      </c>
    </row>
    <row r="426" spans="1:26">
      <c r="A426" s="142" t="s">
        <v>203</v>
      </c>
      <c r="B426" s="51" t="str">
        <f>IFERROR(HYPERLINK(VLOOKUP(A426,ÜRÜNLER!A:C,3,FALSE),VLOOKUP(A426,ÜRÜNLER!A:B,2,FALSE)),"")</f>
        <v>Siemens starter kit unducted recirculation</v>
      </c>
      <c r="C426" s="8">
        <v>2</v>
      </c>
      <c r="D426" s="8"/>
      <c r="E426" s="9"/>
      <c r="F426" s="9"/>
      <c r="G426" s="10"/>
      <c r="H426" s="10"/>
      <c r="I426" s="11"/>
      <c r="J426" s="11"/>
      <c r="K426" s="10"/>
      <c r="L426" s="10"/>
      <c r="M426" s="11"/>
      <c r="N426" s="134">
        <f t="shared" si="14"/>
        <v>2</v>
      </c>
      <c r="O426" s="135"/>
      <c r="P426" s="10"/>
      <c r="Q426" s="118"/>
      <c r="R426" s="74"/>
      <c r="S426" s="19">
        <v>999</v>
      </c>
      <c r="T426" s="12">
        <v>1038.96</v>
      </c>
      <c r="U426" s="12">
        <v>1078.92</v>
      </c>
      <c r="V426" s="13"/>
      <c r="W426" s="13"/>
      <c r="X426" s="17">
        <v>50</v>
      </c>
    </row>
    <row r="427" spans="1:26">
      <c r="A427" s="142" t="s">
        <v>411</v>
      </c>
      <c r="B427" s="51" t="str">
        <f>IFERROR(HYPERLINK(VLOOKUP(A427,ÜRÜNLER!A:C,3,FALSE),VLOOKUP(A427,ÜRÜNLER!A:B,2,FALSE)),"")</f>
        <v>Siemens Elektrikli Süpürgeler için Toz Torbası (P Tip) 4'lü Paket</v>
      </c>
      <c r="C427" s="8"/>
      <c r="D427" s="8"/>
      <c r="E427" s="9"/>
      <c r="F427" s="9"/>
      <c r="G427" s="10"/>
      <c r="H427" s="10"/>
      <c r="I427" s="11">
        <v>6</v>
      </c>
      <c r="J427" s="11"/>
      <c r="K427" s="10"/>
      <c r="L427" s="10"/>
      <c r="M427" s="11"/>
      <c r="N427" s="134">
        <f t="shared" si="14"/>
        <v>6</v>
      </c>
      <c r="O427" s="135"/>
      <c r="P427" s="10"/>
      <c r="Q427" s="118"/>
      <c r="S427" s="19">
        <v>400</v>
      </c>
      <c r="T427" s="12">
        <v>450</v>
      </c>
      <c r="U427" s="12">
        <v>432</v>
      </c>
      <c r="V427" s="13"/>
      <c r="W427" s="13"/>
      <c r="X427" s="17">
        <v>50</v>
      </c>
    </row>
    <row r="428" spans="1:26">
      <c r="A428" s="142" t="s">
        <v>412</v>
      </c>
      <c r="B428" s="51" t="str">
        <f>IFERROR(HYPERLINK(VLOOKUP(A428,ÜRÜNLER!A:C,3,FALSE),VLOOKUP(A428,ÜRÜNLER!A:B,2,FALSE)),"")</f>
        <v>Elektrik Süpürgesi Toz Torbası 4'lü</v>
      </c>
      <c r="C428" s="8">
        <v>1</v>
      </c>
      <c r="D428" s="8"/>
      <c r="E428" s="9"/>
      <c r="F428" s="9">
        <v>149</v>
      </c>
      <c r="G428" s="10"/>
      <c r="H428" s="10"/>
      <c r="I428" s="11">
        <v>74</v>
      </c>
      <c r="J428" s="11">
        <v>11</v>
      </c>
      <c r="K428" s="10">
        <v>8</v>
      </c>
      <c r="L428" s="10"/>
      <c r="M428" s="11"/>
      <c r="N428" s="134">
        <f t="shared" si="14"/>
        <v>243</v>
      </c>
      <c r="O428" s="135">
        <v>2</v>
      </c>
      <c r="P428" s="10"/>
      <c r="Q428" s="118"/>
      <c r="R428" s="52">
        <v>310</v>
      </c>
      <c r="S428" s="19">
        <v>400</v>
      </c>
      <c r="T428" s="12">
        <v>450</v>
      </c>
      <c r="U428" s="12">
        <v>432</v>
      </c>
      <c r="V428" s="13"/>
      <c r="W428" s="13"/>
      <c r="X428" s="17">
        <v>50</v>
      </c>
    </row>
    <row r="429" spans="1:26">
      <c r="A429" s="142" t="s">
        <v>414</v>
      </c>
      <c r="B429" s="51" t="str">
        <f>IFERROR(HYPERLINK(VLOOKUP(A429,ÜRÜNLER!A:C,3,FALSE),VLOOKUP(A429,ÜRÜNLER!A:B,2,FALSE)),"")</f>
        <v>Siemens Trifaze Ani Su Isıtıcı</v>
      </c>
      <c r="C429" s="8"/>
      <c r="D429" s="8"/>
      <c r="E429" s="9"/>
      <c r="F429" s="9"/>
      <c r="G429" s="10"/>
      <c r="H429" s="10"/>
      <c r="I429" s="11"/>
      <c r="J429" s="11"/>
      <c r="K429" s="10">
        <v>1</v>
      </c>
      <c r="L429" s="10"/>
      <c r="M429" s="11"/>
      <c r="N429" s="134">
        <f t="shared" si="14"/>
        <v>1</v>
      </c>
      <c r="O429" s="135"/>
      <c r="P429" s="10"/>
      <c r="Q429" s="118"/>
      <c r="S429" s="19">
        <v>39999</v>
      </c>
      <c r="T429" s="12">
        <v>41598.959999999999</v>
      </c>
      <c r="U429" s="12">
        <v>43198.92</v>
      </c>
      <c r="V429" s="13"/>
      <c r="W429" s="13"/>
      <c r="X429" s="14">
        <v>250</v>
      </c>
    </row>
    <row r="430" spans="1:26">
      <c r="A430" s="142" t="s">
        <v>415</v>
      </c>
      <c r="B430" s="51" t="str">
        <f>IFERROR(HYPERLINK(VLOOKUP(A430,ÜRÜNLER!A:C,3,FALSE),VLOOKUP(A430,ÜRÜNLER!A:B,2,FALSE)),"")</f>
        <v>Siemens Trifaze Ani Su Isıtıcı</v>
      </c>
      <c r="C430" s="8"/>
      <c r="D430" s="8"/>
      <c r="E430" s="9"/>
      <c r="F430" s="9">
        <v>1</v>
      </c>
      <c r="G430" s="10"/>
      <c r="H430" s="10"/>
      <c r="I430" s="11"/>
      <c r="J430" s="11"/>
      <c r="K430" s="10"/>
      <c r="L430" s="10"/>
      <c r="M430" s="11"/>
      <c r="N430" s="134">
        <f t="shared" si="14"/>
        <v>1</v>
      </c>
      <c r="O430" s="135"/>
      <c r="P430" s="10"/>
      <c r="Q430" s="118"/>
      <c r="S430" s="19">
        <v>49999</v>
      </c>
      <c r="T430" s="12">
        <v>51998.96</v>
      </c>
      <c r="U430" s="12">
        <v>53998.92</v>
      </c>
      <c r="V430" s="13"/>
      <c r="W430" s="13"/>
      <c r="X430" s="14">
        <v>250</v>
      </c>
    </row>
    <row r="431" spans="1:26">
      <c r="A431" s="142" t="s">
        <v>421</v>
      </c>
      <c r="B431" s="51" t="str">
        <f>IFERROR(HYPERLINK(VLOOKUP(A431,ÜRÜNLER!A:C,3,FALSE),VLOOKUP(A431,ÜRÜNLER!A:B,2,FALSE)),"")</f>
        <v>Siemens Çay Makinesi</v>
      </c>
      <c r="C431" s="8"/>
      <c r="D431" s="8"/>
      <c r="E431" s="9"/>
      <c r="F431" s="9"/>
      <c r="G431" s="10"/>
      <c r="H431" s="10"/>
      <c r="I431" s="11">
        <v>3</v>
      </c>
      <c r="J431" s="11">
        <v>1</v>
      </c>
      <c r="K431" s="10">
        <v>1</v>
      </c>
      <c r="L431" s="10"/>
      <c r="M431" s="11">
        <v>1</v>
      </c>
      <c r="N431" s="134">
        <f t="shared" si="14"/>
        <v>6</v>
      </c>
      <c r="O431" s="135"/>
      <c r="P431" s="10"/>
      <c r="Q431" s="118"/>
      <c r="S431" s="19">
        <v>3999</v>
      </c>
      <c r="T431" s="12">
        <v>4158.96</v>
      </c>
      <c r="U431" s="12">
        <v>4318.92</v>
      </c>
      <c r="V431" s="13"/>
      <c r="W431" s="13"/>
      <c r="X431" s="14">
        <v>50</v>
      </c>
    </row>
    <row r="432" spans="1:26">
      <c r="A432" s="142" t="s">
        <v>422</v>
      </c>
      <c r="B432" s="51" t="str">
        <f>IFERROR(HYPERLINK(VLOOKUP(A432,ÜRÜNLER!A:C,3,FALSE),VLOOKUP(A432,ÜRÜNLER!A:B,2,FALSE)),"")</f>
        <v>Siemens Filtre Kahve Makinesi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</v>
      </c>
      <c r="T432" s="12">
        <v>5198.96</v>
      </c>
      <c r="U432" s="12">
        <v>5398.92</v>
      </c>
      <c r="V432" s="13"/>
      <c r="W432" s="13"/>
      <c r="X432" s="14">
        <v>50</v>
      </c>
    </row>
    <row r="433" spans="1:24">
      <c r="A433" s="142" t="s">
        <v>423</v>
      </c>
      <c r="B433" s="51" t="str">
        <f>IFERROR(HYPERLINK(VLOOKUP(A433,ÜRÜNLER!A:C,3,FALSE),VLOOKUP(A433,ÜRÜNLER!A:B,2,FALSE)),"")</f>
        <v>Siemens El Blenderı ergonomicEdition, 600w, Beyaz/Mavi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424</v>
      </c>
      <c r="B434" s="51" t="str">
        <f>IFERROR(HYPERLINK(VLOOKUP(A434,ÜRÜNLER!A:C,3,FALSE),VLOOKUP(A434,ÜRÜNLER!A:B,2,FALSE)),"")</f>
        <v>Siemens El Blenderı, 600w, Beyaz/Mavi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2499</v>
      </c>
      <c r="T434" s="12">
        <v>2598.96</v>
      </c>
      <c r="U434" s="12">
        <v>2698.92</v>
      </c>
      <c r="V434" s="13"/>
      <c r="W434" s="13"/>
      <c r="X434" s="14">
        <v>50</v>
      </c>
    </row>
    <row r="435" spans="1:24">
      <c r="A435" s="142" t="s">
        <v>425</v>
      </c>
      <c r="B435" s="51" t="str">
        <f>IFERROR(HYPERLINK(VLOOKUP(A435,ÜRÜNLER!A:C,3,FALSE),VLOOKUP(A435,ÜRÜNLER!A:B,2,FALSE)),"")</f>
        <v>Siemens El Blenderı FQ.1, 750w, Siyah/Gri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2">
        <v>2158.92</v>
      </c>
      <c r="V435" s="13"/>
      <c r="W435" s="13"/>
      <c r="X435" s="14">
        <v>50</v>
      </c>
    </row>
    <row r="436" spans="1:24">
      <c r="A436" s="142" t="s">
        <v>427</v>
      </c>
      <c r="B436" s="51" t="str">
        <f>IFERROR(HYPERLINK(VLOOKUP(A436,ÜRÜNLER!A:C,3,FALSE),VLOOKUP(A436,ÜRÜNLER!A:B,2,FALSE)),"")</f>
        <v>Siemens El Mikseri, 450w, Beyaz/Antrasit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999</v>
      </c>
      <c r="T436" s="12">
        <v>1038.96</v>
      </c>
      <c r="U436" s="12">
        <v>1078.92</v>
      </c>
      <c r="V436" s="13"/>
      <c r="W436" s="13"/>
      <c r="X436" s="14">
        <v>50</v>
      </c>
    </row>
    <row r="437" spans="1:24">
      <c r="A437" s="142" t="s">
        <v>428</v>
      </c>
      <c r="B437" s="51" t="str">
        <f>IFERROR(HYPERLINK(VLOOKUP(A437,ÜRÜNLER!A:C,3,FALSE),VLOOKUP(A437,ÜRÜNLER!A:B,2,FALSE)),"")</f>
        <v>Siemens El Mikseri, 450w,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4">
        <f t="shared" si="14"/>
        <v>1</v>
      </c>
      <c r="O437" s="135"/>
      <c r="P437" s="10"/>
      <c r="Q437" s="118"/>
      <c r="S437" s="19">
        <v>1499</v>
      </c>
      <c r="T437" s="12">
        <v>1558.96</v>
      </c>
      <c r="U437" s="12">
        <v>1618.92</v>
      </c>
      <c r="V437" s="13"/>
      <c r="W437" s="13"/>
      <c r="X437" s="14">
        <v>50</v>
      </c>
    </row>
    <row r="438" spans="1:24">
      <c r="A438" s="142" t="s">
        <v>429</v>
      </c>
      <c r="B438" s="51" t="str">
        <f>IFERROR(HYPERLINK(VLOOKUP(A438,ÜRÜNLER!A:C,3,FALSE),VLOOKUP(A438,ÜRÜNLER!A:B,2,FALSE)),"")</f>
        <v>El Mikser Seti, 500w, Siyah</v>
      </c>
      <c r="C438" s="8"/>
      <c r="D438" s="8"/>
      <c r="E438" s="9"/>
      <c r="F438" s="9"/>
      <c r="G438" s="10"/>
      <c r="H438" s="10"/>
      <c r="I438" s="11">
        <v>3</v>
      </c>
      <c r="J438" s="11"/>
      <c r="K438" s="10"/>
      <c r="L438" s="10"/>
      <c r="M438" s="11"/>
      <c r="N438" s="134">
        <f t="shared" si="14"/>
        <v>3</v>
      </c>
      <c r="O438" s="135"/>
      <c r="P438" s="10"/>
      <c r="Q438" s="118"/>
      <c r="S438" s="19">
        <v>2999</v>
      </c>
      <c r="T438" s="12">
        <v>3118.96</v>
      </c>
      <c r="U438" s="12">
        <v>3238.92</v>
      </c>
      <c r="V438" s="13"/>
      <c r="W438" s="13"/>
      <c r="X438" s="14">
        <v>50</v>
      </c>
    </row>
    <row r="439" spans="1:24">
      <c r="A439" s="142" t="s">
        <v>433</v>
      </c>
      <c r="B439" s="51" t="str">
        <f>IFERROR(HYPERLINK(VLOOKUP(A439,ÜRÜNLER!A:C,3,FALSE),VLOOKUP(A439,ÜRÜNLER!A:B,2,FALSE)),"")</f>
        <v>Siemens Buzdolabı Kulpu 79cm, Inox</v>
      </c>
      <c r="C439" s="8">
        <v>1</v>
      </c>
      <c r="D439" s="8"/>
      <c r="E439" s="9"/>
      <c r="F439" s="9"/>
      <c r="G439" s="10"/>
      <c r="H439" s="10"/>
      <c r="I439" s="11"/>
      <c r="J439" s="11"/>
      <c r="K439" s="10">
        <v>4</v>
      </c>
      <c r="L439" s="10"/>
      <c r="M439" s="11"/>
      <c r="N439" s="134">
        <f t="shared" si="14"/>
        <v>5</v>
      </c>
      <c r="O439" s="135"/>
      <c r="P439" s="10"/>
      <c r="Q439" s="118"/>
      <c r="S439" s="19">
        <v>24999</v>
      </c>
      <c r="T439" s="12">
        <v>25998.959999999999</v>
      </c>
      <c r="U439" s="12">
        <v>26998.92</v>
      </c>
      <c r="V439" s="13"/>
      <c r="W439" s="13"/>
      <c r="X439" s="14">
        <v>250</v>
      </c>
    </row>
    <row r="440" spans="1:24">
      <c r="A440" s="142" t="s">
        <v>434</v>
      </c>
      <c r="B440" s="51" t="str">
        <f>IFERROR(HYPERLINK(VLOOKUP(A440,ÜRÜNLER!A:C,3,FALSE),VLOOKUP(A440,ÜRÜNLER!A:B,2,FALSE)),"")</f>
        <v>Siemens Buzdolabı Kulpu</v>
      </c>
      <c r="C440" s="8"/>
      <c r="D440" s="8"/>
      <c r="E440" s="9"/>
      <c r="F440" s="9"/>
      <c r="G440" s="10"/>
      <c r="H440" s="10"/>
      <c r="I440" s="11"/>
      <c r="J440" s="11">
        <v>1</v>
      </c>
      <c r="K440" s="10">
        <v>1</v>
      </c>
      <c r="L440" s="10"/>
      <c r="M440" s="11"/>
      <c r="N440" s="134">
        <f t="shared" si="14"/>
        <v>2</v>
      </c>
      <c r="O440" s="135"/>
      <c r="P440" s="10"/>
      <c r="Q440" s="118"/>
      <c r="S440" s="19">
        <v>6148.9750000000004</v>
      </c>
      <c r="T440" s="12">
        <v>6394.9340000000002</v>
      </c>
      <c r="U440" s="12">
        <v>6640.893</v>
      </c>
      <c r="V440" s="13"/>
      <c r="W440" s="13"/>
      <c r="X440" s="14">
        <v>250</v>
      </c>
    </row>
    <row r="441" spans="1:24">
      <c r="A441" s="142" t="s">
        <v>435</v>
      </c>
      <c r="B441" s="51" t="str">
        <f>IFERROR(HYPERLINK(VLOOKUP(A441,ÜRÜNLER!A:C,3,FALSE),VLOOKUP(A441,ÜRÜNLER!A:B,2,FALSE)),"")</f>
        <v>Siemens Buzdolabı Kulpu</v>
      </c>
      <c r="C441" s="8">
        <v>5</v>
      </c>
      <c r="D441" s="8">
        <v>4</v>
      </c>
      <c r="E441" s="9"/>
      <c r="F441" s="9"/>
      <c r="G441" s="10"/>
      <c r="H441" s="10"/>
      <c r="I441" s="11"/>
      <c r="J441" s="11"/>
      <c r="K441" s="10"/>
      <c r="L441" s="10"/>
      <c r="M441" s="11"/>
      <c r="N441" s="134">
        <f t="shared" si="14"/>
        <v>9</v>
      </c>
      <c r="O441" s="135"/>
      <c r="P441" s="10"/>
      <c r="Q441" s="118" t="s">
        <v>1549</v>
      </c>
      <c r="R441" s="52">
        <v>8867.3785891660682</v>
      </c>
      <c r="S441" s="18">
        <v>7980.6407302494617</v>
      </c>
      <c r="T441" s="12">
        <v>8299.86635945944</v>
      </c>
      <c r="U441" s="12">
        <v>8619.0919886694192</v>
      </c>
      <c r="V441" s="13"/>
      <c r="W441" s="13"/>
      <c r="X441" s="14">
        <v>250</v>
      </c>
    </row>
    <row r="442" spans="1:24">
      <c r="A442" s="142" t="s">
        <v>436</v>
      </c>
      <c r="B442" s="51" t="str">
        <f>IFERROR(HYPERLINK(VLOOKUP(A442,ÜRÜNLER!A:C,3,FALSE),VLOOKUP(A442,ÜRÜNLER!A:B,2,FALSE)),"")</f>
        <v>Siemens studioLine Buzdolabı Kulpu</v>
      </c>
      <c r="C442" s="8"/>
      <c r="D442" s="8">
        <v>4</v>
      </c>
      <c r="E442" s="9"/>
      <c r="F442" s="9"/>
      <c r="G442" s="10"/>
      <c r="H442" s="10"/>
      <c r="I442" s="11"/>
      <c r="J442" s="11"/>
      <c r="K442" s="10"/>
      <c r="L442" s="10"/>
      <c r="M442" s="11"/>
      <c r="N442" s="134">
        <f t="shared" si="14"/>
        <v>4</v>
      </c>
      <c r="O442" s="135"/>
      <c r="P442" s="10"/>
      <c r="Q442" s="118" t="s">
        <v>1549</v>
      </c>
      <c r="R442" s="52">
        <v>3521.1995943386523</v>
      </c>
      <c r="S442" s="18">
        <v>3169.0796349047869</v>
      </c>
      <c r="T442" s="12">
        <v>3295.8428203009785</v>
      </c>
      <c r="U442" s="12">
        <v>3422.6060056971696</v>
      </c>
      <c r="V442" s="13"/>
      <c r="W442" s="13"/>
      <c r="X442" s="14">
        <v>250</v>
      </c>
    </row>
    <row r="443" spans="1:24">
      <c r="A443" s="142" t="s">
        <v>437</v>
      </c>
      <c r="B443" s="51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1</v>
      </c>
      <c r="O443" s="135"/>
      <c r="P443" s="10"/>
      <c r="Q443" s="118" t="s">
        <v>1549</v>
      </c>
      <c r="R443" s="52">
        <v>2510.3949651838452</v>
      </c>
      <c r="S443" s="25">
        <v>2510.3949651838452</v>
      </c>
      <c r="T443" s="12">
        <v>2610.810763791199</v>
      </c>
      <c r="U443" s="12">
        <v>2711.2265623985527</v>
      </c>
      <c r="V443" s="13"/>
      <c r="W443" s="13"/>
      <c r="X443" s="14">
        <v>250</v>
      </c>
    </row>
    <row r="444" spans="1:24">
      <c r="A444" s="21" t="s">
        <v>438</v>
      </c>
      <c r="B444" s="51" t="str">
        <f>IFERROR(HYPERLINK(VLOOKUP(A444,ÜRÜNLER!A:C,3,FALSE),VLOOKUP(A444,ÜRÜNLER!A:B,2,FALSE)),"")</f>
        <v>Siemens studioLine Buzdolabı Kapı Paneli, 202.9x60.3cm</v>
      </c>
      <c r="C444" s="8"/>
      <c r="D444" s="8">
        <v>2</v>
      </c>
      <c r="E444" s="9"/>
      <c r="F444" s="9"/>
      <c r="G444" s="10"/>
      <c r="H444" s="10"/>
      <c r="I444" s="11"/>
      <c r="J444" s="11"/>
      <c r="K444" s="10">
        <v>1</v>
      </c>
      <c r="L444" s="10"/>
      <c r="M444" s="11"/>
      <c r="N444" s="134">
        <f t="shared" si="14"/>
        <v>3</v>
      </c>
      <c r="O444" s="135"/>
      <c r="P444" s="10"/>
      <c r="Q444" s="118" t="s">
        <v>1549</v>
      </c>
      <c r="R444" s="52">
        <v>6515.7970471358785</v>
      </c>
      <c r="S444" s="18">
        <v>5864.217342422291</v>
      </c>
      <c r="T444" s="12">
        <v>6098.7860361191824</v>
      </c>
      <c r="U444" s="12">
        <v>6333.3547298160747</v>
      </c>
      <c r="V444" s="13"/>
      <c r="W444" s="13"/>
      <c r="X444" s="14">
        <v>250</v>
      </c>
    </row>
    <row r="445" spans="1:24">
      <c r="A445" s="21" t="s">
        <v>439</v>
      </c>
      <c r="B445" s="51" t="str">
        <f>IFERROR(HYPERLINK(VLOOKUP(A445,ÜRÜNLER!A:C,3,FALSE),VLOOKUP(A445,ÜRÜNLER!A:B,2,FALSE)),"")</f>
        <v>Siemens Buzdolabı Kapı Paneli, 202.9x75.6cm</v>
      </c>
      <c r="C445" s="8">
        <v>4</v>
      </c>
      <c r="D445" s="8">
        <v>2</v>
      </c>
      <c r="E445" s="9"/>
      <c r="F445" s="9"/>
      <c r="G445" s="10"/>
      <c r="H445" s="10"/>
      <c r="I445" s="11"/>
      <c r="J445" s="11"/>
      <c r="K445" s="10">
        <v>1</v>
      </c>
      <c r="L445" s="10"/>
      <c r="M445" s="11"/>
      <c r="N445" s="134">
        <f t="shared" si="14"/>
        <v>7</v>
      </c>
      <c r="O445" s="135"/>
      <c r="P445" s="10"/>
      <c r="Q445" s="118" t="s">
        <v>1549</v>
      </c>
      <c r="R445" s="52">
        <v>12864.686900934046</v>
      </c>
      <c r="S445" s="18">
        <v>11578.218210840641</v>
      </c>
      <c r="T445" s="12">
        <v>12041.346939274266</v>
      </c>
      <c r="U445" s="12">
        <v>12504.475667707893</v>
      </c>
      <c r="V445" s="13"/>
      <c r="W445" s="13"/>
      <c r="X445" s="14">
        <v>250</v>
      </c>
    </row>
    <row r="446" spans="1:24">
      <c r="A446" s="142" t="s">
        <v>440</v>
      </c>
      <c r="B446" s="51" t="str">
        <f>IFERROR(HYPERLINK(VLOOKUP(A446,ÜRÜNLER!A:C,3,FALSE),VLOOKUP(A446,ÜRÜNLER!A:B,2,FALSE)),"")</f>
        <v>Siemens Buzdolabı Kapı Paneli, 202.9x90.8cm</v>
      </c>
      <c r="C446" s="8">
        <v>5</v>
      </c>
      <c r="D446" s="8">
        <v>2</v>
      </c>
      <c r="E446" s="9"/>
      <c r="F446" s="9"/>
      <c r="G446" s="10"/>
      <c r="H446" s="10"/>
      <c r="I446" s="11"/>
      <c r="J446" s="11">
        <v>1</v>
      </c>
      <c r="K446" s="10">
        <v>1</v>
      </c>
      <c r="L446" s="10"/>
      <c r="M446" s="11"/>
      <c r="N446" s="134">
        <f t="shared" si="14"/>
        <v>9</v>
      </c>
      <c r="O446" s="135"/>
      <c r="P446" s="10"/>
      <c r="Q446" s="118" t="s">
        <v>1549</v>
      </c>
      <c r="R446" s="52">
        <v>18868.450592859805</v>
      </c>
      <c r="S446" s="18">
        <v>16981.605533573824</v>
      </c>
      <c r="T446" s="12">
        <v>17660.869754916777</v>
      </c>
      <c r="U446" s="12">
        <v>18340.133976259731</v>
      </c>
      <c r="V446" s="13"/>
      <c r="W446" s="13"/>
      <c r="X446" s="14">
        <v>250</v>
      </c>
    </row>
    <row r="447" spans="1:24">
      <c r="A447" s="142" t="s">
        <v>441</v>
      </c>
      <c r="B447" s="51" t="str">
        <f>IFERROR(HYPERLINK(VLOOKUP(A447,ÜRÜNLER!A:C,3,FALSE),VLOOKUP(A447,ÜRÜNLER!A:B,2,FALSE)),"")</f>
        <v>Siemens Buzdolabı Bağlantı Seti</v>
      </c>
      <c r="C447" s="8">
        <v>4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4">
        <f t="shared" si="14"/>
        <v>4</v>
      </c>
      <c r="O447" s="135"/>
      <c r="P447" s="10"/>
      <c r="Q447" s="118" t="s">
        <v>1549</v>
      </c>
      <c r="S447" s="36"/>
      <c r="T447" s="12"/>
      <c r="U447" s="12">
        <v>0</v>
      </c>
      <c r="V447" s="13"/>
      <c r="W447" s="13"/>
      <c r="X447" s="14"/>
    </row>
    <row r="448" spans="1:24">
      <c r="A448" s="142" t="s">
        <v>442</v>
      </c>
      <c r="B448" s="51" t="str">
        <f>IFERROR(HYPERLINK(VLOOKUP(A448,ÜRÜNLER!A:C,3,FALSE),VLOOKUP(A448,ÜRÜNLER!A:B,2,FALSE)),"")</f>
        <v>Siemens Buzdolabı Bağlantı Seti</v>
      </c>
      <c r="C448" s="8">
        <v>2</v>
      </c>
      <c r="D448" s="8">
        <v>1</v>
      </c>
      <c r="E448" s="9"/>
      <c r="F448" s="9"/>
      <c r="G448" s="10"/>
      <c r="H448" s="10">
        <v>2</v>
      </c>
      <c r="I448" s="11"/>
      <c r="J448" s="11"/>
      <c r="K448" s="10"/>
      <c r="L448" s="10"/>
      <c r="M448" s="11"/>
      <c r="N448" s="134">
        <f t="shared" si="14"/>
        <v>5</v>
      </c>
      <c r="O448" s="135"/>
      <c r="P448" s="10"/>
      <c r="Q448" s="118" t="s">
        <v>1549</v>
      </c>
      <c r="R448" s="74" t="s">
        <v>1593</v>
      </c>
      <c r="S448" s="249">
        <v>5000</v>
      </c>
      <c r="T448" s="12">
        <v>5200</v>
      </c>
      <c r="U448" s="12">
        <v>5400</v>
      </c>
      <c r="V448" s="13"/>
      <c r="W448" s="13"/>
      <c r="X448" s="14">
        <v>250</v>
      </c>
    </row>
    <row r="449" spans="1:24">
      <c r="A449" s="142" t="s">
        <v>443</v>
      </c>
      <c r="B449" s="51" t="str">
        <f>IFERROR(HYPERLINK(VLOOKUP(A449,ÜRÜNLER!A:C,3,FALSE),VLOOKUP(A449,ÜRÜNLER!A:B,2,FALSE)),"")</f>
        <v>Siemens studioLine Buzdolabı Çekmecesi</v>
      </c>
      <c r="C449" s="8"/>
      <c r="D449" s="8">
        <v>1</v>
      </c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1</v>
      </c>
      <c r="O449" s="135"/>
      <c r="P449" s="10"/>
      <c r="Q449" s="118" t="s">
        <v>1549</v>
      </c>
      <c r="R449" s="52">
        <v>2251.7843805077478</v>
      </c>
      <c r="S449" s="18">
        <v>2026.605942456973</v>
      </c>
      <c r="T449" s="12">
        <v>2097.5371504429672</v>
      </c>
      <c r="U449" s="12">
        <v>2188.7344178535309</v>
      </c>
      <c r="V449" s="13"/>
      <c r="W449" s="13"/>
      <c r="X449" s="14">
        <v>250</v>
      </c>
    </row>
    <row r="450" spans="1:24">
      <c r="A450" s="142" t="s">
        <v>444</v>
      </c>
      <c r="B450" s="51" t="str">
        <f>IFERROR(HYPERLINK(VLOOKUP(A450,ÜRÜNLER!A:C,3,FALSE),VLOOKUP(A450,ÜRÜNLER!A:B,2,FALSE)),"")</f>
        <v>Siemens studioLine 36'' Buzdolabı Kapı Paneli, Paslanmaz Çelik, 3 Kapı</v>
      </c>
      <c r="C450" s="8"/>
      <c r="D450" s="8">
        <v>1</v>
      </c>
      <c r="E450" s="9"/>
      <c r="F450" s="9"/>
      <c r="G450" s="10"/>
      <c r="H450" s="10"/>
      <c r="I450" s="11"/>
      <c r="J450" s="11"/>
      <c r="K450" s="10"/>
      <c r="L450" s="10"/>
      <c r="M450" s="11"/>
      <c r="N450" s="134">
        <f t="shared" si="14"/>
        <v>1</v>
      </c>
      <c r="O450" s="135"/>
      <c r="P450" s="10"/>
      <c r="Q450" s="118" t="s">
        <v>1549</v>
      </c>
      <c r="R450" s="52">
        <v>10600.401058527552</v>
      </c>
      <c r="S450" s="18">
        <v>9540.3609526747969</v>
      </c>
      <c r="T450" s="12">
        <v>9874.2735860184148</v>
      </c>
      <c r="U450" s="12">
        <v>10303.58982888878</v>
      </c>
      <c r="V450" s="13"/>
      <c r="W450" s="13"/>
      <c r="X450" s="14">
        <v>250</v>
      </c>
    </row>
    <row r="451" spans="1:24">
      <c r="A451" s="31" t="s">
        <v>1600</v>
      </c>
      <c r="B451" s="51" t="str">
        <f>IFERROR(HYPERLINK(VLOOKUP(A451,ÜRÜNLER!A:C,3,FALSE),VLOOKUP(A451,ÜRÜNLER!A:B,2,FALSE)),"")</f>
        <v/>
      </c>
      <c r="C451" s="8"/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4"/>
      <c r="O451" s="135"/>
      <c r="P451" s="10"/>
      <c r="Q451" s="118"/>
      <c r="S451" s="37"/>
      <c r="T451" s="12"/>
      <c r="U451" s="12">
        <v>0</v>
      </c>
      <c r="V451" s="116"/>
      <c r="W451" s="13"/>
      <c r="X451" s="14"/>
    </row>
    <row r="452" spans="1:24">
      <c r="A452" s="140" t="s">
        <v>445</v>
      </c>
      <c r="B452" s="51" t="str">
        <f>IFERROR(HYPERLINK(VLOOKUP(A452,ÜRÜNLER!A:C,3,FALSE),VLOOKUP(A452,ÜRÜNLER!A:B,2,FALSE)),"")</f>
        <v>Siemens Ev Tipi Klima İç Ünite, 9.000BTU, Beyaz</v>
      </c>
      <c r="C452" s="8">
        <v>5</v>
      </c>
      <c r="D452" s="8"/>
      <c r="E452" s="9"/>
      <c r="F452" s="9"/>
      <c r="G452" s="10"/>
      <c r="H452" s="10"/>
      <c r="I452" s="11">
        <v>1</v>
      </c>
      <c r="J452" s="11"/>
      <c r="K452" s="10"/>
      <c r="L452" s="10"/>
      <c r="M452" s="11"/>
      <c r="N452" s="134">
        <f t="shared" ref="N452:N469" si="15">M452+L452+K452+J452+I452+H452+G452+F452+E452+D452+C452</f>
        <v>6</v>
      </c>
      <c r="O452" s="135"/>
      <c r="P452" s="10"/>
      <c r="Q452" s="118" t="s">
        <v>1549</v>
      </c>
      <c r="R452" s="52">
        <v>16020.74074189603</v>
      </c>
      <c r="S452" s="94">
        <v>16821.777778990832</v>
      </c>
      <c r="T452" s="12">
        <v>17410.540001255511</v>
      </c>
      <c r="U452" s="12">
        <v>18167.520001310098</v>
      </c>
      <c r="V452" s="13">
        <v>4000.282348013614</v>
      </c>
      <c r="W452" s="13"/>
      <c r="X452" s="14">
        <v>250</v>
      </c>
    </row>
    <row r="453" spans="1:24">
      <c r="A453" s="140" t="s">
        <v>446</v>
      </c>
      <c r="B453" s="51" t="str">
        <f>IFERROR(HYPERLINK(VLOOKUP(A453,ÜRÜNLER!A:C,3,FALSE),VLOOKUP(A453,ÜRÜNLER!A:B,2,FALSE)),"")</f>
        <v>Siemens Ev Tipi Klima Dış Ünite, 9.000BTU, Beyaz</v>
      </c>
      <c r="C453" s="8">
        <v>6</v>
      </c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>
        <f t="shared" si="15"/>
        <v>6</v>
      </c>
      <c r="O453" s="135"/>
      <c r="P453" s="10"/>
      <c r="Q453" s="118" t="s">
        <v>1549</v>
      </c>
      <c r="R453" s="52">
        <v>24031.111112844046</v>
      </c>
      <c r="S453" s="94">
        <v>25232.66666848625</v>
      </c>
      <c r="T453" s="12">
        <v>26115.81000188327</v>
      </c>
      <c r="U453" s="12">
        <v>27251.280001965151</v>
      </c>
      <c r="V453" s="13"/>
      <c r="W453" s="13"/>
      <c r="X453" s="14"/>
    </row>
    <row r="454" spans="1:24">
      <c r="A454" s="169" t="s">
        <v>447</v>
      </c>
      <c r="B454" s="51" t="str">
        <f>IFERROR(HYPERLINK(VLOOKUP(A454,ÜRÜNLER!A:C,3,FALSE),VLOOKUP(A454,ÜRÜNLER!A:B,2,FALSE)),"")</f>
        <v>Siemens Ev Tipi Klima İç Ünite, 12.000BTU, Beyaz</v>
      </c>
      <c r="C454" s="8"/>
      <c r="D454" s="8"/>
      <c r="E454" s="9"/>
      <c r="F454" s="9"/>
      <c r="G454" s="10"/>
      <c r="H454" s="10"/>
      <c r="I454" s="11"/>
      <c r="J454" s="11"/>
      <c r="K454" s="10">
        <v>2</v>
      </c>
      <c r="L454" s="10"/>
      <c r="M454" s="11"/>
      <c r="N454" s="134">
        <f t="shared" si="15"/>
        <v>2</v>
      </c>
      <c r="O454" s="135"/>
      <c r="P454" s="10"/>
      <c r="Q454" s="126" t="s">
        <v>1549</v>
      </c>
      <c r="R454" s="186"/>
      <c r="S454" s="92">
        <v>13000</v>
      </c>
      <c r="T454" s="93">
        <v>13455</v>
      </c>
      <c r="U454" s="12">
        <v>14040</v>
      </c>
      <c r="V454" s="13"/>
      <c r="W454" s="13"/>
      <c r="X454" s="14">
        <v>250</v>
      </c>
    </row>
    <row r="455" spans="1:24">
      <c r="A455" s="169" t="s">
        <v>448</v>
      </c>
      <c r="B455" s="51" t="str">
        <f>IFERROR(HYPERLINK(VLOOKUP(A455,ÜRÜNLER!A:C,3,FALSE),VLOOKUP(A455,ÜRÜNLER!A:B,2,FALSE)),"")</f>
        <v>Siemens Ev Tipi Klima Dış Ünite, 12.000BTU, Beyaz</v>
      </c>
      <c r="C455" s="8">
        <v>1</v>
      </c>
      <c r="D455" s="8"/>
      <c r="E455" s="9"/>
      <c r="F455" s="9"/>
      <c r="G455" s="10"/>
      <c r="H455" s="10"/>
      <c r="I455" s="11"/>
      <c r="J455" s="11"/>
      <c r="K455" s="10">
        <v>1</v>
      </c>
      <c r="L455" s="10"/>
      <c r="M455" s="11"/>
      <c r="N455" s="134">
        <f t="shared" si="15"/>
        <v>2</v>
      </c>
      <c r="O455" s="135"/>
      <c r="P455" s="10"/>
      <c r="Q455" s="126" t="s">
        <v>1549</v>
      </c>
      <c r="R455" s="186"/>
      <c r="S455" s="92">
        <v>18000</v>
      </c>
      <c r="T455" s="93">
        <v>18630</v>
      </c>
      <c r="U455" s="12">
        <v>19440</v>
      </c>
      <c r="V455" s="13"/>
      <c r="W455" s="13"/>
      <c r="X455" s="14"/>
    </row>
    <row r="456" spans="1:24">
      <c r="A456" s="170" t="s">
        <v>449</v>
      </c>
      <c r="B456" s="51" t="str">
        <f>IFERROR(HYPERLINK(VLOOKUP(A456,ÜRÜNLER!A:C,3,FALSE),VLOOKUP(A456,ÜRÜNLER!A:B,2,FALSE)),"")</f>
        <v>Siemens Ev Tipi Klima İç Ünite, 12.000BTU, Beyaz</v>
      </c>
      <c r="C456" s="8">
        <v>1</v>
      </c>
      <c r="D456" s="8"/>
      <c r="E456" s="9"/>
      <c r="F456" s="9">
        <v>1</v>
      </c>
      <c r="G456" s="10"/>
      <c r="H456" s="10"/>
      <c r="I456" s="11">
        <v>1</v>
      </c>
      <c r="J456" s="11"/>
      <c r="K456" s="10"/>
      <c r="L456" s="10"/>
      <c r="M456" s="11"/>
      <c r="N456" s="134">
        <f t="shared" si="15"/>
        <v>3</v>
      </c>
      <c r="O456" s="135"/>
      <c r="P456" s="10"/>
      <c r="Q456" s="118" t="s">
        <v>1549</v>
      </c>
      <c r="R456" s="52">
        <v>17599.318782707702</v>
      </c>
      <c r="S456" s="94">
        <v>18479.284721843087</v>
      </c>
      <c r="T456" s="12">
        <v>19126.059687107594</v>
      </c>
      <c r="U456" s="12">
        <v>19957.627499590533</v>
      </c>
      <c r="V456" s="13">
        <v>4399.6422482490671</v>
      </c>
      <c r="W456" s="13"/>
      <c r="X456" s="14">
        <v>250</v>
      </c>
    </row>
    <row r="457" spans="1:24">
      <c r="A457" s="170" t="s">
        <v>450</v>
      </c>
      <c r="B457" s="51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>
        <v>1</v>
      </c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3</v>
      </c>
      <c r="O457" s="135"/>
      <c r="P457" s="10"/>
      <c r="Q457" s="118" t="s">
        <v>1549</v>
      </c>
      <c r="R457" s="52">
        <v>26398.978174061547</v>
      </c>
      <c r="S457" s="94">
        <v>27718.927082764625</v>
      </c>
      <c r="T457" s="12">
        <v>28689.089530661386</v>
      </c>
      <c r="U457" s="12">
        <v>29936.441249385796</v>
      </c>
      <c r="V457" s="13"/>
      <c r="W457" s="13"/>
      <c r="X457" s="14"/>
    </row>
    <row r="458" spans="1:24">
      <c r="A458" s="171" t="s">
        <v>451</v>
      </c>
      <c r="B458" s="51" t="str">
        <f>IFERROR(HYPERLINK(VLOOKUP(A458,ÜRÜNLER!A:C,3,FALSE),VLOOKUP(A458,ÜRÜNLER!A:B,2,FALSE)),"")</f>
        <v>Siemens Ev Tipi Klima İç Ünite, 12.000BTU, Siyah</v>
      </c>
      <c r="C458" s="8">
        <v>2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34">
        <f t="shared" si="15"/>
        <v>2</v>
      </c>
      <c r="O458" s="135"/>
      <c r="P458" s="10"/>
      <c r="Q458" s="126" t="s">
        <v>1549</v>
      </c>
      <c r="R458" s="186">
        <v>19638.932436439351</v>
      </c>
      <c r="S458" s="94">
        <v>20620.879058261318</v>
      </c>
      <c r="T458" s="93">
        <v>21342.609825300464</v>
      </c>
      <c r="U458" s="12">
        <v>22270.549382922225</v>
      </c>
      <c r="V458" s="13">
        <v>4907.8692076903026</v>
      </c>
      <c r="W458" s="13"/>
      <c r="X458" s="14">
        <v>250</v>
      </c>
    </row>
    <row r="459" spans="1:24">
      <c r="A459" s="171" t="s">
        <v>452</v>
      </c>
      <c r="B459" s="51" t="str">
        <f>IFERROR(HYPERLINK(VLOOKUP(A459,ÜRÜNLER!A:C,3,FALSE),VLOOKUP(A459,ÜRÜNLER!A:B,2,FALSE)),"")</f>
        <v>Siemens Ev Tipi Klima Dış Ünite, 12.000BTU, Beyaz</v>
      </c>
      <c r="C459" s="8">
        <v>2</v>
      </c>
      <c r="D459" s="8"/>
      <c r="E459" s="9"/>
      <c r="F459" s="9"/>
      <c r="G459" s="10"/>
      <c r="H459" s="10"/>
      <c r="I459" s="11"/>
      <c r="J459" s="11"/>
      <c r="K459" s="10"/>
      <c r="L459" s="10"/>
      <c r="M459" s="11"/>
      <c r="N459" s="134">
        <f t="shared" si="15"/>
        <v>2</v>
      </c>
      <c r="O459" s="135"/>
      <c r="P459" s="10"/>
      <c r="Q459" s="126" t="s">
        <v>1549</v>
      </c>
      <c r="R459" s="186">
        <v>29458.398654659028</v>
      </c>
      <c r="S459" s="94">
        <v>30931.318587391979</v>
      </c>
      <c r="T459" s="93">
        <v>32013.914737950698</v>
      </c>
      <c r="U459" s="12">
        <v>33405.824074383338</v>
      </c>
      <c r="V459" s="13"/>
      <c r="W459" s="13"/>
      <c r="X459" s="14"/>
    </row>
    <row r="460" spans="1:24" s="16" customFormat="1">
      <c r="A460" s="170" t="s">
        <v>453</v>
      </c>
      <c r="B460" s="51" t="str">
        <f>IFERROR(HYPERLINK(VLOOKUP(A460,ÜRÜNLER!A:C,3,FALSE),VLOOKUP(A460,ÜRÜNLER!A:B,2,FALSE)),"")</f>
        <v>Siemens Ev Tipi Klima İç Ünite, 18.000BTU, Beyaz</v>
      </c>
      <c r="C460" s="8">
        <v>6</v>
      </c>
      <c r="D460" s="8"/>
      <c r="E460" s="9"/>
      <c r="F460" s="9"/>
      <c r="G460" s="10"/>
      <c r="H460" s="10"/>
      <c r="I460" s="11">
        <v>1</v>
      </c>
      <c r="J460" s="11"/>
      <c r="K460" s="10">
        <v>2</v>
      </c>
      <c r="L460" s="10"/>
      <c r="M460" s="11"/>
      <c r="N460" s="134">
        <f t="shared" si="15"/>
        <v>9</v>
      </c>
      <c r="O460" s="135"/>
      <c r="P460" s="10"/>
      <c r="Q460" s="127" t="s">
        <v>1549</v>
      </c>
      <c r="R460" s="52"/>
      <c r="S460" s="19">
        <v>20000</v>
      </c>
      <c r="T460" s="12">
        <v>20700</v>
      </c>
      <c r="U460" s="12">
        <v>21600</v>
      </c>
      <c r="V460" s="13"/>
      <c r="W460" s="13"/>
      <c r="X460" s="14">
        <v>250</v>
      </c>
    </row>
    <row r="461" spans="1:24" s="16" customFormat="1">
      <c r="A461" s="170" t="s">
        <v>454</v>
      </c>
      <c r="B461" s="51" t="str">
        <f>IFERROR(HYPERLINK(VLOOKUP(A461,ÜRÜNLER!A:C,3,FALSE),VLOOKUP(A461,ÜRÜNLER!A:B,2,FALSE)),"")</f>
        <v>Siemens Ev Tipi Klima Dış Ünite, 18.000BTU, Beyaz</v>
      </c>
      <c r="C461" s="8">
        <v>8</v>
      </c>
      <c r="D461" s="8"/>
      <c r="E461" s="9"/>
      <c r="F461" s="9"/>
      <c r="G461" s="10"/>
      <c r="H461" s="10"/>
      <c r="I461" s="11"/>
      <c r="J461" s="11"/>
      <c r="K461" s="10">
        <v>1</v>
      </c>
      <c r="L461" s="10"/>
      <c r="M461" s="11"/>
      <c r="N461" s="134">
        <f t="shared" si="15"/>
        <v>9</v>
      </c>
      <c r="O461" s="135"/>
      <c r="P461" s="10"/>
      <c r="Q461" s="127" t="s">
        <v>1549</v>
      </c>
      <c r="R461" s="52"/>
      <c r="S461" s="19">
        <v>34000</v>
      </c>
      <c r="T461" s="12">
        <v>35190</v>
      </c>
      <c r="U461" s="12">
        <v>36720</v>
      </c>
      <c r="V461" s="13"/>
      <c r="W461" s="13"/>
      <c r="X461" s="14"/>
    </row>
    <row r="462" spans="1:24">
      <c r="A462" s="171" t="s">
        <v>455</v>
      </c>
      <c r="B462" s="51" t="str">
        <f>IFERROR(HYPERLINK(VLOOKUP(A462,ÜRÜNLER!A:C,3,FALSE),VLOOKUP(A462,ÜRÜNLER!A:B,2,FALSE)),"")</f>
        <v>Siemens Ev Tipi Klima İç Ünite, 18.000BTU,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4">
        <f t="shared" si="15"/>
        <v>2</v>
      </c>
      <c r="O462" s="135"/>
      <c r="P462" s="10"/>
      <c r="Q462" s="126" t="s">
        <v>1549</v>
      </c>
      <c r="R462" s="186">
        <v>27721.370472790273</v>
      </c>
      <c r="S462" s="94">
        <v>29107.438996429788</v>
      </c>
      <c r="T462" s="93">
        <v>30126.199361304829</v>
      </c>
      <c r="U462" s="12">
        <v>31436.034116144172</v>
      </c>
      <c r="V462" s="13">
        <v>6923.3813389263523</v>
      </c>
      <c r="W462" s="13"/>
      <c r="X462" s="14">
        <v>250</v>
      </c>
    </row>
    <row r="463" spans="1:24">
      <c r="A463" s="171" t="s">
        <v>456</v>
      </c>
      <c r="B463" s="51" t="str">
        <f>IFERROR(HYPERLINK(VLOOKUP(A463,ÜRÜNLER!A:C,3,FALSE),VLOOKUP(A463,ÜRÜNLER!A:B,2,FALSE)),"")</f>
        <v>Siemens Ev Tipi Klima Dış Ünite, 18.000BTU,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4">
        <f t="shared" si="15"/>
        <v>2</v>
      </c>
      <c r="O463" s="135"/>
      <c r="P463" s="10"/>
      <c r="Q463" s="126" t="s">
        <v>1549</v>
      </c>
      <c r="R463" s="186">
        <v>41582.055709185406</v>
      </c>
      <c r="S463" s="94">
        <v>43661.158494644675</v>
      </c>
      <c r="T463" s="93">
        <v>45189.299041957238</v>
      </c>
      <c r="U463" s="12">
        <v>47154.051174216249</v>
      </c>
      <c r="V463" s="13"/>
      <c r="W463" s="13"/>
      <c r="X463" s="14"/>
    </row>
    <row r="464" spans="1:24" s="16" customFormat="1">
      <c r="A464" s="142" t="s">
        <v>457</v>
      </c>
      <c r="B464" s="51" t="str">
        <f>IFERROR(HYPERLINK(VLOOKUP(A464,ÜRÜNLER!A:C,3,FALSE),VLOOKUP(A464,ÜRÜNLER!A:B,2,FALSE)),"")</f>
        <v>Siemens Ev Tipi Klima İç Ünite, 24.000BTU, Beyaz</v>
      </c>
      <c r="C464" s="8"/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34">
        <f t="shared" si="15"/>
        <v>1</v>
      </c>
      <c r="O464" s="135"/>
      <c r="P464" s="10"/>
      <c r="Q464" s="127"/>
      <c r="R464" s="52"/>
      <c r="S464" s="19">
        <v>24000</v>
      </c>
      <c r="T464" s="12">
        <v>24840</v>
      </c>
      <c r="U464" s="12">
        <v>25920</v>
      </c>
      <c r="V464" s="13"/>
      <c r="W464" s="13"/>
      <c r="X464" s="14">
        <v>250</v>
      </c>
    </row>
    <row r="465" spans="1:24" s="16" customFormat="1">
      <c r="A465" s="142" t="s">
        <v>458</v>
      </c>
      <c r="B465" s="51" t="str">
        <f>IFERROR(HYPERLINK(VLOOKUP(A465,ÜRÜNLER!A:C,3,FALSE),VLOOKUP(A465,ÜRÜNLER!A:B,2,FALSE)),"")</f>
        <v>Siemens Ev Tipi Klima Dış Ünite, 24.000BTU, Beyaz</v>
      </c>
      <c r="C465" s="8"/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4">
        <f t="shared" si="15"/>
        <v>1</v>
      </c>
      <c r="O465" s="135"/>
      <c r="P465" s="10"/>
      <c r="Q465" s="127"/>
      <c r="R465" s="52"/>
      <c r="S465" s="19">
        <v>35000</v>
      </c>
      <c r="T465" s="12">
        <v>36225</v>
      </c>
      <c r="U465" s="12">
        <v>37800</v>
      </c>
      <c r="V465" s="13"/>
      <c r="W465" s="13"/>
      <c r="X465" s="14"/>
    </row>
    <row r="466" spans="1:24" s="16" customFormat="1">
      <c r="A466" s="172" t="s">
        <v>1480</v>
      </c>
      <c r="B466" s="51" t="str">
        <f>IFERROR(HYPERLINK(VLOOKUP(A466,ÜRÜNLER!A:C,3,FALSE),VLOOKUP(A466,ÜRÜNLER!A:B,2,FALSE)),"")</f>
        <v>Siemens Ev Tipi Klima İç Ünite, 24.000BTU, Beyaz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4">
        <f t="shared" si="15"/>
        <v>4</v>
      </c>
      <c r="O466" s="136"/>
      <c r="P466" s="10"/>
      <c r="Q466" s="128"/>
      <c r="R466" s="186">
        <v>30075.909952049711</v>
      </c>
      <c r="S466" s="94">
        <v>33083.500947254681</v>
      </c>
      <c r="T466" s="93">
        <v>34241.423480408594</v>
      </c>
      <c r="U466" s="12">
        <v>35730.181023035053</v>
      </c>
      <c r="V466" s="13">
        <v>7512.6448352812149</v>
      </c>
      <c r="W466" s="13"/>
      <c r="X466" s="14">
        <v>250</v>
      </c>
    </row>
    <row r="467" spans="1:24" s="16" customFormat="1">
      <c r="A467" s="172" t="s">
        <v>1481</v>
      </c>
      <c r="B467" s="51" t="str">
        <f>IFERROR(HYPERLINK(VLOOKUP(A467,ÜRÜNLER!A:C,3,FALSE),VLOOKUP(A467,ÜRÜNLER!A:B,2,FALSE)),"")</f>
        <v>Siemens Ev Tipi Klima Dış Ünite, 24.000BTU, Beyaz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4">
        <f t="shared" si="15"/>
        <v>4</v>
      </c>
      <c r="O467" s="136"/>
      <c r="P467" s="10"/>
      <c r="Q467" s="128"/>
      <c r="R467" s="186">
        <v>45113.864928074559</v>
      </c>
      <c r="S467" s="94">
        <v>49625.251420882014</v>
      </c>
      <c r="T467" s="93">
        <v>51362.135220612887</v>
      </c>
      <c r="U467" s="12">
        <v>53595.271534552572</v>
      </c>
      <c r="V467" s="13"/>
      <c r="W467" s="13"/>
      <c r="X467" s="14"/>
    </row>
    <row r="468" spans="1:24">
      <c r="A468" s="142" t="s">
        <v>1317</v>
      </c>
      <c r="B468" s="51" t="str">
        <f>IFERROR(HYPERLINK(VLOOKUP(A468,ÜRÜNLER!A:C,3,FALSE),VLOOKUP(A468,ÜRÜNLER!A:B,2,FALSE)),"")</f>
        <v>SHAZA Akım Korumalı Akıllı Priz (Beyaz)</v>
      </c>
      <c r="C468" s="8"/>
      <c r="D468" s="8"/>
      <c r="E468" s="9"/>
      <c r="F468" s="9"/>
      <c r="G468" s="10"/>
      <c r="H468" s="10"/>
      <c r="I468" s="11">
        <v>7</v>
      </c>
      <c r="J468" s="11">
        <v>5</v>
      </c>
      <c r="K468" s="10"/>
      <c r="L468" s="10"/>
      <c r="M468" s="11"/>
      <c r="N468" s="134">
        <f t="shared" si="15"/>
        <v>12</v>
      </c>
      <c r="O468" s="135"/>
      <c r="P468" s="10"/>
      <c r="S468" s="15">
        <v>850</v>
      </c>
      <c r="T468" s="42">
        <v>879.75</v>
      </c>
      <c r="U468" s="12">
        <v>918</v>
      </c>
      <c r="V468" s="13"/>
      <c r="W468" s="13"/>
    </row>
    <row r="469" spans="1:24">
      <c r="A469" s="142" t="s">
        <v>1318</v>
      </c>
      <c r="B469" s="51" t="str">
        <f>IFERROR(HYPERLINK(VLOOKUP(A469,ÜRÜNLER!A:C,3,FALSE),VLOOKUP(A469,ÜRÜNLER!A:B,2,FALSE)),"")</f>
        <v>SHAZA Akım Korumalı Üçlü Priz (Beyaz)</v>
      </c>
      <c r="C469" s="8"/>
      <c r="D469" s="8"/>
      <c r="E469" s="9"/>
      <c r="F469" s="9">
        <v>5</v>
      </c>
      <c r="G469" s="10"/>
      <c r="H469" s="10"/>
      <c r="I469" s="11">
        <v>24</v>
      </c>
      <c r="J469" s="11">
        <v>4</v>
      </c>
      <c r="K469" s="10"/>
      <c r="L469" s="10"/>
      <c r="M469" s="11"/>
      <c r="N469" s="134">
        <f t="shared" si="15"/>
        <v>33</v>
      </c>
      <c r="O469" s="135"/>
      <c r="P469" s="10"/>
      <c r="S469" s="41">
        <v>850</v>
      </c>
      <c r="T469" s="42">
        <v>879.75</v>
      </c>
      <c r="U469" s="12">
        <v>918</v>
      </c>
      <c r="V469" s="13"/>
      <c r="W469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16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4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459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460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1310</v>
      </c>
      <c r="B14" s="195"/>
      <c r="C14" s="195"/>
      <c r="D14" s="195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5" t="s">
        <v>462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461</v>
      </c>
      <c r="B16" s="193"/>
      <c r="C16" s="193"/>
      <c r="D16" s="193"/>
      <c r="E16" s="72">
        <f>SUM(E12:E15)</f>
        <v>-38160</v>
      </c>
      <c r="F16" s="72">
        <f>SUM(F12:F15)</f>
        <v>-20160</v>
      </c>
      <c r="I16"/>
      <c r="J16"/>
    </row>
    <row r="17" spans="1:8">
      <c r="A17" s="191" t="s">
        <v>1341</v>
      </c>
      <c r="B17" s="191"/>
      <c r="C17" s="191"/>
      <c r="D17" s="191"/>
      <c r="E17" s="192">
        <f>E16*1.08</f>
        <v>-41212.800000000003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196" t="s">
        <v>1566</v>
      </c>
      <c r="D2" s="199" t="s">
        <v>1567</v>
      </c>
      <c r="E2" s="200"/>
    </row>
    <row r="3" spans="3:13">
      <c r="C3" s="197"/>
      <c r="D3" s="201"/>
      <c r="E3" s="202"/>
    </row>
    <row r="4" spans="3:13">
      <c r="C4" s="197"/>
      <c r="D4" s="201"/>
      <c r="E4" s="202"/>
    </row>
    <row r="5" spans="3:13">
      <c r="C5" s="197"/>
      <c r="D5" s="201"/>
      <c r="E5" s="202"/>
    </row>
    <row r="6" spans="3:13">
      <c r="C6" s="197"/>
      <c r="D6" s="201"/>
      <c r="E6" s="202"/>
    </row>
    <row r="7" spans="3:13">
      <c r="C7" s="197"/>
      <c r="D7" s="201"/>
      <c r="E7" s="202"/>
    </row>
    <row r="8" spans="3:13" ht="35.25" customHeight="1" thickBot="1">
      <c r="C8" s="197"/>
      <c r="D8" s="201"/>
      <c r="E8" s="202"/>
    </row>
    <row r="9" spans="3:13" ht="34.5" customHeight="1" thickBot="1">
      <c r="C9" s="198"/>
      <c r="D9" s="203"/>
      <c r="E9" s="204"/>
      <c r="K9" s="196" t="s">
        <v>1568</v>
      </c>
      <c r="L9" s="205" t="s">
        <v>468</v>
      </c>
      <c r="M9" s="206"/>
    </row>
    <row r="10" spans="3:13" ht="35.25" customHeight="1" thickBot="1">
      <c r="K10" s="197"/>
      <c r="L10" s="207"/>
      <c r="M10" s="208"/>
    </row>
    <row r="11" spans="3:13" ht="34.5" customHeight="1">
      <c r="C11" s="196" t="s">
        <v>1569</v>
      </c>
      <c r="D11" s="199" t="s">
        <v>1570</v>
      </c>
      <c r="E11" s="200"/>
      <c r="K11" s="197"/>
      <c r="L11" s="209" t="s">
        <v>1571</v>
      </c>
      <c r="M11" s="210"/>
    </row>
    <row r="12" spans="3:13" ht="34.5" customHeight="1">
      <c r="C12" s="197"/>
      <c r="D12" s="201"/>
      <c r="E12" s="202"/>
      <c r="K12" s="197"/>
      <c r="L12" s="211"/>
      <c r="M12" s="212"/>
    </row>
    <row r="13" spans="3:13" ht="113.25" customHeight="1" thickBot="1">
      <c r="C13" s="197"/>
      <c r="D13" s="201"/>
      <c r="E13" s="202"/>
      <c r="K13" s="197"/>
      <c r="L13" s="211"/>
      <c r="M13" s="212"/>
    </row>
    <row r="14" spans="3:13" ht="36" hidden="1" customHeight="1" thickBot="1">
      <c r="C14" s="197"/>
      <c r="D14" s="201"/>
      <c r="E14" s="202"/>
      <c r="K14" s="197"/>
      <c r="L14" s="213"/>
      <c r="M14" s="214"/>
    </row>
    <row r="15" spans="3:13" ht="34.5" customHeight="1">
      <c r="C15" s="197"/>
      <c r="D15" s="201"/>
      <c r="E15" s="202"/>
      <c r="K15" s="197"/>
      <c r="L15" s="215" t="s">
        <v>1572</v>
      </c>
      <c r="M15" s="216"/>
    </row>
    <row r="16" spans="3:13" ht="35.25" customHeight="1">
      <c r="C16" s="197"/>
      <c r="D16" s="201"/>
      <c r="E16" s="202"/>
      <c r="K16" s="197"/>
      <c r="L16" s="217"/>
      <c r="M16" s="218"/>
    </row>
    <row r="17" spans="3:13">
      <c r="C17" s="197"/>
      <c r="D17" s="201"/>
      <c r="E17" s="202"/>
      <c r="K17" s="197"/>
      <c r="L17" s="217"/>
      <c r="M17" s="218"/>
    </row>
    <row r="18" spans="3:13" ht="34.5" customHeight="1" thickBot="1">
      <c r="C18" s="198"/>
      <c r="D18" s="203"/>
      <c r="E18" s="204"/>
      <c r="K18" s="197"/>
      <c r="L18" s="217"/>
      <c r="M18" s="218"/>
    </row>
    <row r="19" spans="3:13" ht="0.75" customHeight="1">
      <c r="K19" s="197"/>
      <c r="L19" s="217"/>
      <c r="M19" s="218"/>
    </row>
    <row r="20" spans="3:13" ht="34.5" customHeight="1" thickBot="1">
      <c r="K20" s="197"/>
      <c r="L20" s="217"/>
      <c r="M20" s="218"/>
    </row>
    <row r="21" spans="3:13" ht="9" customHeight="1">
      <c r="C21" s="196" t="s">
        <v>1573</v>
      </c>
      <c r="D21" s="199" t="s">
        <v>1574</v>
      </c>
      <c r="E21" s="200"/>
      <c r="K21" s="197"/>
      <c r="L21" s="217"/>
      <c r="M21" s="218"/>
    </row>
    <row r="22" spans="3:13" ht="35.25" hidden="1" customHeight="1">
      <c r="C22" s="197"/>
      <c r="D22" s="201"/>
      <c r="E22" s="202"/>
      <c r="K22" s="197"/>
      <c r="L22" s="217"/>
      <c r="M22" s="218"/>
    </row>
    <row r="23" spans="3:13" ht="173.25" hidden="1" customHeight="1">
      <c r="C23" s="197"/>
      <c r="D23" s="201"/>
      <c r="E23" s="202"/>
      <c r="K23" s="197"/>
      <c r="L23" s="217"/>
      <c r="M23" s="218"/>
    </row>
    <row r="24" spans="3:13" ht="22.5" customHeight="1" thickBot="1">
      <c r="C24" s="197"/>
      <c r="D24" s="201"/>
      <c r="E24" s="202"/>
      <c r="K24" s="198"/>
      <c r="L24" s="219"/>
      <c r="M24" s="220"/>
    </row>
    <row r="25" spans="3:13" ht="34.5" customHeight="1">
      <c r="C25" s="197"/>
      <c r="D25" s="201"/>
      <c r="E25" s="202"/>
    </row>
    <row r="26" spans="3:13" ht="35.25" customHeight="1" thickBot="1">
      <c r="C26" s="197"/>
      <c r="D26" s="201"/>
      <c r="E26" s="202"/>
    </row>
    <row r="27" spans="3:13" ht="34.5" customHeight="1">
      <c r="C27" s="197"/>
      <c r="D27" s="201"/>
      <c r="E27" s="202"/>
      <c r="K27" s="196" t="s">
        <v>1575</v>
      </c>
      <c r="L27" s="205" t="s">
        <v>469</v>
      </c>
      <c r="M27" s="206"/>
    </row>
    <row r="28" spans="3:13" ht="35.25" customHeight="1" thickBot="1">
      <c r="C28" s="197"/>
      <c r="D28" s="203"/>
      <c r="E28" s="204"/>
      <c r="K28" s="197"/>
      <c r="L28" s="207"/>
      <c r="M28" s="208"/>
    </row>
    <row r="29" spans="3:13" ht="6.75" customHeight="1">
      <c r="C29" s="197"/>
      <c r="D29" s="215" t="s">
        <v>1576</v>
      </c>
      <c r="E29" s="216"/>
      <c r="K29" s="197"/>
      <c r="L29" s="209" t="s">
        <v>1577</v>
      </c>
      <c r="M29" s="210"/>
    </row>
    <row r="30" spans="3:13" ht="36" hidden="1" customHeight="1" thickBot="1">
      <c r="C30" s="197"/>
      <c r="D30" s="217"/>
      <c r="E30" s="218"/>
      <c r="K30" s="197"/>
      <c r="L30" s="211"/>
      <c r="M30" s="212"/>
    </row>
    <row r="31" spans="3:13" ht="179.25" customHeight="1">
      <c r="C31" s="197"/>
      <c r="D31" s="217"/>
      <c r="E31" s="218"/>
      <c r="K31" s="197"/>
      <c r="L31" s="211"/>
      <c r="M31" s="212"/>
    </row>
    <row r="32" spans="3:13" ht="35.25" customHeight="1" thickBot="1">
      <c r="C32" s="197"/>
      <c r="D32" s="217"/>
      <c r="E32" s="218"/>
      <c r="K32" s="197"/>
      <c r="L32" s="213"/>
      <c r="M32" s="214"/>
    </row>
    <row r="33" spans="3:33" ht="34.5" customHeight="1">
      <c r="C33" s="197"/>
      <c r="D33" s="217"/>
      <c r="E33" s="218"/>
      <c r="K33" s="197"/>
      <c r="L33" s="221" t="s">
        <v>1578</v>
      </c>
      <c r="M33" s="222"/>
    </row>
    <row r="34" spans="3:33" ht="39.75" customHeight="1" thickBot="1">
      <c r="C34" s="198"/>
      <c r="D34" s="219"/>
      <c r="E34" s="220"/>
      <c r="K34" s="197"/>
      <c r="L34" s="223"/>
      <c r="M34" s="224"/>
    </row>
    <row r="35" spans="3:33" ht="34.5" customHeight="1" thickBot="1">
      <c r="K35" s="197"/>
      <c r="L35" s="223"/>
      <c r="M35" s="224"/>
      <c r="AG35" s="179"/>
    </row>
    <row r="36" spans="3:33" ht="35.25" customHeight="1">
      <c r="C36" s="196" t="s">
        <v>1579</v>
      </c>
      <c r="D36" s="205" t="s">
        <v>470</v>
      </c>
      <c r="E36" s="206"/>
      <c r="K36" s="197"/>
      <c r="L36" s="223"/>
      <c r="M36" s="224"/>
      <c r="AG36" s="179"/>
    </row>
    <row r="37" spans="3:33" ht="35.25" customHeight="1" thickBot="1">
      <c r="C37" s="197"/>
      <c r="D37" s="207"/>
      <c r="E37" s="208"/>
      <c r="K37" s="198"/>
      <c r="L37" s="225"/>
      <c r="M37" s="226"/>
      <c r="AG37" s="179"/>
    </row>
    <row r="38" spans="3:33" ht="34.5" customHeight="1">
      <c r="C38" s="197"/>
      <c r="D38" s="243" t="s">
        <v>1580</v>
      </c>
      <c r="E38" s="244"/>
      <c r="AG38" s="179"/>
    </row>
    <row r="39" spans="3:33" ht="35.25" customHeight="1" thickBot="1">
      <c r="C39" s="197"/>
      <c r="D39" s="245"/>
      <c r="E39" s="246"/>
      <c r="AG39" s="179"/>
    </row>
    <row r="40" spans="3:33" ht="83.25" customHeight="1">
      <c r="C40" s="197"/>
      <c r="D40" s="245"/>
      <c r="E40" s="246"/>
      <c r="K40" s="196" t="s">
        <v>1581</v>
      </c>
      <c r="L40" s="209" t="s">
        <v>1582</v>
      </c>
      <c r="M40" s="210"/>
      <c r="AG40" s="179"/>
    </row>
    <row r="41" spans="3:33" ht="218.25" customHeight="1" thickBot="1">
      <c r="C41" s="197"/>
      <c r="D41" s="245"/>
      <c r="E41" s="246"/>
      <c r="K41" s="197"/>
      <c r="L41" s="213"/>
      <c r="M41" s="214"/>
      <c r="AG41" s="179"/>
    </row>
    <row r="42" spans="3:33" ht="34.5" customHeight="1">
      <c r="C42" s="197"/>
      <c r="D42" s="245"/>
      <c r="E42" s="246"/>
      <c r="K42" s="197"/>
      <c r="L42" s="227" t="s">
        <v>471</v>
      </c>
      <c r="M42" s="228"/>
    </row>
    <row r="43" spans="3:33" ht="34.5" customHeight="1" thickBot="1">
      <c r="C43" s="197"/>
      <c r="D43" s="247"/>
      <c r="E43" s="248"/>
      <c r="K43" s="197"/>
      <c r="L43" s="229"/>
      <c r="M43" s="230"/>
    </row>
    <row r="44" spans="3:33" ht="34.5" customHeight="1">
      <c r="C44" s="197"/>
      <c r="D44" s="233" t="s">
        <v>1583</v>
      </c>
      <c r="E44" s="234"/>
      <c r="K44" s="197"/>
      <c r="L44" s="229"/>
      <c r="M44" s="230"/>
    </row>
    <row r="45" spans="3:33" ht="35.25" customHeight="1" thickBot="1">
      <c r="C45" s="197"/>
      <c r="D45" s="235"/>
      <c r="E45" s="236"/>
      <c r="K45" s="197"/>
      <c r="L45" s="231"/>
      <c r="M45" s="232"/>
    </row>
    <row r="46" spans="3:33" ht="34.5" customHeight="1">
      <c r="C46" s="197"/>
      <c r="D46" s="235"/>
      <c r="E46" s="236"/>
      <c r="K46" s="197"/>
      <c r="L46" s="215" t="s">
        <v>1584</v>
      </c>
      <c r="M46" s="216"/>
    </row>
    <row r="47" spans="3:33" ht="34.5" customHeight="1">
      <c r="C47" s="197"/>
      <c r="D47" s="235"/>
      <c r="E47" s="236"/>
      <c r="K47" s="197"/>
      <c r="L47" s="217"/>
      <c r="M47" s="218"/>
    </row>
    <row r="48" spans="3:33" ht="34.5" customHeight="1">
      <c r="C48" s="197"/>
      <c r="D48" s="235"/>
      <c r="E48" s="236"/>
      <c r="K48" s="197"/>
      <c r="L48" s="217"/>
      <c r="M48" s="218"/>
    </row>
    <row r="49" spans="3:13" ht="34.5" customHeight="1" thickBot="1">
      <c r="C49" s="198"/>
      <c r="D49" s="237"/>
      <c r="E49" s="238"/>
      <c r="K49" s="197"/>
      <c r="L49" s="217"/>
      <c r="M49" s="218"/>
    </row>
    <row r="50" spans="3:13" ht="34.5" customHeight="1" thickBot="1">
      <c r="K50" s="197"/>
      <c r="L50" s="217"/>
      <c r="M50" s="218"/>
    </row>
    <row r="51" spans="3:13" ht="35.25" customHeight="1">
      <c r="C51" s="196" t="s">
        <v>1585</v>
      </c>
      <c r="D51" s="199" t="s">
        <v>1586</v>
      </c>
      <c r="E51" s="200"/>
      <c r="K51" s="197"/>
      <c r="L51" s="217"/>
      <c r="M51" s="218"/>
    </row>
    <row r="52" spans="3:13" ht="34.5" customHeight="1">
      <c r="C52" s="197"/>
      <c r="D52" s="201"/>
      <c r="E52" s="202"/>
      <c r="K52" s="197"/>
      <c r="L52" s="217"/>
      <c r="M52" s="218"/>
    </row>
    <row r="53" spans="3:13" ht="34.5" customHeight="1">
      <c r="C53" s="197"/>
      <c r="D53" s="201"/>
      <c r="E53" s="202"/>
      <c r="K53" s="197"/>
      <c r="L53" s="217"/>
      <c r="M53" s="218"/>
    </row>
    <row r="54" spans="3:13" ht="34.5" customHeight="1">
      <c r="C54" s="197"/>
      <c r="D54" s="201"/>
      <c r="E54" s="202"/>
      <c r="K54" s="197"/>
      <c r="L54" s="217"/>
      <c r="M54" s="218"/>
    </row>
    <row r="55" spans="3:13" ht="35.25" customHeight="1" thickBot="1">
      <c r="C55" s="197"/>
      <c r="D55" s="201"/>
      <c r="E55" s="202"/>
      <c r="K55" s="198"/>
      <c r="L55" s="219"/>
      <c r="M55" s="220"/>
    </row>
    <row r="56" spans="3:13">
      <c r="C56" s="197"/>
      <c r="D56" s="201"/>
      <c r="E56" s="202"/>
    </row>
    <row r="57" spans="3:13" ht="35.25" thickBot="1">
      <c r="C57" s="197"/>
      <c r="D57" s="201"/>
      <c r="E57" s="202"/>
    </row>
    <row r="58" spans="3:13" ht="143.25" customHeight="1" thickBot="1">
      <c r="C58" s="198"/>
      <c r="D58" s="203"/>
      <c r="E58" s="204"/>
      <c r="K58" s="196" t="s">
        <v>1587</v>
      </c>
      <c r="L58" s="239" t="s">
        <v>1588</v>
      </c>
      <c r="M58" s="240"/>
    </row>
    <row r="59" spans="3:13" ht="143.25" customHeight="1" thickBot="1">
      <c r="K59" s="197"/>
      <c r="L59" s="241"/>
      <c r="M59" s="242"/>
    </row>
    <row r="60" spans="3:13" ht="34.5" customHeight="1">
      <c r="K60" s="197"/>
      <c r="L60" s="227" t="s">
        <v>471</v>
      </c>
      <c r="M60" s="228"/>
    </row>
    <row r="61" spans="3:13">
      <c r="K61" s="197"/>
      <c r="L61" s="229"/>
      <c r="M61" s="230"/>
    </row>
    <row r="62" spans="3:13">
      <c r="K62" s="197"/>
      <c r="L62" s="229"/>
      <c r="M62" s="230"/>
    </row>
    <row r="63" spans="3:13" ht="35.25" thickBot="1">
      <c r="K63" s="197"/>
      <c r="L63" s="231"/>
      <c r="M63" s="232"/>
    </row>
    <row r="64" spans="3:13">
      <c r="K64" s="197"/>
      <c r="L64" s="215" t="s">
        <v>1589</v>
      </c>
      <c r="M64" s="216"/>
    </row>
    <row r="65" spans="11:13">
      <c r="K65" s="197"/>
      <c r="L65" s="217"/>
      <c r="M65" s="218"/>
    </row>
    <row r="66" spans="11:13">
      <c r="K66" s="197"/>
      <c r="L66" s="217"/>
      <c r="M66" s="218"/>
    </row>
    <row r="67" spans="11:13">
      <c r="K67" s="197"/>
      <c r="L67" s="217"/>
      <c r="M67" s="218"/>
    </row>
    <row r="68" spans="11:13">
      <c r="K68" s="197"/>
      <c r="L68" s="217"/>
      <c r="M68" s="218"/>
    </row>
    <row r="69" spans="11:13">
      <c r="K69" s="197"/>
      <c r="L69" s="217"/>
      <c r="M69" s="218"/>
    </row>
    <row r="70" spans="11:13">
      <c r="K70" s="197"/>
      <c r="L70" s="217"/>
      <c r="M70" s="218"/>
    </row>
    <row r="71" spans="11:13">
      <c r="K71" s="197"/>
      <c r="L71" s="217"/>
      <c r="M71" s="218"/>
    </row>
    <row r="72" spans="11:13">
      <c r="K72" s="197"/>
      <c r="L72" s="217"/>
      <c r="M72" s="218"/>
    </row>
    <row r="73" spans="11:13" ht="35.25" thickBot="1">
      <c r="K73" s="198"/>
      <c r="L73" s="219"/>
      <c r="M73" s="220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B547" sqref="B547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1488</v>
      </c>
      <c r="B2" s="83" t="s">
        <v>1601</v>
      </c>
      <c r="C2" s="86" t="s">
        <v>1509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1497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1498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1501</v>
      </c>
      <c r="B39" s="83" t="s">
        <v>785</v>
      </c>
      <c r="C39" s="112" t="s">
        <v>1502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1563</v>
      </c>
      <c r="B77" s="51" t="s">
        <v>1565</v>
      </c>
      <c r="C77" s="112" t="s">
        <v>1564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1510</v>
      </c>
      <c r="B85" s="83" t="s">
        <v>711</v>
      </c>
      <c r="C85" s="112" t="s">
        <v>1511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1493</v>
      </c>
      <c r="B113" s="51" t="s">
        <v>718</v>
      </c>
      <c r="C113" s="112" t="s">
        <v>1496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1555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1508</v>
      </c>
      <c r="B158" s="83" t="s">
        <v>1512</v>
      </c>
      <c r="C158" s="84" t="s">
        <v>1513</v>
      </c>
    </row>
    <row r="159" spans="1:3">
      <c r="A159" s="112" t="s">
        <v>1514</v>
      </c>
      <c r="B159" s="83" t="s">
        <v>757</v>
      </c>
      <c r="C159" s="112" t="s">
        <v>1515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1516</v>
      </c>
      <c r="B192" s="83" t="s">
        <v>1321</v>
      </c>
      <c r="C192" s="86" t="s">
        <v>1517</v>
      </c>
    </row>
    <row r="193" spans="1:3">
      <c r="A193" s="111" t="s">
        <v>1518</v>
      </c>
      <c r="B193" s="83" t="s">
        <v>1321</v>
      </c>
      <c r="C193" s="86" t="s">
        <v>1519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1489</v>
      </c>
      <c r="B244" s="83" t="s">
        <v>1495</v>
      </c>
      <c r="C244" s="112" t="s">
        <v>1494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1551</v>
      </c>
      <c r="B252" s="83" t="s">
        <v>1399</v>
      </c>
      <c r="C252" s="112" t="s">
        <v>1553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1560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1520</v>
      </c>
      <c r="B298" s="83" t="s">
        <v>1521</v>
      </c>
      <c r="C298" s="86" t="s">
        <v>1522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1507</v>
      </c>
      <c r="B332" s="83" t="s">
        <v>1523</v>
      </c>
      <c r="C332" s="84" t="s">
        <v>1524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1525</v>
      </c>
      <c r="B339" s="83" t="s">
        <v>672</v>
      </c>
      <c r="C339" s="112" t="s">
        <v>1526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1482</v>
      </c>
      <c r="B367" s="173" t="s">
        <v>1602</v>
      </c>
      <c r="C367" s="190" t="s">
        <v>1603</v>
      </c>
    </row>
    <row r="368" spans="1:3">
      <c r="A368" s="111" t="s">
        <v>1483</v>
      </c>
      <c r="B368" s="173" t="s">
        <v>1604</v>
      </c>
      <c r="C368" s="112" t="s">
        <v>1605</v>
      </c>
    </row>
    <row r="369" spans="1:3">
      <c r="A369" s="111" t="s">
        <v>1484</v>
      </c>
      <c r="B369" s="173" t="s">
        <v>1606</v>
      </c>
      <c r="C369" s="190" t="s">
        <v>1607</v>
      </c>
    </row>
    <row r="370" spans="1:3">
      <c r="A370" s="111" t="s">
        <v>1485</v>
      </c>
      <c r="B370" s="173" t="s">
        <v>1608</v>
      </c>
      <c r="C370" s="190" t="s">
        <v>1609</v>
      </c>
    </row>
    <row r="371" spans="1:3">
      <c r="A371" s="111" t="s">
        <v>1486</v>
      </c>
      <c r="B371" s="83" t="s">
        <v>1610</v>
      </c>
      <c r="C371" s="86" t="s">
        <v>1527</v>
      </c>
    </row>
    <row r="372" spans="1:3">
      <c r="A372" s="111" t="s">
        <v>1487</v>
      </c>
      <c r="B372" s="173" t="s">
        <v>1611</v>
      </c>
      <c r="C372" s="112" t="s">
        <v>1612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1528</v>
      </c>
      <c r="B375" s="51" t="s">
        <v>565</v>
      </c>
      <c r="C375" s="86" t="s">
        <v>1529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1530</v>
      </c>
      <c r="B391" s="51" t="s">
        <v>562</v>
      </c>
      <c r="C391" s="112" t="s">
        <v>1531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1558</v>
      </c>
      <c r="B425" s="173" t="s">
        <v>579</v>
      </c>
      <c r="C425" s="190" t="s">
        <v>1613</v>
      </c>
    </row>
    <row r="426" spans="1:3">
      <c r="A426" s="111" t="s">
        <v>1532</v>
      </c>
      <c r="B426" s="83" t="s">
        <v>580</v>
      </c>
      <c r="C426" s="86" t="s">
        <v>1533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1506</v>
      </c>
      <c r="B428" s="83" t="s">
        <v>580</v>
      </c>
      <c r="C428" s="84" t="s">
        <v>1534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1505</v>
      </c>
      <c r="C431" s="84" t="s">
        <v>1013</v>
      </c>
    </row>
    <row r="432" spans="1:3">
      <c r="A432" s="82" t="s">
        <v>1535</v>
      </c>
      <c r="B432" s="83" t="s">
        <v>1505</v>
      </c>
      <c r="C432" s="84" t="s">
        <v>1536</v>
      </c>
    </row>
    <row r="433" spans="1:3">
      <c r="A433" s="111" t="s">
        <v>1490</v>
      </c>
      <c r="B433" s="83" t="s">
        <v>1492</v>
      </c>
      <c r="C433" s="83" t="s">
        <v>1491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1537</v>
      </c>
      <c r="B482" s="51" t="s">
        <v>1538</v>
      </c>
      <c r="C482" s="86" t="s">
        <v>1539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1556</v>
      </c>
      <c r="B494" s="83" t="s">
        <v>529</v>
      </c>
      <c r="C494" s="86" t="s">
        <v>1557</v>
      </c>
    </row>
    <row r="495" spans="1:3">
      <c r="A495" s="111" t="s">
        <v>1540</v>
      </c>
      <c r="B495" s="83" t="s">
        <v>529</v>
      </c>
      <c r="C495" s="112" t="s">
        <v>1541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1542</v>
      </c>
      <c r="B498" s="51" t="s">
        <v>1543</v>
      </c>
      <c r="C498" s="112" t="s">
        <v>1544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1503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1504</v>
      </c>
    </row>
    <row r="511" spans="1:3">
      <c r="A511" s="85" t="s">
        <v>1545</v>
      </c>
      <c r="B511" s="51" t="s">
        <v>536</v>
      </c>
      <c r="C511" s="84" t="s">
        <v>1546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2026-05-16T11:32:04Z</dcterms:modified>
</cp:coreProperties>
</file>